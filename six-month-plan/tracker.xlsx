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rgets" sheetId="2" state="visible" r:id="rId2"/>
    <sheet name="DailyLog" sheetId="3" state="visible" r:id="rId3"/>
    <sheet name="WeeklyReview" sheetId="4" state="visible" r:id="rId4"/>
    <sheet name="Benchmarks" sheetId="5" state="visible" r:id="rId5"/>
    <sheet name="TrainingPlan" sheetId="6" state="visible" r:id="rId6"/>
    <sheet name="TrainingLog" sheetId="7" state="visible" r:id="rId7"/>
    <sheet name="SkillPlan" sheetId="8" state="visible" r:id="rId8"/>
    <sheet name="Meals" sheetId="9" state="visible" r:id="rId9"/>
    <sheet name="MonthlyReview" sheetId="10" state="visible" r:id="rId10"/>
  </sheets>
  <definedNames>
    <definedName name="_xlnm.Print_Titles" localSheetId="2">'DailyLog'!$1:$1</definedName>
    <definedName name="_xlnm.Print_Titles" localSheetId="6">'TrainingLog'!$1:$1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d dd-mmm-yy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2" fontId="3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166" fontId="0" fillId="5" borderId="1" pivotButton="0" quotePrefix="0" xfId="0"/>
    <xf numFmtId="1" fontId="3" fillId="6" borderId="0" pivotButton="0" quotePrefix="0" xfId="0"/>
    <xf numFmtId="9" fontId="3" fillId="6" borderId="0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0" customWidth="1" min="3" max="3"/>
    <col width="48" customWidth="1" min="4" max="4"/>
  </cols>
  <sheetData>
    <row r="1">
      <c r="A1" s="1" t="inlineStr">
        <is>
          <t>Six-Month Consistency Plan - Tracker</t>
        </is>
      </c>
    </row>
    <row r="2">
      <c r="A2" s="2" t="inlineStr">
        <is>
          <t>Day 1: Thursday 01 Oct 2026   |   Week 1 starts 05 Oct   |   Last day: Sunday 04 Apr 2027   |   186 days = 4 launch days + 26 weeks</t>
        </is>
      </c>
    </row>
    <row r="4">
      <c r="A4" s="3" t="inlineStr">
        <is>
          <t>Direction statement (who I am on 4 Apr 2027) - write 3 sentences:</t>
        </is>
      </c>
    </row>
    <row r="5" ht="22" customHeight="1">
      <c r="A5" s="4" t="n"/>
    </row>
    <row r="6" ht="22" customHeight="1">
      <c r="A6" s="4" t="n"/>
    </row>
    <row r="7" ht="22" customHeight="1">
      <c r="A7" s="4" t="n"/>
    </row>
    <row r="9">
      <c r="A9" s="3" t="inlineStr">
        <is>
          <t>Accountability person:</t>
        </is>
      </c>
      <c r="B9" s="5" t="n"/>
    </row>
    <row r="10">
      <c r="A10" s="3" t="inlineStr">
        <is>
          <t>Study area for the skill block:</t>
        </is>
      </c>
      <c r="B10" s="5" t="n"/>
    </row>
    <row r="12">
      <c r="A12" s="6" t="inlineStr">
        <is>
          <t>Rule</t>
        </is>
      </c>
      <c r="B12" s="6" t="inlineStr">
        <is>
          <t>Counts as done when</t>
        </is>
      </c>
      <c r="C12" s="6" t="inlineStr">
        <is>
          <t>Minimum version (still counts)</t>
        </is>
      </c>
    </row>
    <row r="13" ht="33" customHeight="1">
      <c r="A13" s="7" t="inlineStr">
        <is>
          <t>R1 Move</t>
        </is>
      </c>
      <c r="B13" s="7" t="inlineStr">
        <is>
          <t>Do the planned session (strength, Zone 2, Saturday activity or Sunday mobility) on today's row</t>
        </is>
      </c>
      <c r="C13" s="7" t="inlineStr">
        <is>
          <t>15-minute walk</t>
        </is>
      </c>
    </row>
    <row r="14" ht="18" customHeight="1">
      <c r="A14" s="7" t="inlineStr">
        <is>
          <t>R2 Eat</t>
        </is>
      </c>
      <c r="B14" s="7" t="inlineStr">
        <is>
          <t>Protein at every meal, no sugary drinks or packaged snacks, 2.5-3 L water</t>
        </is>
      </c>
      <c r="C14" s="7" t="inlineStr">
        <is>
          <t>Protein at 2 meals and the water</t>
        </is>
      </c>
    </row>
    <row r="15" ht="18" customHeight="1">
      <c r="A15" s="7" t="inlineStr">
        <is>
          <t>R3 Read</t>
        </is>
      </c>
      <c r="B15" s="7" t="inlineStr">
        <is>
          <t>10 pages of non-fiction</t>
        </is>
      </c>
      <c r="C15" s="7" t="inlineStr">
        <is>
          <t>5 pages</t>
        </is>
      </c>
    </row>
    <row r="16" ht="18" customHeight="1">
      <c r="A16" s="7" t="inlineStr">
        <is>
          <t>R4 Mind</t>
        </is>
      </c>
      <c r="B16" s="7" t="inlineStr">
        <is>
          <t>5-minute journal: today's win, today's lesson, tomorrow's #1 task</t>
        </is>
      </c>
      <c r="C16" s="7" t="inlineStr">
        <is>
          <t>One line</t>
        </is>
      </c>
    </row>
    <row r="17" ht="18" customHeight="1">
      <c r="A17" s="7" t="inlineStr">
        <is>
          <t>R5 Sleep</t>
        </is>
      </c>
      <c r="B17" s="7" t="inlineStr">
        <is>
          <t>Screens off 22:15, lights out 23:00, wake 06:30 (+/- 30 min)</t>
        </is>
      </c>
      <c r="C17" s="7" t="inlineStr">
        <is>
          <t>Phone charges outside the bedroom</t>
        </is>
      </c>
    </row>
    <row r="18" ht="18" customHeight="1">
      <c r="A18" s="7" t="inlineStr">
        <is>
          <t>R6 Skill (Mon-Fri)</t>
        </is>
      </c>
      <c r="B18" s="7" t="inlineStr">
        <is>
          <t>60 minutes on the current GIS/RS module, timer on, phone away</t>
        </is>
      </c>
      <c r="C18" s="7" t="inlineStr">
        <is>
          <t>20 minutes</t>
        </is>
      </c>
    </row>
    <row r="20" ht="33" customHeight="1">
      <c r="A20" s="8" t="inlineStr">
        <is>
          <t>Scoring: 6 rules on weekdays, 5 on weekends. Target 80-90% per week. Below 70% two weeks running: use the minimum versions as the standard for a week. Above 95% three weeks running: raise the bar. A missed day stays missed and the challenge never restarts. Never miss twice in a row. Weekly rule: one commit pushed to the portfolio repo every Friday.</t>
        </is>
      </c>
    </row>
    <row r="22">
      <c r="A22" s="6" t="inlineStr">
        <is>
          <t>Weeks</t>
        </is>
      </c>
      <c r="B22" s="6" t="inlineStr">
        <is>
          <t>Dates</t>
        </is>
      </c>
      <c r="C22" s="6" t="inlineStr">
        <is>
          <t>Phase</t>
        </is>
      </c>
      <c r="D22" s="6" t="inlineStr">
        <is>
          <t>Nutrition</t>
        </is>
      </c>
    </row>
    <row r="23" ht="18" customHeight="1">
      <c r="A23" s="7" t="inlineStr">
        <is>
          <t>0</t>
        </is>
      </c>
      <c r="B23" s="7" t="inlineStr">
        <is>
          <t>01 Oct - 04 Oct 2026</t>
        </is>
      </c>
      <c r="C23" s="7" t="inlineStr">
        <is>
          <t>Launch</t>
        </is>
      </c>
      <c r="D23" s="7" t="inlineStr">
        <is>
          <t>Set up kitchen, first meal prep</t>
        </is>
      </c>
    </row>
    <row r="24" ht="18" customHeight="1">
      <c r="A24" s="7" t="inlineStr">
        <is>
          <t>1-2</t>
        </is>
      </c>
      <c r="B24" s="7" t="inlineStr">
        <is>
          <t>05 Oct - 18 Oct 2026</t>
        </is>
      </c>
      <c r="C24" s="7" t="inlineStr">
        <is>
          <t>Foundation (technique)</t>
        </is>
      </c>
      <c r="D24" s="7" t="inlineStr">
        <is>
          <t>Deficit starts: 2,000-2,100 kcal, 140 g protein</t>
        </is>
      </c>
    </row>
    <row r="25" ht="18" customHeight="1">
      <c r="A25" s="7" t="inlineStr">
        <is>
          <t>3-8</t>
        </is>
      </c>
      <c r="B25" s="7" t="inlineStr">
        <is>
          <t>19 Oct - 29 Nov 2026</t>
        </is>
      </c>
      <c r="C25" s="7" t="inlineStr">
        <is>
          <t>Build 1</t>
        </is>
      </c>
      <c r="D25" s="7" t="inlineStr">
        <is>
          <t>Same; 2 planned sweets per week from November</t>
        </is>
      </c>
    </row>
    <row r="26" ht="18" customHeight="1">
      <c r="A26" s="7" t="inlineStr">
        <is>
          <t>9</t>
        </is>
      </c>
      <c r="B26" s="7" t="inlineStr">
        <is>
          <t>30 Nov - 06 Dec 2026</t>
        </is>
      </c>
      <c r="C26" s="7" t="inlineStr">
        <is>
          <t>Deload</t>
        </is>
      </c>
      <c r="D26" s="7" t="inlineStr">
        <is>
          <t>Same</t>
        </is>
      </c>
    </row>
    <row r="27" ht="18" customHeight="1">
      <c r="A27" s="7" t="inlineStr">
        <is>
          <t>10-12</t>
        </is>
      </c>
      <c r="B27" s="7" t="inlineStr">
        <is>
          <t>07 Dec - 27 Dec 2026</t>
        </is>
      </c>
      <c r="C27" s="7" t="inlineStr">
        <is>
          <t>Build 2 (holiday stress test)</t>
        </is>
      </c>
      <c r="D27" s="7" t="inlineStr">
        <is>
          <t>Hold the minimums through the holidays</t>
        </is>
      </c>
    </row>
    <row r="28" ht="33" customHeight="1">
      <c r="A28" s="7" t="inlineStr">
        <is>
          <t>13</t>
        </is>
      </c>
      <c r="B28" s="7" t="inlineStr">
        <is>
          <t>28 Dec - 03 Jan 2027</t>
        </is>
      </c>
      <c r="C28" s="7" t="inlineStr">
        <is>
          <t>Benchmarks + Cycle 1 review</t>
        </is>
      </c>
      <c r="D28" s="7" t="inlineStr">
        <is>
          <t>Checkpoint: waist &lt; 87 cm -&gt; maintenance, else continue deficit</t>
        </is>
      </c>
    </row>
    <row r="29" ht="18" customHeight="1">
      <c r="A29" s="7" t="inlineStr">
        <is>
          <t>14-17</t>
        </is>
      </c>
      <c r="B29" s="7" t="inlineStr">
        <is>
          <t>04 Jan - 31 Jan 2027</t>
        </is>
      </c>
      <c r="C29" s="7" t="inlineStr">
        <is>
          <t>Cycle 2 block A</t>
        </is>
      </c>
      <c r="D29" s="7" t="inlineStr">
        <is>
          <t>Per checkpoint</t>
        </is>
      </c>
    </row>
    <row r="30" ht="18" customHeight="1">
      <c r="A30" s="7" t="inlineStr">
        <is>
          <t>18-21</t>
        </is>
      </c>
      <c r="B30" s="7" t="inlineStr">
        <is>
          <t>01 Feb - 28 Feb 2027</t>
        </is>
      </c>
      <c r="C30" s="7" t="inlineStr">
        <is>
          <t>Cycle 2 block B</t>
        </is>
      </c>
      <c r="D30" s="7" t="inlineStr">
        <is>
          <t>Per checkpoint</t>
        </is>
      </c>
    </row>
    <row r="31" ht="18" customHeight="1">
      <c r="A31" s="7" t="inlineStr">
        <is>
          <t>22</t>
        </is>
      </c>
      <c r="B31" s="7" t="inlineStr">
        <is>
          <t>01 Mar - 07 Mar 2027</t>
        </is>
      </c>
      <c r="C31" s="7" t="inlineStr">
        <is>
          <t>Deload + diet break</t>
        </is>
      </c>
      <c r="D31" s="7" t="inlineStr">
        <is>
          <t>Maintenance for 7 days</t>
        </is>
      </c>
    </row>
    <row r="32" ht="18" customHeight="1">
      <c r="A32" s="7" t="inlineStr">
        <is>
          <t>23-25</t>
        </is>
      </c>
      <c r="B32" s="7" t="inlineStr">
        <is>
          <t>08 Mar - 28 Mar 2027</t>
        </is>
      </c>
      <c r="C32" s="7" t="inlineStr">
        <is>
          <t>Peak</t>
        </is>
      </c>
      <c r="D32" s="7" t="inlineStr">
        <is>
          <t>Finish deficit or maintain</t>
        </is>
      </c>
    </row>
    <row r="33" ht="18" customHeight="1">
      <c r="A33" s="7" t="inlineStr">
        <is>
          <t>26</t>
        </is>
      </c>
      <c r="B33" s="7" t="inlineStr">
        <is>
          <t>29 Mar - 04 Apr 2027</t>
        </is>
      </c>
      <c r="C33" s="7" t="inlineStr">
        <is>
          <t>Final benchmarks + review</t>
        </is>
      </c>
      <c r="D33" s="7" t="inlineStr">
        <is>
          <t>Decide the next 6 months</t>
        </is>
      </c>
    </row>
    <row r="35">
      <c r="A35" s="6" t="inlineStr">
        <is>
          <t>Target</t>
        </is>
      </c>
      <c r="B35" s="6" t="inlineStr">
        <is>
          <t>Now</t>
        </is>
      </c>
      <c r="C35" s="6" t="inlineStr">
        <is>
          <t>Week 13 (3 Jan 2027)</t>
        </is>
      </c>
      <c r="D35" s="6" t="inlineStr">
        <is>
          <t>Week 26 (4 Apr 2027)</t>
        </is>
      </c>
    </row>
    <row r="36" ht="18" customHeight="1">
      <c r="A36" s="7" t="inlineStr">
        <is>
          <t>Waist at navel</t>
        </is>
      </c>
      <c r="B36" s="7" t="inlineStr">
        <is>
          <t>measure Day 1</t>
        </is>
      </c>
      <c r="C36" s="7" t="inlineStr">
        <is>
          <t>-5 cm</t>
        </is>
      </c>
      <c r="D36" s="7" t="inlineStr">
        <is>
          <t>-8 to -10 cm and below 87 cm</t>
        </is>
      </c>
    </row>
    <row r="37" ht="18" customHeight="1">
      <c r="A37" s="7" t="inlineStr">
        <is>
          <t>Body weight</t>
        </is>
      </c>
      <c r="B37" s="7" t="inlineStr">
        <is>
          <t>74 kg</t>
        </is>
      </c>
      <c r="C37" s="7" t="inlineStr">
        <is>
          <t>70-71 kg</t>
        </is>
      </c>
      <c r="D37" s="7" t="inlineStr">
        <is>
          <t>67-70 kg</t>
        </is>
      </c>
    </row>
    <row r="38" ht="18" customHeight="1">
      <c r="A38" s="7" t="inlineStr">
        <is>
          <t>Push-ups to failure</t>
        </is>
      </c>
      <c r="B38" s="7" t="inlineStr">
        <is>
          <t>measure Day 1</t>
        </is>
      </c>
      <c r="C38" s="7" t="inlineStr">
        <is>
          <t>+8</t>
        </is>
      </c>
      <c r="D38" s="7" t="inlineStr">
        <is>
          <t>+15 (minimum 25)</t>
        </is>
      </c>
    </row>
    <row r="39" ht="18" customHeight="1">
      <c r="A39" s="7" t="inlineStr">
        <is>
          <t>Strict chin-ups</t>
        </is>
      </c>
      <c r="B39" s="7" t="inlineStr">
        <is>
          <t>measure Day 1</t>
        </is>
      </c>
      <c r="C39" s="7" t="inlineStr">
        <is>
          <t>first strict rep</t>
        </is>
      </c>
      <c r="D39" s="7" t="inlineStr">
        <is>
          <t>5</t>
        </is>
      </c>
    </row>
    <row r="40" ht="18" customHeight="1">
      <c r="A40" s="7" t="inlineStr">
        <is>
          <t>Back squat 5RM</t>
        </is>
      </c>
      <c r="B40" s="7" t="inlineStr">
        <is>
          <t>learn W1-4</t>
        </is>
      </c>
      <c r="C40" s="7" t="inlineStr">
        <is>
          <t>0.75 x BW</t>
        </is>
      </c>
      <c r="D40" s="7" t="inlineStr">
        <is>
          <t>~1.0 x BW (~70 kg)</t>
        </is>
      </c>
    </row>
    <row r="41" ht="18" customHeight="1">
      <c r="A41" s="7" t="inlineStr">
        <is>
          <t>Deadlift 5RM</t>
        </is>
      </c>
      <c r="B41" s="7" t="inlineStr">
        <is>
          <t>learn W1-4</t>
        </is>
      </c>
      <c r="C41" s="7" t="inlineStr">
        <is>
          <t>1.0 x BW</t>
        </is>
      </c>
      <c r="D41" s="7" t="inlineStr">
        <is>
          <t>~1.25 x BW (~90 kg)</t>
        </is>
      </c>
    </row>
    <row r="42" ht="18" customHeight="1">
      <c r="A42" s="7" t="inlineStr">
        <is>
          <t>Bench press 5RM</t>
        </is>
      </c>
      <c r="B42" s="7" t="inlineStr">
        <is>
          <t>dumbbells first</t>
        </is>
      </c>
      <c r="C42" s="7" t="inlineStr">
        <is>
          <t>0.6 x BW</t>
        </is>
      </c>
      <c r="D42" s="7" t="inlineStr">
        <is>
          <t>~0.75 x BW (~52 kg)</t>
        </is>
      </c>
    </row>
    <row r="43" ht="18" customHeight="1">
      <c r="A43" s="7" t="inlineStr">
        <is>
          <t>Dead hang</t>
        </is>
      </c>
      <c r="B43" s="7" t="inlineStr">
        <is>
          <t>measure Day 1</t>
        </is>
      </c>
      <c r="C43" s="7" t="inlineStr">
        <is>
          <t>45-60 s</t>
        </is>
      </c>
      <c r="D43" s="7" t="inlineStr">
        <is>
          <t>60-90 s</t>
        </is>
      </c>
    </row>
    <row r="44" ht="18" customHeight="1">
      <c r="A44" s="7" t="inlineStr">
        <is>
          <t>Resting heart rate</t>
        </is>
      </c>
      <c r="B44" s="7" t="inlineStr">
        <is>
          <t>measure Day 1</t>
        </is>
      </c>
      <c r="C44" s="7" t="inlineStr">
        <is>
          <t>-3 bpm</t>
        </is>
      </c>
      <c r="D44" s="7" t="inlineStr">
        <is>
          <t>-5 to -8 bpm</t>
        </is>
      </c>
    </row>
    <row r="46">
      <c r="A46" s="3" t="inlineStr">
        <is>
          <t>How to use this workbook</t>
        </is>
      </c>
    </row>
    <row r="47" ht="18" customHeight="1">
      <c r="A47" s="8" t="inlineStr">
        <is>
          <t>1. DailyLog: every evening enter 1 or 0 for each rule (R6 only Mon-Fri). Steps, sleep hours and weight are optional. Everything else is computed.</t>
        </is>
      </c>
    </row>
    <row r="48" ht="18" customHeight="1">
      <c r="A48" s="8" t="inlineStr">
        <is>
          <t>2. WeeklyReview: on Sunday add weight, waist, energy, the biggest friction and one adjustment. Completion % and status are computed from DailyLog.</t>
        </is>
      </c>
    </row>
    <row r="49" ht="18" customHeight="1">
      <c r="A49" s="8" t="inlineStr">
        <is>
          <t>3. Benchmarks: fill the test columns on Day 1-4, then every 4 weeks; the full test battery in weeks 13 and 26.</t>
        </is>
      </c>
    </row>
    <row r="50" ht="18" customHeight="1">
      <c r="A50" s="8" t="inlineStr">
        <is>
          <t>4. TrainingPlan / TrainingLog: give TrainingPlan to your trainer; log the key lifts per session in TrainingLog.</t>
        </is>
      </c>
    </row>
    <row r="51" ht="18" customHeight="1">
      <c r="A51" s="8" t="inlineStr">
        <is>
          <t>5. SkillPlan: one row per week with the module, focus, resources and the Friday deliverable; mark Done and log hours.</t>
        </is>
      </c>
    </row>
    <row r="52" ht="18" customHeight="1">
      <c r="A52" s="8" t="inlineStr">
        <is>
          <t>6. Targets: edit sex, age, weight and activity factor; calorie, protein and water targets recalculate. Meals references those cells.</t>
        </is>
      </c>
    </row>
    <row r="53" ht="18" customHeight="1">
      <c r="A53" s="8" t="inlineStr">
        <is>
          <t>7. MonthlyReview: six rows of prompts; the month completion % is computed.</t>
        </is>
      </c>
    </row>
    <row r="54" ht="18" customHeight="1">
      <c r="A54" s="8" t="inlineStr">
        <is>
          <t>8. Regenerate a blank copy any time with: python3 build_tracker.py</t>
        </is>
      </c>
    </row>
  </sheetData>
  <mergeCells count="12">
    <mergeCell ref="A5:D5"/>
    <mergeCell ref="A6:D6"/>
    <mergeCell ref="A53:D53"/>
    <mergeCell ref="A50:D50"/>
    <mergeCell ref="A48:D48"/>
    <mergeCell ref="A20:D20"/>
    <mergeCell ref="A54:D54"/>
    <mergeCell ref="A52:D52"/>
    <mergeCell ref="A7:D7"/>
    <mergeCell ref="A51:D51"/>
    <mergeCell ref="A49:D49"/>
    <mergeCell ref="A47:D47"/>
  </mergeCells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1" t="inlineStr">
        <is>
          <t>Targets calculator</t>
        </is>
      </c>
    </row>
    <row r="2">
      <c r="A2" s="2" t="inlineStr">
        <is>
          <t>Yellow cells are inputs. Mifflin-St Jeor BMR x activity factor, minus the deficit; protein and fat per kg bodyweight.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Note</t>
        </is>
      </c>
    </row>
    <row r="4">
      <c r="A4" s="9" t="inlineStr">
        <is>
          <t>Sex (M/F)</t>
        </is>
      </c>
      <c r="B4" s="4" t="inlineStr">
        <is>
          <t>M</t>
        </is>
      </c>
      <c r="C4" s="8" t="inlineStr">
        <is>
          <t>Used by the BMR formula</t>
        </is>
      </c>
    </row>
    <row r="5">
      <c r="A5" s="9" t="inlineStr">
        <is>
          <t>Age (years)</t>
        </is>
      </c>
      <c r="B5" s="4" t="n">
        <v>35</v>
      </c>
      <c r="C5" s="8" t="inlineStr">
        <is>
          <t>Edit</t>
        </is>
      </c>
    </row>
    <row r="6">
      <c r="A6" s="9" t="inlineStr">
        <is>
          <t>Height (cm)</t>
        </is>
      </c>
      <c r="B6" s="4" t="n">
        <v>174</v>
      </c>
      <c r="C6" s="8" t="inlineStr"/>
    </row>
    <row r="7">
      <c r="A7" s="9" t="inlineStr">
        <is>
          <t>Current weight (kg)</t>
        </is>
      </c>
      <c r="B7" s="4" t="n">
        <v>74</v>
      </c>
      <c r="C7" s="8" t="inlineStr">
        <is>
          <t>Update monthly; targets recalculate</t>
        </is>
      </c>
    </row>
    <row r="8">
      <c r="A8" s="9" t="inlineStr">
        <is>
          <t>Activity factor</t>
        </is>
      </c>
      <c r="B8" s="4" t="n">
        <v>1.45</v>
      </c>
      <c r="C8" s="8" t="inlineStr">
        <is>
          <t>1.2 sedentary, 1.375 light, 1.45 desk job + 4-5 sessions/week + 10k steps, 1.55 moderate</t>
        </is>
      </c>
    </row>
    <row r="9">
      <c r="A9" s="9" t="inlineStr">
        <is>
          <t>Deficit (fraction)</t>
        </is>
      </c>
      <c r="B9" s="4" t="n">
        <v>0.15</v>
      </c>
      <c r="C9" s="8" t="inlineStr">
        <is>
          <t>0.15 = mild deficit (~300-400 kcal). Use 0 for maintenance (week 22 diet break, or once the waist target is reached)</t>
        </is>
      </c>
    </row>
    <row r="10">
      <c r="A10" s="9" t="inlineStr">
        <is>
          <t>Protein (g per kg)</t>
        </is>
      </c>
      <c r="B10" s="4" t="n">
        <v>1.8</v>
      </c>
      <c r="C10" s="8" t="inlineStr">
        <is>
          <t>1.6-2.2 g/kg while in a deficit</t>
        </is>
      </c>
    </row>
    <row r="11">
      <c r="A11" s="9" t="inlineStr">
        <is>
          <t>Fat (g per kg)</t>
        </is>
      </c>
      <c r="B11" s="4" t="n">
        <v>0.8</v>
      </c>
      <c r="C11" s="8" t="inlineStr">
        <is>
          <t>0.7-1.0 g/kg</t>
        </is>
      </c>
    </row>
    <row r="13">
      <c r="A13" s="3" t="inlineStr">
        <is>
          <t>Output</t>
        </is>
      </c>
      <c r="B13" s="3" t="inlineStr">
        <is>
          <t>Value</t>
        </is>
      </c>
      <c r="C13" s="3" t="inlineStr">
        <is>
          <t>Note</t>
        </is>
      </c>
    </row>
    <row r="14">
      <c r="A14" s="9" t="inlineStr">
        <is>
          <t>BMI</t>
        </is>
      </c>
      <c r="B14" s="10">
        <f>B7/(B6/100)^2</f>
        <v/>
      </c>
      <c r="C14" s="8" t="inlineStr">
        <is>
          <t>18.5-24.9 normal; yours is normal, the issue is fat distribution</t>
        </is>
      </c>
    </row>
    <row r="15">
      <c r="A15" s="9" t="inlineStr">
        <is>
          <t>BMR (kcal)</t>
        </is>
      </c>
      <c r="B15" s="11">
        <f>IF(B4="M",10*B7+6.25*B6-5*B5+5,10*B7+6.25*B6-5*B5-161)</f>
        <v/>
      </c>
      <c r="C15" s="8" t="inlineStr">
        <is>
          <t>Mifflin-St Jeor</t>
        </is>
      </c>
    </row>
    <row r="16">
      <c r="A16" s="9" t="inlineStr">
        <is>
          <t>Maintenance / TDEE (kcal)</t>
        </is>
      </c>
      <c r="B16" s="11">
        <f>B15*B8</f>
        <v/>
      </c>
      <c r="C16" s="8" t="inlineStr"/>
    </row>
    <row r="17">
      <c r="A17" s="9" t="inlineStr">
        <is>
          <t>Calorie target (kcal)</t>
        </is>
      </c>
      <c r="B17" s="11">
        <f>B16*(1-B9)</f>
        <v/>
      </c>
      <c r="C17" s="8" t="inlineStr">
        <is>
          <t>Eat within +/- 100 kcal of this on average</t>
        </is>
      </c>
    </row>
    <row r="18">
      <c r="A18" s="9" t="inlineStr">
        <is>
          <t>Protein target (g)</t>
        </is>
      </c>
      <c r="B18" s="11">
        <f>B10*B7</f>
        <v/>
      </c>
      <c r="C18" s="8" t="inlineStr">
        <is>
          <t>Spread over 4-5 meals</t>
        </is>
      </c>
    </row>
    <row r="19">
      <c r="A19" s="9" t="inlineStr">
        <is>
          <t>Fat target (g)</t>
        </is>
      </c>
      <c r="B19" s="11">
        <f>B11*B7</f>
        <v/>
      </c>
      <c r="C19" s="8" t="inlineStr"/>
    </row>
    <row r="20">
      <c r="A20" s="9" t="inlineStr">
        <is>
          <t>Carbohydrate target (g)</t>
        </is>
      </c>
      <c r="B20" s="11">
        <f>(B17-4*B18-9*B19)/4</f>
        <v/>
      </c>
      <c r="C20" s="8" t="inlineStr">
        <is>
          <t>Mostly at breakfast, pre-gym and dinner</t>
        </is>
      </c>
    </row>
    <row r="21">
      <c r="A21" s="9" t="inlineStr">
        <is>
          <t>Water target, rest day (L)</t>
        </is>
      </c>
      <c r="B21" s="10">
        <f>0.035*B7</f>
        <v/>
      </c>
      <c r="C21" s="8" t="inlineStr">
        <is>
          <t>35 ml per kg</t>
        </is>
      </c>
    </row>
    <row r="22">
      <c r="A22" s="9" t="inlineStr">
        <is>
          <t>Water target, training day (L)</t>
        </is>
      </c>
      <c r="B22" s="10">
        <f>0.035*B7+0.5</f>
        <v/>
      </c>
      <c r="C22" s="8" t="inlineStr">
        <is>
          <t>Rest-day amount + 0.5 L around the session</t>
        </is>
      </c>
    </row>
    <row r="23">
      <c r="A23" s="9" t="inlineStr">
        <is>
          <t>Waist target (cm)</t>
        </is>
      </c>
      <c r="B23" s="11">
        <f>0.5*B6</f>
        <v/>
      </c>
      <c r="C23" s="8" t="inlineStr">
        <is>
          <t>Waist-to-height ratio below 0.5</t>
        </is>
      </c>
    </row>
    <row r="24">
      <c r="A24" s="9" t="inlineStr">
        <is>
          <t>Expected loss per week (kg)</t>
        </is>
      </c>
      <c r="B24" s="12">
        <f>B16*B9*7/7700</f>
        <v/>
      </c>
      <c r="C24" s="8" t="inlineStr">
        <is>
          <t>Scale may move slower if muscle is gained; trust the waist</t>
        </is>
      </c>
    </row>
  </sheetData>
  <dataValidations count="1">
    <dataValidation sqref="B4" showDropDown="0" showInputMessage="0" showErrorMessage="0" allowBlank="0" type="list">
      <formula1>"M,F"</formula1>
    </dataValidation>
  </dataValidations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1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6" customWidth="1" min="4" max="4"/>
    <col width="6" customWidth="1" min="5" max="5"/>
    <col width="26" customWidth="1" min="6" max="6"/>
    <col width="46" customWidth="1" min="7" max="7"/>
    <col width="3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hidden="1" width="7" customWidth="1" min="17" max="17"/>
    <col hidden="1" width="8" customWidth="1" min="18" max="18"/>
    <col width="8" customWidth="1" min="19" max="19"/>
    <col width="8" customWidth="1" min="20" max="20"/>
    <col width="9" customWidth="1" min="21" max="21"/>
    <col width="10" customWidth="1" min="22" max="22"/>
    <col width="40" customWidth="1" min="23" max="23"/>
  </cols>
  <sheetData>
    <row r="1" ht="32" customHeight="1">
      <c r="A1" s="6" t="inlineStr">
        <is>
          <t>Day</t>
        </is>
      </c>
      <c r="B1" s="6" t="inlineStr">
        <is>
          <t>Date</t>
        </is>
      </c>
      <c r="C1" s="6" t="inlineStr">
        <is>
          <t>Weekday</t>
        </is>
      </c>
      <c r="D1" s="6" t="inlineStr">
        <is>
          <t>Week</t>
        </is>
      </c>
      <c r="E1" s="6" t="inlineStr">
        <is>
          <t>Cycle</t>
        </is>
      </c>
      <c r="F1" s="6" t="inlineStr">
        <is>
          <t>Phase</t>
        </is>
      </c>
      <c r="G1" s="6" t="inlineStr">
        <is>
          <t>Planned training</t>
        </is>
      </c>
      <c r="H1" s="6" t="inlineStr">
        <is>
          <t>Skill module</t>
        </is>
      </c>
      <c r="I1" s="6" t="inlineStr">
        <is>
          <t>R1 Move</t>
        </is>
      </c>
      <c r="J1" s="6" t="inlineStr">
        <is>
          <t>R2 Eat</t>
        </is>
      </c>
      <c r="K1" s="6" t="inlineStr">
        <is>
          <t>R3 Read</t>
        </is>
      </c>
      <c r="L1" s="6" t="inlineStr">
        <is>
          <t>R4 Mind</t>
        </is>
      </c>
      <c r="M1" s="6" t="inlineStr">
        <is>
          <t>R5 Sleep</t>
        </is>
      </c>
      <c r="N1" s="6" t="inlineStr">
        <is>
          <t>R6 Skill</t>
        </is>
      </c>
      <c r="O1" s="6" t="inlineStr">
        <is>
          <t>Done</t>
        </is>
      </c>
      <c r="P1" s="6" t="inlineStr">
        <is>
          <t>Required</t>
        </is>
      </c>
      <c r="Q1" s="6" t="inlineStr">
        <is>
          <t>Logged</t>
        </is>
      </c>
      <c r="R1" s="6" t="inlineStr">
        <is>
          <t>Req if logged</t>
        </is>
      </c>
      <c r="S1" s="6" t="inlineStr">
        <is>
          <t>Daily %</t>
        </is>
      </c>
      <c r="T1" s="6" t="inlineStr">
        <is>
          <t>Steps</t>
        </is>
      </c>
      <c r="U1" s="6" t="inlineStr">
        <is>
          <t>Sleep (h)</t>
        </is>
      </c>
      <c r="V1" s="6" t="inlineStr">
        <is>
          <t>Weight (kg)</t>
        </is>
      </c>
      <c r="W1" s="6" t="inlineStr">
        <is>
          <t>Notes</t>
        </is>
      </c>
    </row>
    <row r="2">
      <c r="A2" s="9" t="n">
        <v>1</v>
      </c>
      <c r="B2" s="13" t="n">
        <v>46296</v>
      </c>
      <c r="C2" s="9" t="inlineStr">
        <is>
          <t>Thu</t>
        </is>
      </c>
      <c r="D2" s="9" t="n">
        <v>0</v>
      </c>
      <c r="E2" s="9" t="n">
        <v>1</v>
      </c>
      <c r="F2" s="9" t="inlineStr">
        <is>
          <t>Launch</t>
        </is>
      </c>
      <c r="G2" s="9" t="inlineStr">
        <is>
          <t>Trainer intake + baseline tests (push-ups, dead hang, plank, goblet squat 10RM, resting HR), photos, measurements</t>
        </is>
      </c>
      <c r="H2" s="9" t="inlineStr">
        <is>
          <t>Setup</t>
        </is>
      </c>
      <c r="I2" s="4" t="n"/>
      <c r="J2" s="4" t="n"/>
      <c r="K2" s="4" t="n"/>
      <c r="L2" s="4" t="n"/>
      <c r="M2" s="4" t="n"/>
      <c r="N2" s="4" t="n"/>
      <c r="O2" s="9">
        <f>SUM(I2:M2)+IF(WEEKDAY(B2,2)&lt;=5,N2,0)</f>
        <v/>
      </c>
      <c r="P2" s="9">
        <f>IF(WEEKDAY(B2,2)&lt;=5,6,5)</f>
        <v/>
      </c>
      <c r="Q2" s="9">
        <f>IF(COUNT(I2:N2)&gt;0,1,0)</f>
        <v/>
      </c>
      <c r="R2" s="9">
        <f>P2*Q2</f>
        <v/>
      </c>
      <c r="S2" s="14">
        <f>IF(Q2=1,O2/P2,"")</f>
        <v/>
      </c>
      <c r="T2" s="4" t="n"/>
      <c r="U2" s="4" t="n"/>
      <c r="V2" s="4" t="n"/>
      <c r="W2" s="4" t="n"/>
    </row>
    <row r="3">
      <c r="A3" s="9" t="n">
        <v>2</v>
      </c>
      <c r="B3" s="13" t="n">
        <v>46297</v>
      </c>
      <c r="C3" s="9" t="inlineStr">
        <is>
          <t>Fri</t>
        </is>
      </c>
      <c r="D3" s="9" t="n">
        <v>0</v>
      </c>
      <c r="E3" s="9" t="n">
        <v>1</v>
      </c>
      <c r="F3" s="9" t="inlineStr">
        <is>
          <t>Launch</t>
        </is>
      </c>
      <c r="G3" s="9" t="inlineStr">
        <is>
          <t>Strength A (technique loads)</t>
        </is>
      </c>
      <c r="H3" s="9" t="inlineStr">
        <is>
          <t>Setup</t>
        </is>
      </c>
      <c r="I3" s="4" t="n"/>
      <c r="J3" s="4" t="n"/>
      <c r="K3" s="4" t="n"/>
      <c r="L3" s="4" t="n"/>
      <c r="M3" s="4" t="n"/>
      <c r="N3" s="4" t="n"/>
      <c r="O3" s="9">
        <f>SUM(I3:M3)+IF(WEEKDAY(B3,2)&lt;=5,N3,0)</f>
        <v/>
      </c>
      <c r="P3" s="9">
        <f>IF(WEEKDAY(B3,2)&lt;=5,6,5)</f>
        <v/>
      </c>
      <c r="Q3" s="9">
        <f>IF(COUNT(I3:N3)&gt;0,1,0)</f>
        <v/>
      </c>
      <c r="R3" s="9">
        <f>P3*Q3</f>
        <v/>
      </c>
      <c r="S3" s="14">
        <f>IF(Q3=1,O3/P3,"")</f>
        <v/>
      </c>
      <c r="T3" s="4" t="n"/>
      <c r="U3" s="4" t="n"/>
      <c r="V3" s="4" t="n"/>
      <c r="W3" s="4" t="n"/>
    </row>
    <row r="4">
      <c r="A4" s="9" t="n">
        <v>3</v>
      </c>
      <c r="B4" s="13" t="n">
        <v>46298</v>
      </c>
      <c r="C4" s="9" t="inlineStr">
        <is>
          <t>Sat</t>
        </is>
      </c>
      <c r="D4" s="9" t="n">
        <v>0</v>
      </c>
      <c r="E4" s="9" t="n">
        <v>1</v>
      </c>
      <c r="F4" s="9" t="inlineStr">
        <is>
          <t>Launch</t>
        </is>
      </c>
      <c r="G4" s="9" t="inlineStr">
        <is>
          <t>Activity 45-60 min</t>
        </is>
      </c>
      <c r="H4" s="9" t="inlineStr">
        <is>
          <t>Setup</t>
        </is>
      </c>
      <c r="I4" s="4" t="n"/>
      <c r="J4" s="4" t="n"/>
      <c r="K4" s="4" t="n"/>
      <c r="L4" s="4" t="n"/>
      <c r="M4" s="4" t="n"/>
      <c r="N4" s="15" t="n"/>
      <c r="O4" s="9">
        <f>SUM(I4:M4)+IF(WEEKDAY(B4,2)&lt;=5,N4,0)</f>
        <v/>
      </c>
      <c r="P4" s="9">
        <f>IF(WEEKDAY(B4,2)&lt;=5,6,5)</f>
        <v/>
      </c>
      <c r="Q4" s="9">
        <f>IF(COUNT(I4:N4)&gt;0,1,0)</f>
        <v/>
      </c>
      <c r="R4" s="9">
        <f>P4*Q4</f>
        <v/>
      </c>
      <c r="S4" s="14">
        <f>IF(Q4=1,O4/P4,"")</f>
        <v/>
      </c>
      <c r="T4" s="4" t="n"/>
      <c r="U4" s="4" t="n"/>
      <c r="V4" s="4" t="n"/>
      <c r="W4" s="4" t="n"/>
    </row>
    <row r="5">
      <c r="A5" s="16" t="n">
        <v>4</v>
      </c>
      <c r="B5" s="17" t="n">
        <v>46299</v>
      </c>
      <c r="C5" s="16" t="inlineStr">
        <is>
          <t>Sun</t>
        </is>
      </c>
      <c r="D5" s="9" t="n">
        <v>0</v>
      </c>
      <c r="E5" s="9" t="n">
        <v>1</v>
      </c>
      <c r="F5" s="9" t="inlineStr">
        <is>
          <t>Launch</t>
        </is>
      </c>
      <c r="G5" s="9" t="inlineStr">
        <is>
          <t>Mobility 20 min + finish baseline measurements</t>
        </is>
      </c>
      <c r="H5" s="9" t="inlineStr">
        <is>
          <t>Setup</t>
        </is>
      </c>
      <c r="I5" s="4" t="n"/>
      <c r="J5" s="4" t="n"/>
      <c r="K5" s="4" t="n"/>
      <c r="L5" s="4" t="n"/>
      <c r="M5" s="4" t="n"/>
      <c r="N5" s="15" t="n"/>
      <c r="O5" s="9">
        <f>SUM(I5:M5)+IF(WEEKDAY(B5,2)&lt;=5,N5,0)</f>
        <v/>
      </c>
      <c r="P5" s="9">
        <f>IF(WEEKDAY(B5,2)&lt;=5,6,5)</f>
        <v/>
      </c>
      <c r="Q5" s="9">
        <f>IF(COUNT(I5:N5)&gt;0,1,0)</f>
        <v/>
      </c>
      <c r="R5" s="9">
        <f>P5*Q5</f>
        <v/>
      </c>
      <c r="S5" s="14">
        <f>IF(Q5=1,O5/P5,"")</f>
        <v/>
      </c>
      <c r="T5" s="4" t="n"/>
      <c r="U5" s="4" t="n"/>
      <c r="V5" s="4" t="n"/>
      <c r="W5" s="4" t="n"/>
    </row>
    <row r="6">
      <c r="A6" s="9" t="n">
        <v>5</v>
      </c>
      <c r="B6" s="13" t="n">
        <v>46300</v>
      </c>
      <c r="C6" s="9" t="inlineStr">
        <is>
          <t>Mon</t>
        </is>
      </c>
      <c r="D6" s="9" t="n">
        <v>1</v>
      </c>
      <c r="E6" s="9" t="n">
        <v>1</v>
      </c>
      <c r="F6" s="9" t="inlineStr">
        <is>
          <t>Foundation (technique)</t>
        </is>
      </c>
      <c r="G6" s="9" t="inlineStr">
        <is>
          <t>Strength A (2 sets, RPE 5-6)</t>
        </is>
      </c>
      <c r="H6" s="9" t="inlineStr">
        <is>
          <t>Python for geospatial</t>
        </is>
      </c>
      <c r="I6" s="4" t="n"/>
      <c r="J6" s="4" t="n"/>
      <c r="K6" s="4" t="n"/>
      <c r="L6" s="4" t="n"/>
      <c r="M6" s="4" t="n"/>
      <c r="N6" s="4" t="n"/>
      <c r="O6" s="9">
        <f>SUM(I6:M6)+IF(WEEKDAY(B6,2)&lt;=5,N6,0)</f>
        <v/>
      </c>
      <c r="P6" s="9">
        <f>IF(WEEKDAY(B6,2)&lt;=5,6,5)</f>
        <v/>
      </c>
      <c r="Q6" s="9">
        <f>IF(COUNT(I6:N6)&gt;0,1,0)</f>
        <v/>
      </c>
      <c r="R6" s="9">
        <f>P6*Q6</f>
        <v/>
      </c>
      <c r="S6" s="14">
        <f>IF(Q6=1,O6/P6,"")</f>
        <v/>
      </c>
      <c r="T6" s="4" t="n"/>
      <c r="U6" s="4" t="n"/>
      <c r="V6" s="4" t="n"/>
      <c r="W6" s="4" t="n"/>
    </row>
    <row r="7">
      <c r="A7" s="9" t="n">
        <v>6</v>
      </c>
      <c r="B7" s="13" t="n">
        <v>46301</v>
      </c>
      <c r="C7" s="9" t="inlineStr">
        <is>
          <t>Tue</t>
        </is>
      </c>
      <c r="D7" s="9" t="n">
        <v>1</v>
      </c>
      <c r="E7" s="9" t="n">
        <v>1</v>
      </c>
      <c r="F7" s="9" t="inlineStr">
        <is>
          <t>Foundation (technique)</t>
        </is>
      </c>
      <c r="G7" s="9" t="inlineStr">
        <is>
          <t>Zone 2 cardio 30 min</t>
        </is>
      </c>
      <c r="H7" s="9" t="inlineStr">
        <is>
          <t>Python for geospatial</t>
        </is>
      </c>
      <c r="I7" s="4" t="n"/>
      <c r="J7" s="4" t="n"/>
      <c r="K7" s="4" t="n"/>
      <c r="L7" s="4" t="n"/>
      <c r="M7" s="4" t="n"/>
      <c r="N7" s="4" t="n"/>
      <c r="O7" s="9">
        <f>SUM(I7:M7)+IF(WEEKDAY(B7,2)&lt;=5,N7,0)</f>
        <v/>
      </c>
      <c r="P7" s="9">
        <f>IF(WEEKDAY(B7,2)&lt;=5,6,5)</f>
        <v/>
      </c>
      <c r="Q7" s="9">
        <f>IF(COUNT(I7:N7)&gt;0,1,0)</f>
        <v/>
      </c>
      <c r="R7" s="9">
        <f>P7*Q7</f>
        <v/>
      </c>
      <c r="S7" s="14">
        <f>IF(Q7=1,O7/P7,"")</f>
        <v/>
      </c>
      <c r="T7" s="4" t="n"/>
      <c r="U7" s="4" t="n"/>
      <c r="V7" s="4" t="n"/>
      <c r="W7" s="4" t="n"/>
    </row>
    <row r="8">
      <c r="A8" s="9" t="n">
        <v>7</v>
      </c>
      <c r="B8" s="13" t="n">
        <v>46302</v>
      </c>
      <c r="C8" s="9" t="inlineStr">
        <is>
          <t>Wed</t>
        </is>
      </c>
      <c r="D8" s="9" t="n">
        <v>1</v>
      </c>
      <c r="E8" s="9" t="n">
        <v>1</v>
      </c>
      <c r="F8" s="9" t="inlineStr">
        <is>
          <t>Foundation (technique)</t>
        </is>
      </c>
      <c r="G8" s="9" t="inlineStr">
        <is>
          <t>Strength B (2 sets, RPE 5-6)</t>
        </is>
      </c>
      <c r="H8" s="9" t="inlineStr">
        <is>
          <t>Python for geospatial</t>
        </is>
      </c>
      <c r="I8" s="4" t="n"/>
      <c r="J8" s="4" t="n"/>
      <c r="K8" s="4" t="n"/>
      <c r="L8" s="4" t="n"/>
      <c r="M8" s="4" t="n"/>
      <c r="N8" s="4" t="n"/>
      <c r="O8" s="9">
        <f>SUM(I8:M8)+IF(WEEKDAY(B8,2)&lt;=5,N8,0)</f>
        <v/>
      </c>
      <c r="P8" s="9">
        <f>IF(WEEKDAY(B8,2)&lt;=5,6,5)</f>
        <v/>
      </c>
      <c r="Q8" s="9">
        <f>IF(COUNT(I8:N8)&gt;0,1,0)</f>
        <v/>
      </c>
      <c r="R8" s="9">
        <f>P8*Q8</f>
        <v/>
      </c>
      <c r="S8" s="14">
        <f>IF(Q8=1,O8/P8,"")</f>
        <v/>
      </c>
      <c r="T8" s="4" t="n"/>
      <c r="U8" s="4" t="n"/>
      <c r="V8" s="4" t="n"/>
      <c r="W8" s="4" t="n"/>
    </row>
    <row r="9">
      <c r="A9" s="9" t="n">
        <v>8</v>
      </c>
      <c r="B9" s="13" t="n">
        <v>46303</v>
      </c>
      <c r="C9" s="9" t="inlineStr">
        <is>
          <t>Thu</t>
        </is>
      </c>
      <c r="D9" s="9" t="n">
        <v>1</v>
      </c>
      <c r="E9" s="9" t="n">
        <v>1</v>
      </c>
      <c r="F9" s="9" t="inlineStr">
        <is>
          <t>Foundation (technique)</t>
        </is>
      </c>
      <c r="G9" s="9" t="inlineStr">
        <is>
          <t>Zone 2 cardio 30 min</t>
        </is>
      </c>
      <c r="H9" s="9" t="inlineStr">
        <is>
          <t>Python for geospatial</t>
        </is>
      </c>
      <c r="I9" s="4" t="n"/>
      <c r="J9" s="4" t="n"/>
      <c r="K9" s="4" t="n"/>
      <c r="L9" s="4" t="n"/>
      <c r="M9" s="4" t="n"/>
      <c r="N9" s="4" t="n"/>
      <c r="O9" s="9">
        <f>SUM(I9:M9)+IF(WEEKDAY(B9,2)&lt;=5,N9,0)</f>
        <v/>
      </c>
      <c r="P9" s="9">
        <f>IF(WEEKDAY(B9,2)&lt;=5,6,5)</f>
        <v/>
      </c>
      <c r="Q9" s="9">
        <f>IF(COUNT(I9:N9)&gt;0,1,0)</f>
        <v/>
      </c>
      <c r="R9" s="9">
        <f>P9*Q9</f>
        <v/>
      </c>
      <c r="S9" s="14">
        <f>IF(Q9=1,O9/P9,"")</f>
        <v/>
      </c>
      <c r="T9" s="4" t="n"/>
      <c r="U9" s="4" t="n"/>
      <c r="V9" s="4" t="n"/>
      <c r="W9" s="4" t="n"/>
    </row>
    <row r="10">
      <c r="A10" s="9" t="n">
        <v>9</v>
      </c>
      <c r="B10" s="13" t="n">
        <v>46304</v>
      </c>
      <c r="C10" s="9" t="inlineStr">
        <is>
          <t>Fri</t>
        </is>
      </c>
      <c r="D10" s="9" t="n">
        <v>1</v>
      </c>
      <c r="E10" s="9" t="n">
        <v>1</v>
      </c>
      <c r="F10" s="9" t="inlineStr">
        <is>
          <t>Foundation (technique)</t>
        </is>
      </c>
      <c r="G10" s="9" t="inlineStr">
        <is>
          <t>Strength A (2 sets, RPE 5-6)</t>
        </is>
      </c>
      <c r="H10" s="9" t="inlineStr">
        <is>
          <t>Python for geospatial</t>
        </is>
      </c>
      <c r="I10" s="4" t="n"/>
      <c r="J10" s="4" t="n"/>
      <c r="K10" s="4" t="n"/>
      <c r="L10" s="4" t="n"/>
      <c r="M10" s="4" t="n"/>
      <c r="N10" s="4" t="n"/>
      <c r="O10" s="9">
        <f>SUM(I10:M10)+IF(WEEKDAY(B10,2)&lt;=5,N10,0)</f>
        <v/>
      </c>
      <c r="P10" s="9">
        <f>IF(WEEKDAY(B10,2)&lt;=5,6,5)</f>
        <v/>
      </c>
      <c r="Q10" s="9">
        <f>IF(COUNT(I10:N10)&gt;0,1,0)</f>
        <v/>
      </c>
      <c r="R10" s="9">
        <f>P10*Q10</f>
        <v/>
      </c>
      <c r="S10" s="14">
        <f>IF(Q10=1,O10/P10,"")</f>
        <v/>
      </c>
      <c r="T10" s="4" t="n"/>
      <c r="U10" s="4" t="n"/>
      <c r="V10" s="4" t="n"/>
      <c r="W10" s="4" t="n"/>
    </row>
    <row r="11">
      <c r="A11" s="9" t="n">
        <v>10</v>
      </c>
      <c r="B11" s="13" t="n">
        <v>46305</v>
      </c>
      <c r="C11" s="9" t="inlineStr">
        <is>
          <t>Sat</t>
        </is>
      </c>
      <c r="D11" s="9" t="n">
        <v>1</v>
      </c>
      <c r="E11" s="9" t="n">
        <v>1</v>
      </c>
      <c r="F11" s="9" t="inlineStr">
        <is>
          <t>Foundation (technique)</t>
        </is>
      </c>
      <c r="G11" s="9" t="inlineStr">
        <is>
          <t>Activity 45-60 min (hike, sport, long walk)</t>
        </is>
      </c>
      <c r="H11" s="9" t="inlineStr">
        <is>
          <t>Python for geospatial</t>
        </is>
      </c>
      <c r="I11" s="4" t="n"/>
      <c r="J11" s="4" t="n"/>
      <c r="K11" s="4" t="n"/>
      <c r="L11" s="4" t="n"/>
      <c r="M11" s="4" t="n"/>
      <c r="N11" s="15" t="n"/>
      <c r="O11" s="9">
        <f>SUM(I11:M11)+IF(WEEKDAY(B11,2)&lt;=5,N11,0)</f>
        <v/>
      </c>
      <c r="P11" s="9">
        <f>IF(WEEKDAY(B11,2)&lt;=5,6,5)</f>
        <v/>
      </c>
      <c r="Q11" s="9">
        <f>IF(COUNT(I11:N11)&gt;0,1,0)</f>
        <v/>
      </c>
      <c r="R11" s="9">
        <f>P11*Q11</f>
        <v/>
      </c>
      <c r="S11" s="14">
        <f>IF(Q11=1,O11/P11,"")</f>
        <v/>
      </c>
      <c r="T11" s="4" t="n"/>
      <c r="U11" s="4" t="n"/>
      <c r="V11" s="4" t="n"/>
      <c r="W11" s="4" t="n"/>
    </row>
    <row r="12">
      <c r="A12" s="16" t="n">
        <v>11</v>
      </c>
      <c r="B12" s="17" t="n">
        <v>46306</v>
      </c>
      <c r="C12" s="16" t="inlineStr">
        <is>
          <t>Sun</t>
        </is>
      </c>
      <c r="D12" s="9" t="n">
        <v>1</v>
      </c>
      <c r="E12" s="9" t="n">
        <v>1</v>
      </c>
      <c r="F12" s="9" t="inlineStr">
        <is>
          <t>Foundation (technique)</t>
        </is>
      </c>
      <c r="G12" s="9" t="inlineStr">
        <is>
          <t>Mobility 20 min + weekly review</t>
        </is>
      </c>
      <c r="H12" s="9" t="inlineStr">
        <is>
          <t>Python for geospatial</t>
        </is>
      </c>
      <c r="I12" s="4" t="n"/>
      <c r="J12" s="4" t="n"/>
      <c r="K12" s="4" t="n"/>
      <c r="L12" s="4" t="n"/>
      <c r="M12" s="4" t="n"/>
      <c r="N12" s="15" t="n"/>
      <c r="O12" s="9">
        <f>SUM(I12:M12)+IF(WEEKDAY(B12,2)&lt;=5,N12,0)</f>
        <v/>
      </c>
      <c r="P12" s="9">
        <f>IF(WEEKDAY(B12,2)&lt;=5,6,5)</f>
        <v/>
      </c>
      <c r="Q12" s="9">
        <f>IF(COUNT(I12:N12)&gt;0,1,0)</f>
        <v/>
      </c>
      <c r="R12" s="9">
        <f>P12*Q12</f>
        <v/>
      </c>
      <c r="S12" s="14">
        <f>IF(Q12=1,O12/P12,"")</f>
        <v/>
      </c>
      <c r="T12" s="4" t="n"/>
      <c r="U12" s="4" t="n"/>
      <c r="V12" s="4" t="n"/>
      <c r="W12" s="4" t="n"/>
    </row>
    <row r="13">
      <c r="A13" s="9" t="n">
        <v>12</v>
      </c>
      <c r="B13" s="13" t="n">
        <v>46307</v>
      </c>
      <c r="C13" s="9" t="inlineStr">
        <is>
          <t>Mon</t>
        </is>
      </c>
      <c r="D13" s="9" t="n">
        <v>2</v>
      </c>
      <c r="E13" s="9" t="n">
        <v>1</v>
      </c>
      <c r="F13" s="9" t="inlineStr">
        <is>
          <t>Foundation (technique)</t>
        </is>
      </c>
      <c r="G13" s="9" t="inlineStr">
        <is>
          <t>Strength B (2 sets, RPE 5-6)</t>
        </is>
      </c>
      <c r="H13" s="9" t="inlineStr">
        <is>
          <t>Python for geospatial</t>
        </is>
      </c>
      <c r="I13" s="4" t="n"/>
      <c r="J13" s="4" t="n"/>
      <c r="K13" s="4" t="n"/>
      <c r="L13" s="4" t="n"/>
      <c r="M13" s="4" t="n"/>
      <c r="N13" s="4" t="n"/>
      <c r="O13" s="9">
        <f>SUM(I13:M13)+IF(WEEKDAY(B13,2)&lt;=5,N13,0)</f>
        <v/>
      </c>
      <c r="P13" s="9">
        <f>IF(WEEKDAY(B13,2)&lt;=5,6,5)</f>
        <v/>
      </c>
      <c r="Q13" s="9">
        <f>IF(COUNT(I13:N13)&gt;0,1,0)</f>
        <v/>
      </c>
      <c r="R13" s="9">
        <f>P13*Q13</f>
        <v/>
      </c>
      <c r="S13" s="14">
        <f>IF(Q13=1,O13/P13,"")</f>
        <v/>
      </c>
      <c r="T13" s="4" t="n"/>
      <c r="U13" s="4" t="n"/>
      <c r="V13" s="4" t="n"/>
      <c r="W13" s="4" t="n"/>
    </row>
    <row r="14">
      <c r="A14" s="9" t="n">
        <v>13</v>
      </c>
      <c r="B14" s="13" t="n">
        <v>46308</v>
      </c>
      <c r="C14" s="9" t="inlineStr">
        <is>
          <t>Tue</t>
        </is>
      </c>
      <c r="D14" s="9" t="n">
        <v>2</v>
      </c>
      <c r="E14" s="9" t="n">
        <v>1</v>
      </c>
      <c r="F14" s="9" t="inlineStr">
        <is>
          <t>Foundation (technique)</t>
        </is>
      </c>
      <c r="G14" s="9" t="inlineStr">
        <is>
          <t>Zone 2 cardio 30 min</t>
        </is>
      </c>
      <c r="H14" s="9" t="inlineStr">
        <is>
          <t>Python for geospatial</t>
        </is>
      </c>
      <c r="I14" s="4" t="n"/>
      <c r="J14" s="4" t="n"/>
      <c r="K14" s="4" t="n"/>
      <c r="L14" s="4" t="n"/>
      <c r="M14" s="4" t="n"/>
      <c r="N14" s="4" t="n"/>
      <c r="O14" s="9">
        <f>SUM(I14:M14)+IF(WEEKDAY(B14,2)&lt;=5,N14,0)</f>
        <v/>
      </c>
      <c r="P14" s="9">
        <f>IF(WEEKDAY(B14,2)&lt;=5,6,5)</f>
        <v/>
      </c>
      <c r="Q14" s="9">
        <f>IF(COUNT(I14:N14)&gt;0,1,0)</f>
        <v/>
      </c>
      <c r="R14" s="9">
        <f>P14*Q14</f>
        <v/>
      </c>
      <c r="S14" s="14">
        <f>IF(Q14=1,O14/P14,"")</f>
        <v/>
      </c>
      <c r="T14" s="4" t="n"/>
      <c r="U14" s="4" t="n"/>
      <c r="V14" s="4" t="n"/>
      <c r="W14" s="4" t="n"/>
    </row>
    <row r="15">
      <c r="A15" s="9" t="n">
        <v>14</v>
      </c>
      <c r="B15" s="13" t="n">
        <v>46309</v>
      </c>
      <c r="C15" s="9" t="inlineStr">
        <is>
          <t>Wed</t>
        </is>
      </c>
      <c r="D15" s="9" t="n">
        <v>2</v>
      </c>
      <c r="E15" s="9" t="n">
        <v>1</v>
      </c>
      <c r="F15" s="9" t="inlineStr">
        <is>
          <t>Foundation (technique)</t>
        </is>
      </c>
      <c r="G15" s="9" t="inlineStr">
        <is>
          <t>Strength A (2 sets, RPE 5-6)</t>
        </is>
      </c>
      <c r="H15" s="9" t="inlineStr">
        <is>
          <t>Python for geospatial</t>
        </is>
      </c>
      <c r="I15" s="4" t="n"/>
      <c r="J15" s="4" t="n"/>
      <c r="K15" s="4" t="n"/>
      <c r="L15" s="4" t="n"/>
      <c r="M15" s="4" t="n"/>
      <c r="N15" s="4" t="n"/>
      <c r="O15" s="9">
        <f>SUM(I15:M15)+IF(WEEKDAY(B15,2)&lt;=5,N15,0)</f>
        <v/>
      </c>
      <c r="P15" s="9">
        <f>IF(WEEKDAY(B15,2)&lt;=5,6,5)</f>
        <v/>
      </c>
      <c r="Q15" s="9">
        <f>IF(COUNT(I15:N15)&gt;0,1,0)</f>
        <v/>
      </c>
      <c r="R15" s="9">
        <f>P15*Q15</f>
        <v/>
      </c>
      <c r="S15" s="14">
        <f>IF(Q15=1,O15/P15,"")</f>
        <v/>
      </c>
      <c r="T15" s="4" t="n"/>
      <c r="U15" s="4" t="n"/>
      <c r="V15" s="4" t="n"/>
      <c r="W15" s="4" t="n"/>
    </row>
    <row r="16">
      <c r="A16" s="9" t="n">
        <v>15</v>
      </c>
      <c r="B16" s="13" t="n">
        <v>46310</v>
      </c>
      <c r="C16" s="9" t="inlineStr">
        <is>
          <t>Thu</t>
        </is>
      </c>
      <c r="D16" s="9" t="n">
        <v>2</v>
      </c>
      <c r="E16" s="9" t="n">
        <v>1</v>
      </c>
      <c r="F16" s="9" t="inlineStr">
        <is>
          <t>Foundation (technique)</t>
        </is>
      </c>
      <c r="G16" s="9" t="inlineStr">
        <is>
          <t>Zone 2 cardio 30 min</t>
        </is>
      </c>
      <c r="H16" s="9" t="inlineStr">
        <is>
          <t>Python for geospatial</t>
        </is>
      </c>
      <c r="I16" s="4" t="n"/>
      <c r="J16" s="4" t="n"/>
      <c r="K16" s="4" t="n"/>
      <c r="L16" s="4" t="n"/>
      <c r="M16" s="4" t="n"/>
      <c r="N16" s="4" t="n"/>
      <c r="O16" s="9">
        <f>SUM(I16:M16)+IF(WEEKDAY(B16,2)&lt;=5,N16,0)</f>
        <v/>
      </c>
      <c r="P16" s="9">
        <f>IF(WEEKDAY(B16,2)&lt;=5,6,5)</f>
        <v/>
      </c>
      <c r="Q16" s="9">
        <f>IF(COUNT(I16:N16)&gt;0,1,0)</f>
        <v/>
      </c>
      <c r="R16" s="9">
        <f>P16*Q16</f>
        <v/>
      </c>
      <c r="S16" s="14">
        <f>IF(Q16=1,O16/P16,"")</f>
        <v/>
      </c>
      <c r="T16" s="4" t="n"/>
      <c r="U16" s="4" t="n"/>
      <c r="V16" s="4" t="n"/>
      <c r="W16" s="4" t="n"/>
    </row>
    <row r="17">
      <c r="A17" s="9" t="n">
        <v>16</v>
      </c>
      <c r="B17" s="13" t="n">
        <v>46311</v>
      </c>
      <c r="C17" s="9" t="inlineStr">
        <is>
          <t>Fri</t>
        </is>
      </c>
      <c r="D17" s="9" t="n">
        <v>2</v>
      </c>
      <c r="E17" s="9" t="n">
        <v>1</v>
      </c>
      <c r="F17" s="9" t="inlineStr">
        <is>
          <t>Foundation (technique)</t>
        </is>
      </c>
      <c r="G17" s="9" t="inlineStr">
        <is>
          <t>Strength B (2 sets, RPE 5-6)</t>
        </is>
      </c>
      <c r="H17" s="9" t="inlineStr">
        <is>
          <t>Python for geospatial</t>
        </is>
      </c>
      <c r="I17" s="4" t="n"/>
      <c r="J17" s="4" t="n"/>
      <c r="K17" s="4" t="n"/>
      <c r="L17" s="4" t="n"/>
      <c r="M17" s="4" t="n"/>
      <c r="N17" s="4" t="n"/>
      <c r="O17" s="9">
        <f>SUM(I17:M17)+IF(WEEKDAY(B17,2)&lt;=5,N17,0)</f>
        <v/>
      </c>
      <c r="P17" s="9">
        <f>IF(WEEKDAY(B17,2)&lt;=5,6,5)</f>
        <v/>
      </c>
      <c r="Q17" s="9">
        <f>IF(COUNT(I17:N17)&gt;0,1,0)</f>
        <v/>
      </c>
      <c r="R17" s="9">
        <f>P17*Q17</f>
        <v/>
      </c>
      <c r="S17" s="14">
        <f>IF(Q17=1,O17/P17,"")</f>
        <v/>
      </c>
      <c r="T17" s="4" t="n"/>
      <c r="U17" s="4" t="n"/>
      <c r="V17" s="4" t="n"/>
      <c r="W17" s="4" t="n"/>
    </row>
    <row r="18">
      <c r="A18" s="9" t="n">
        <v>17</v>
      </c>
      <c r="B18" s="13" t="n">
        <v>46312</v>
      </c>
      <c r="C18" s="9" t="inlineStr">
        <is>
          <t>Sat</t>
        </is>
      </c>
      <c r="D18" s="9" t="n">
        <v>2</v>
      </c>
      <c r="E18" s="9" t="n">
        <v>1</v>
      </c>
      <c r="F18" s="9" t="inlineStr">
        <is>
          <t>Foundation (technique)</t>
        </is>
      </c>
      <c r="G18" s="9" t="inlineStr">
        <is>
          <t>Activity 45-60 min (hike, sport, long walk)</t>
        </is>
      </c>
      <c r="H18" s="9" t="inlineStr">
        <is>
          <t>Python for geospatial</t>
        </is>
      </c>
      <c r="I18" s="4" t="n"/>
      <c r="J18" s="4" t="n"/>
      <c r="K18" s="4" t="n"/>
      <c r="L18" s="4" t="n"/>
      <c r="M18" s="4" t="n"/>
      <c r="N18" s="15" t="n"/>
      <c r="O18" s="9">
        <f>SUM(I18:M18)+IF(WEEKDAY(B18,2)&lt;=5,N18,0)</f>
        <v/>
      </c>
      <c r="P18" s="9">
        <f>IF(WEEKDAY(B18,2)&lt;=5,6,5)</f>
        <v/>
      </c>
      <c r="Q18" s="9">
        <f>IF(COUNT(I18:N18)&gt;0,1,0)</f>
        <v/>
      </c>
      <c r="R18" s="9">
        <f>P18*Q18</f>
        <v/>
      </c>
      <c r="S18" s="14">
        <f>IF(Q18=1,O18/P18,"")</f>
        <v/>
      </c>
      <c r="T18" s="4" t="n"/>
      <c r="U18" s="4" t="n"/>
      <c r="V18" s="4" t="n"/>
      <c r="W18" s="4" t="n"/>
    </row>
    <row r="19">
      <c r="A19" s="16" t="n">
        <v>18</v>
      </c>
      <c r="B19" s="17" t="n">
        <v>46313</v>
      </c>
      <c r="C19" s="16" t="inlineStr">
        <is>
          <t>Sun</t>
        </is>
      </c>
      <c r="D19" s="9" t="n">
        <v>2</v>
      </c>
      <c r="E19" s="9" t="n">
        <v>1</v>
      </c>
      <c r="F19" s="9" t="inlineStr">
        <is>
          <t>Foundation (technique)</t>
        </is>
      </c>
      <c r="G19" s="9" t="inlineStr">
        <is>
          <t>Mobility 20 min + weekly review</t>
        </is>
      </c>
      <c r="H19" s="9" t="inlineStr">
        <is>
          <t>Python for geospatial</t>
        </is>
      </c>
      <c r="I19" s="4" t="n"/>
      <c r="J19" s="4" t="n"/>
      <c r="K19" s="4" t="n"/>
      <c r="L19" s="4" t="n"/>
      <c r="M19" s="4" t="n"/>
      <c r="N19" s="15" t="n"/>
      <c r="O19" s="9">
        <f>SUM(I19:M19)+IF(WEEKDAY(B19,2)&lt;=5,N19,0)</f>
        <v/>
      </c>
      <c r="P19" s="9">
        <f>IF(WEEKDAY(B19,2)&lt;=5,6,5)</f>
        <v/>
      </c>
      <c r="Q19" s="9">
        <f>IF(COUNT(I19:N19)&gt;0,1,0)</f>
        <v/>
      </c>
      <c r="R19" s="9">
        <f>P19*Q19</f>
        <v/>
      </c>
      <c r="S19" s="14">
        <f>IF(Q19=1,O19/P19,"")</f>
        <v/>
      </c>
      <c r="T19" s="4" t="n"/>
      <c r="U19" s="4" t="n"/>
      <c r="V19" s="4" t="n"/>
      <c r="W19" s="4" t="n"/>
    </row>
    <row r="20">
      <c r="A20" s="9" t="n">
        <v>19</v>
      </c>
      <c r="B20" s="13" t="n">
        <v>46314</v>
      </c>
      <c r="C20" s="9" t="inlineStr">
        <is>
          <t>Mon</t>
        </is>
      </c>
      <c r="D20" s="9" t="n">
        <v>3</v>
      </c>
      <c r="E20" s="9" t="n">
        <v>1</v>
      </c>
      <c r="F20" s="9" t="inlineStr">
        <is>
          <t>Build 1</t>
        </is>
      </c>
      <c r="G20" s="9" t="inlineStr">
        <is>
          <t>Strength A (3 sets, RPE 7-8)</t>
        </is>
      </c>
      <c r="H20" s="9" t="inlineStr">
        <is>
          <t>Python for geospatial</t>
        </is>
      </c>
      <c r="I20" s="4" t="n"/>
      <c r="J20" s="4" t="n"/>
      <c r="K20" s="4" t="n"/>
      <c r="L20" s="4" t="n"/>
      <c r="M20" s="4" t="n"/>
      <c r="N20" s="4" t="n"/>
      <c r="O20" s="9">
        <f>SUM(I20:M20)+IF(WEEKDAY(B20,2)&lt;=5,N20,0)</f>
        <v/>
      </c>
      <c r="P20" s="9">
        <f>IF(WEEKDAY(B20,2)&lt;=5,6,5)</f>
        <v/>
      </c>
      <c r="Q20" s="9">
        <f>IF(COUNT(I20:N20)&gt;0,1,0)</f>
        <v/>
      </c>
      <c r="R20" s="9">
        <f>P20*Q20</f>
        <v/>
      </c>
      <c r="S20" s="14">
        <f>IF(Q20=1,O20/P20,"")</f>
        <v/>
      </c>
      <c r="T20" s="4" t="n"/>
      <c r="U20" s="4" t="n"/>
      <c r="V20" s="4" t="n"/>
      <c r="W20" s="4" t="n"/>
    </row>
    <row r="21">
      <c r="A21" s="9" t="n">
        <v>20</v>
      </c>
      <c r="B21" s="13" t="n">
        <v>46315</v>
      </c>
      <c r="C21" s="9" t="inlineStr">
        <is>
          <t>Tue</t>
        </is>
      </c>
      <c r="D21" s="9" t="n">
        <v>3</v>
      </c>
      <c r="E21" s="9" t="n">
        <v>1</v>
      </c>
      <c r="F21" s="9" t="inlineStr">
        <is>
          <t>Build 1</t>
        </is>
      </c>
      <c r="G21" s="9" t="inlineStr">
        <is>
          <t>Zone 2 cardio 30 min</t>
        </is>
      </c>
      <c r="H21" s="9" t="inlineStr">
        <is>
          <t>Python for geospatial</t>
        </is>
      </c>
      <c r="I21" s="4" t="n"/>
      <c r="J21" s="4" t="n"/>
      <c r="K21" s="4" t="n"/>
      <c r="L21" s="4" t="n"/>
      <c r="M21" s="4" t="n"/>
      <c r="N21" s="4" t="n"/>
      <c r="O21" s="9">
        <f>SUM(I21:M21)+IF(WEEKDAY(B21,2)&lt;=5,N21,0)</f>
        <v/>
      </c>
      <c r="P21" s="9">
        <f>IF(WEEKDAY(B21,2)&lt;=5,6,5)</f>
        <v/>
      </c>
      <c r="Q21" s="9">
        <f>IF(COUNT(I21:N21)&gt;0,1,0)</f>
        <v/>
      </c>
      <c r="R21" s="9">
        <f>P21*Q21</f>
        <v/>
      </c>
      <c r="S21" s="14">
        <f>IF(Q21=1,O21/P21,"")</f>
        <v/>
      </c>
      <c r="T21" s="4" t="n"/>
      <c r="U21" s="4" t="n"/>
      <c r="V21" s="4" t="n"/>
      <c r="W21" s="4" t="n"/>
    </row>
    <row r="22">
      <c r="A22" s="9" t="n">
        <v>21</v>
      </c>
      <c r="B22" s="13" t="n">
        <v>46316</v>
      </c>
      <c r="C22" s="9" t="inlineStr">
        <is>
          <t>Wed</t>
        </is>
      </c>
      <c r="D22" s="9" t="n">
        <v>3</v>
      </c>
      <c r="E22" s="9" t="n">
        <v>1</v>
      </c>
      <c r="F22" s="9" t="inlineStr">
        <is>
          <t>Build 1</t>
        </is>
      </c>
      <c r="G22" s="9" t="inlineStr">
        <is>
          <t>Strength B (3 sets, RPE 7-8)</t>
        </is>
      </c>
      <c r="H22" s="9" t="inlineStr">
        <is>
          <t>Python for geospatial</t>
        </is>
      </c>
      <c r="I22" s="4" t="n"/>
      <c r="J22" s="4" t="n"/>
      <c r="K22" s="4" t="n"/>
      <c r="L22" s="4" t="n"/>
      <c r="M22" s="4" t="n"/>
      <c r="N22" s="4" t="n"/>
      <c r="O22" s="9">
        <f>SUM(I22:M22)+IF(WEEKDAY(B22,2)&lt;=5,N22,0)</f>
        <v/>
      </c>
      <c r="P22" s="9">
        <f>IF(WEEKDAY(B22,2)&lt;=5,6,5)</f>
        <v/>
      </c>
      <c r="Q22" s="9">
        <f>IF(COUNT(I22:N22)&gt;0,1,0)</f>
        <v/>
      </c>
      <c r="R22" s="9">
        <f>P22*Q22</f>
        <v/>
      </c>
      <c r="S22" s="14">
        <f>IF(Q22=1,O22/P22,"")</f>
        <v/>
      </c>
      <c r="T22" s="4" t="n"/>
      <c r="U22" s="4" t="n"/>
      <c r="V22" s="4" t="n"/>
      <c r="W22" s="4" t="n"/>
    </row>
    <row r="23">
      <c r="A23" s="9" t="n">
        <v>22</v>
      </c>
      <c r="B23" s="13" t="n">
        <v>46317</v>
      </c>
      <c r="C23" s="9" t="inlineStr">
        <is>
          <t>Thu</t>
        </is>
      </c>
      <c r="D23" s="9" t="n">
        <v>3</v>
      </c>
      <c r="E23" s="9" t="n">
        <v>1</v>
      </c>
      <c r="F23" s="9" t="inlineStr">
        <is>
          <t>Build 1</t>
        </is>
      </c>
      <c r="G23" s="9" t="inlineStr">
        <is>
          <t>Zone 2 cardio 30 min</t>
        </is>
      </c>
      <c r="H23" s="9" t="inlineStr">
        <is>
          <t>Python for geospatial</t>
        </is>
      </c>
      <c r="I23" s="4" t="n"/>
      <c r="J23" s="4" t="n"/>
      <c r="K23" s="4" t="n"/>
      <c r="L23" s="4" t="n"/>
      <c r="M23" s="4" t="n"/>
      <c r="N23" s="4" t="n"/>
      <c r="O23" s="9">
        <f>SUM(I23:M23)+IF(WEEKDAY(B23,2)&lt;=5,N23,0)</f>
        <v/>
      </c>
      <c r="P23" s="9">
        <f>IF(WEEKDAY(B23,2)&lt;=5,6,5)</f>
        <v/>
      </c>
      <c r="Q23" s="9">
        <f>IF(COUNT(I23:N23)&gt;0,1,0)</f>
        <v/>
      </c>
      <c r="R23" s="9">
        <f>P23*Q23</f>
        <v/>
      </c>
      <c r="S23" s="14">
        <f>IF(Q23=1,O23/P23,"")</f>
        <v/>
      </c>
      <c r="T23" s="4" t="n"/>
      <c r="U23" s="4" t="n"/>
      <c r="V23" s="4" t="n"/>
      <c r="W23" s="4" t="n"/>
    </row>
    <row r="24">
      <c r="A24" s="9" t="n">
        <v>23</v>
      </c>
      <c r="B24" s="13" t="n">
        <v>46318</v>
      </c>
      <c r="C24" s="9" t="inlineStr">
        <is>
          <t>Fri</t>
        </is>
      </c>
      <c r="D24" s="9" t="n">
        <v>3</v>
      </c>
      <c r="E24" s="9" t="n">
        <v>1</v>
      </c>
      <c r="F24" s="9" t="inlineStr">
        <is>
          <t>Build 1</t>
        </is>
      </c>
      <c r="G24" s="9" t="inlineStr">
        <is>
          <t>Strength A (3 sets, RPE 7-8)</t>
        </is>
      </c>
      <c r="H24" s="9" t="inlineStr">
        <is>
          <t>Python for geospatial</t>
        </is>
      </c>
      <c r="I24" s="4" t="n"/>
      <c r="J24" s="4" t="n"/>
      <c r="K24" s="4" t="n"/>
      <c r="L24" s="4" t="n"/>
      <c r="M24" s="4" t="n"/>
      <c r="N24" s="4" t="n"/>
      <c r="O24" s="9">
        <f>SUM(I24:M24)+IF(WEEKDAY(B24,2)&lt;=5,N24,0)</f>
        <v/>
      </c>
      <c r="P24" s="9">
        <f>IF(WEEKDAY(B24,2)&lt;=5,6,5)</f>
        <v/>
      </c>
      <c r="Q24" s="9">
        <f>IF(COUNT(I24:N24)&gt;0,1,0)</f>
        <v/>
      </c>
      <c r="R24" s="9">
        <f>P24*Q24</f>
        <v/>
      </c>
      <c r="S24" s="14">
        <f>IF(Q24=1,O24/P24,"")</f>
        <v/>
      </c>
      <c r="T24" s="4" t="n"/>
      <c r="U24" s="4" t="n"/>
      <c r="V24" s="4" t="n"/>
      <c r="W24" s="4" t="n"/>
    </row>
    <row r="25">
      <c r="A25" s="9" t="n">
        <v>24</v>
      </c>
      <c r="B25" s="13" t="n">
        <v>46319</v>
      </c>
      <c r="C25" s="9" t="inlineStr">
        <is>
          <t>Sat</t>
        </is>
      </c>
      <c r="D25" s="9" t="n">
        <v>3</v>
      </c>
      <c r="E25" s="9" t="n">
        <v>1</v>
      </c>
      <c r="F25" s="9" t="inlineStr">
        <is>
          <t>Build 1</t>
        </is>
      </c>
      <c r="G25" s="9" t="inlineStr">
        <is>
          <t>Activity 45-60 min (hike, sport, long walk)</t>
        </is>
      </c>
      <c r="H25" s="9" t="inlineStr">
        <is>
          <t>Python for geospatial</t>
        </is>
      </c>
      <c r="I25" s="4" t="n"/>
      <c r="J25" s="4" t="n"/>
      <c r="K25" s="4" t="n"/>
      <c r="L25" s="4" t="n"/>
      <c r="M25" s="4" t="n"/>
      <c r="N25" s="15" t="n"/>
      <c r="O25" s="9">
        <f>SUM(I25:M25)+IF(WEEKDAY(B25,2)&lt;=5,N25,0)</f>
        <v/>
      </c>
      <c r="P25" s="9">
        <f>IF(WEEKDAY(B25,2)&lt;=5,6,5)</f>
        <v/>
      </c>
      <c r="Q25" s="9">
        <f>IF(COUNT(I25:N25)&gt;0,1,0)</f>
        <v/>
      </c>
      <c r="R25" s="9">
        <f>P25*Q25</f>
        <v/>
      </c>
      <c r="S25" s="14">
        <f>IF(Q25=1,O25/P25,"")</f>
        <v/>
      </c>
      <c r="T25" s="4" t="n"/>
      <c r="U25" s="4" t="n"/>
      <c r="V25" s="4" t="n"/>
      <c r="W25" s="4" t="n"/>
    </row>
    <row r="26">
      <c r="A26" s="16" t="n">
        <v>25</v>
      </c>
      <c r="B26" s="17" t="n">
        <v>46320</v>
      </c>
      <c r="C26" s="16" t="inlineStr">
        <is>
          <t>Sun</t>
        </is>
      </c>
      <c r="D26" s="9" t="n">
        <v>3</v>
      </c>
      <c r="E26" s="9" t="n">
        <v>1</v>
      </c>
      <c r="F26" s="9" t="inlineStr">
        <is>
          <t>Build 1</t>
        </is>
      </c>
      <c r="G26" s="9" t="inlineStr">
        <is>
          <t>Mobility 20 min + weekly review</t>
        </is>
      </c>
      <c r="H26" s="9" t="inlineStr">
        <is>
          <t>Python for geospatial</t>
        </is>
      </c>
      <c r="I26" s="4" t="n"/>
      <c r="J26" s="4" t="n"/>
      <c r="K26" s="4" t="n"/>
      <c r="L26" s="4" t="n"/>
      <c r="M26" s="4" t="n"/>
      <c r="N26" s="15" t="n"/>
      <c r="O26" s="9">
        <f>SUM(I26:M26)+IF(WEEKDAY(B26,2)&lt;=5,N26,0)</f>
        <v/>
      </c>
      <c r="P26" s="9">
        <f>IF(WEEKDAY(B26,2)&lt;=5,6,5)</f>
        <v/>
      </c>
      <c r="Q26" s="9">
        <f>IF(COUNT(I26:N26)&gt;0,1,0)</f>
        <v/>
      </c>
      <c r="R26" s="9">
        <f>P26*Q26</f>
        <v/>
      </c>
      <c r="S26" s="14">
        <f>IF(Q26=1,O26/P26,"")</f>
        <v/>
      </c>
      <c r="T26" s="4" t="n"/>
      <c r="U26" s="4" t="n"/>
      <c r="V26" s="4" t="n"/>
      <c r="W26" s="4" t="n"/>
    </row>
    <row r="27">
      <c r="A27" s="9" t="n">
        <v>26</v>
      </c>
      <c r="B27" s="13" t="n">
        <v>46321</v>
      </c>
      <c r="C27" s="9" t="inlineStr">
        <is>
          <t>Mon</t>
        </is>
      </c>
      <c r="D27" s="9" t="n">
        <v>4</v>
      </c>
      <c r="E27" s="9" t="n">
        <v>1</v>
      </c>
      <c r="F27" s="9" t="inlineStr">
        <is>
          <t>Build 1</t>
        </is>
      </c>
      <c r="G27" s="9" t="inlineStr">
        <is>
          <t>Strength B (3 sets, RPE 7-8)</t>
        </is>
      </c>
      <c r="H27" s="9" t="inlineStr">
        <is>
          <t>Python for geospatial</t>
        </is>
      </c>
      <c r="I27" s="4" t="n"/>
      <c r="J27" s="4" t="n"/>
      <c r="K27" s="4" t="n"/>
      <c r="L27" s="4" t="n"/>
      <c r="M27" s="4" t="n"/>
      <c r="N27" s="4" t="n"/>
      <c r="O27" s="9">
        <f>SUM(I27:M27)+IF(WEEKDAY(B27,2)&lt;=5,N27,0)</f>
        <v/>
      </c>
      <c r="P27" s="9">
        <f>IF(WEEKDAY(B27,2)&lt;=5,6,5)</f>
        <v/>
      </c>
      <c r="Q27" s="9">
        <f>IF(COUNT(I27:N27)&gt;0,1,0)</f>
        <v/>
      </c>
      <c r="R27" s="9">
        <f>P27*Q27</f>
        <v/>
      </c>
      <c r="S27" s="14">
        <f>IF(Q27=1,O27/P27,"")</f>
        <v/>
      </c>
      <c r="T27" s="4" t="n"/>
      <c r="U27" s="4" t="n"/>
      <c r="V27" s="4" t="n"/>
      <c r="W27" s="4" t="n"/>
    </row>
    <row r="28">
      <c r="A28" s="9" t="n">
        <v>27</v>
      </c>
      <c r="B28" s="13" t="n">
        <v>46322</v>
      </c>
      <c r="C28" s="9" t="inlineStr">
        <is>
          <t>Tue</t>
        </is>
      </c>
      <c r="D28" s="9" t="n">
        <v>4</v>
      </c>
      <c r="E28" s="9" t="n">
        <v>1</v>
      </c>
      <c r="F28" s="9" t="inlineStr">
        <is>
          <t>Build 1</t>
        </is>
      </c>
      <c r="G28" s="9" t="inlineStr">
        <is>
          <t>Zone 2 cardio 30 min</t>
        </is>
      </c>
      <c r="H28" s="9" t="inlineStr">
        <is>
          <t>Python for geospatial</t>
        </is>
      </c>
      <c r="I28" s="4" t="n"/>
      <c r="J28" s="4" t="n"/>
      <c r="K28" s="4" t="n"/>
      <c r="L28" s="4" t="n"/>
      <c r="M28" s="4" t="n"/>
      <c r="N28" s="4" t="n"/>
      <c r="O28" s="9">
        <f>SUM(I28:M28)+IF(WEEKDAY(B28,2)&lt;=5,N28,0)</f>
        <v/>
      </c>
      <c r="P28" s="9">
        <f>IF(WEEKDAY(B28,2)&lt;=5,6,5)</f>
        <v/>
      </c>
      <c r="Q28" s="9">
        <f>IF(COUNT(I28:N28)&gt;0,1,0)</f>
        <v/>
      </c>
      <c r="R28" s="9">
        <f>P28*Q28</f>
        <v/>
      </c>
      <c r="S28" s="14">
        <f>IF(Q28=1,O28/P28,"")</f>
        <v/>
      </c>
      <c r="T28" s="4" t="n"/>
      <c r="U28" s="4" t="n"/>
      <c r="V28" s="4" t="n"/>
      <c r="W28" s="4" t="n"/>
    </row>
    <row r="29">
      <c r="A29" s="9" t="n">
        <v>28</v>
      </c>
      <c r="B29" s="13" t="n">
        <v>46323</v>
      </c>
      <c r="C29" s="9" t="inlineStr">
        <is>
          <t>Wed</t>
        </is>
      </c>
      <c r="D29" s="9" t="n">
        <v>4</v>
      </c>
      <c r="E29" s="9" t="n">
        <v>1</v>
      </c>
      <c r="F29" s="9" t="inlineStr">
        <is>
          <t>Build 1</t>
        </is>
      </c>
      <c r="G29" s="9" t="inlineStr">
        <is>
          <t>Strength A (3 sets, RPE 7-8)</t>
        </is>
      </c>
      <c r="H29" s="9" t="inlineStr">
        <is>
          <t>Python for geospatial</t>
        </is>
      </c>
      <c r="I29" s="4" t="n"/>
      <c r="J29" s="4" t="n"/>
      <c r="K29" s="4" t="n"/>
      <c r="L29" s="4" t="n"/>
      <c r="M29" s="4" t="n"/>
      <c r="N29" s="4" t="n"/>
      <c r="O29" s="9">
        <f>SUM(I29:M29)+IF(WEEKDAY(B29,2)&lt;=5,N29,0)</f>
        <v/>
      </c>
      <c r="P29" s="9">
        <f>IF(WEEKDAY(B29,2)&lt;=5,6,5)</f>
        <v/>
      </c>
      <c r="Q29" s="9">
        <f>IF(COUNT(I29:N29)&gt;0,1,0)</f>
        <v/>
      </c>
      <c r="R29" s="9">
        <f>P29*Q29</f>
        <v/>
      </c>
      <c r="S29" s="14">
        <f>IF(Q29=1,O29/P29,"")</f>
        <v/>
      </c>
      <c r="T29" s="4" t="n"/>
      <c r="U29" s="4" t="n"/>
      <c r="V29" s="4" t="n"/>
      <c r="W29" s="4" t="n"/>
    </row>
    <row r="30">
      <c r="A30" s="9" t="n">
        <v>29</v>
      </c>
      <c r="B30" s="13" t="n">
        <v>46324</v>
      </c>
      <c r="C30" s="9" t="inlineStr">
        <is>
          <t>Thu</t>
        </is>
      </c>
      <c r="D30" s="9" t="n">
        <v>4</v>
      </c>
      <c r="E30" s="9" t="n">
        <v>1</v>
      </c>
      <c r="F30" s="9" t="inlineStr">
        <is>
          <t>Build 1</t>
        </is>
      </c>
      <c r="G30" s="9" t="inlineStr">
        <is>
          <t>Zone 2 cardio 30 min</t>
        </is>
      </c>
      <c r="H30" s="9" t="inlineStr">
        <is>
          <t>Python for geospatial</t>
        </is>
      </c>
      <c r="I30" s="4" t="n"/>
      <c r="J30" s="4" t="n"/>
      <c r="K30" s="4" t="n"/>
      <c r="L30" s="4" t="n"/>
      <c r="M30" s="4" t="n"/>
      <c r="N30" s="4" t="n"/>
      <c r="O30" s="9">
        <f>SUM(I30:M30)+IF(WEEKDAY(B30,2)&lt;=5,N30,0)</f>
        <v/>
      </c>
      <c r="P30" s="9">
        <f>IF(WEEKDAY(B30,2)&lt;=5,6,5)</f>
        <v/>
      </c>
      <c r="Q30" s="9">
        <f>IF(COUNT(I30:N30)&gt;0,1,0)</f>
        <v/>
      </c>
      <c r="R30" s="9">
        <f>P30*Q30</f>
        <v/>
      </c>
      <c r="S30" s="14">
        <f>IF(Q30=1,O30/P30,"")</f>
        <v/>
      </c>
      <c r="T30" s="4" t="n"/>
      <c r="U30" s="4" t="n"/>
      <c r="V30" s="4" t="n"/>
      <c r="W30" s="4" t="n"/>
    </row>
    <row r="31">
      <c r="A31" s="9" t="n">
        <v>30</v>
      </c>
      <c r="B31" s="13" t="n">
        <v>46325</v>
      </c>
      <c r="C31" s="9" t="inlineStr">
        <is>
          <t>Fri</t>
        </is>
      </c>
      <c r="D31" s="9" t="n">
        <v>4</v>
      </c>
      <c r="E31" s="9" t="n">
        <v>1</v>
      </c>
      <c r="F31" s="9" t="inlineStr">
        <is>
          <t>Build 1</t>
        </is>
      </c>
      <c r="G31" s="9" t="inlineStr">
        <is>
          <t>Strength B (3 sets, RPE 7-8)</t>
        </is>
      </c>
      <c r="H31" s="9" t="inlineStr">
        <is>
          <t>Python for geospatial</t>
        </is>
      </c>
      <c r="I31" s="4" t="n"/>
      <c r="J31" s="4" t="n"/>
      <c r="K31" s="4" t="n"/>
      <c r="L31" s="4" t="n"/>
      <c r="M31" s="4" t="n"/>
      <c r="N31" s="4" t="n"/>
      <c r="O31" s="9">
        <f>SUM(I31:M31)+IF(WEEKDAY(B31,2)&lt;=5,N31,0)</f>
        <v/>
      </c>
      <c r="P31" s="9">
        <f>IF(WEEKDAY(B31,2)&lt;=5,6,5)</f>
        <v/>
      </c>
      <c r="Q31" s="9">
        <f>IF(COUNT(I31:N31)&gt;0,1,0)</f>
        <v/>
      </c>
      <c r="R31" s="9">
        <f>P31*Q31</f>
        <v/>
      </c>
      <c r="S31" s="14">
        <f>IF(Q31=1,O31/P31,"")</f>
        <v/>
      </c>
      <c r="T31" s="4" t="n"/>
      <c r="U31" s="4" t="n"/>
      <c r="V31" s="4" t="n"/>
      <c r="W31" s="4" t="n"/>
    </row>
    <row r="32">
      <c r="A32" s="9" t="n">
        <v>31</v>
      </c>
      <c r="B32" s="13" t="n">
        <v>46326</v>
      </c>
      <c r="C32" s="9" t="inlineStr">
        <is>
          <t>Sat</t>
        </is>
      </c>
      <c r="D32" s="9" t="n">
        <v>4</v>
      </c>
      <c r="E32" s="9" t="n">
        <v>1</v>
      </c>
      <c r="F32" s="9" t="inlineStr">
        <is>
          <t>Build 1</t>
        </is>
      </c>
      <c r="G32" s="9" t="inlineStr">
        <is>
          <t>Activity 45-60 min (hike, sport, long walk)</t>
        </is>
      </c>
      <c r="H32" s="9" t="inlineStr">
        <is>
          <t>Python for geospatial</t>
        </is>
      </c>
      <c r="I32" s="4" t="n"/>
      <c r="J32" s="4" t="n"/>
      <c r="K32" s="4" t="n"/>
      <c r="L32" s="4" t="n"/>
      <c r="M32" s="4" t="n"/>
      <c r="N32" s="15" t="n"/>
      <c r="O32" s="9">
        <f>SUM(I32:M32)+IF(WEEKDAY(B32,2)&lt;=5,N32,0)</f>
        <v/>
      </c>
      <c r="P32" s="9">
        <f>IF(WEEKDAY(B32,2)&lt;=5,6,5)</f>
        <v/>
      </c>
      <c r="Q32" s="9">
        <f>IF(COUNT(I32:N32)&gt;0,1,0)</f>
        <v/>
      </c>
      <c r="R32" s="9">
        <f>P32*Q32</f>
        <v/>
      </c>
      <c r="S32" s="14">
        <f>IF(Q32=1,O32/P32,"")</f>
        <v/>
      </c>
      <c r="T32" s="4" t="n"/>
      <c r="U32" s="4" t="n"/>
      <c r="V32" s="4" t="n"/>
      <c r="W32" s="4" t="n"/>
    </row>
    <row r="33">
      <c r="A33" s="16" t="n">
        <v>32</v>
      </c>
      <c r="B33" s="17" t="n">
        <v>46327</v>
      </c>
      <c r="C33" s="16" t="inlineStr">
        <is>
          <t>Sun</t>
        </is>
      </c>
      <c r="D33" s="9" t="n">
        <v>4</v>
      </c>
      <c r="E33" s="9" t="n">
        <v>1</v>
      </c>
      <c r="F33" s="9" t="inlineStr">
        <is>
          <t>Build 1</t>
        </is>
      </c>
      <c r="G33" s="9" t="inlineStr">
        <is>
          <t>Mobility 20 min + weekly review</t>
        </is>
      </c>
      <c r="H33" s="9" t="inlineStr">
        <is>
          <t>Python for geospatial</t>
        </is>
      </c>
      <c r="I33" s="4" t="n"/>
      <c r="J33" s="4" t="n"/>
      <c r="K33" s="4" t="n"/>
      <c r="L33" s="4" t="n"/>
      <c r="M33" s="4" t="n"/>
      <c r="N33" s="15" t="n"/>
      <c r="O33" s="9">
        <f>SUM(I33:M33)+IF(WEEKDAY(B33,2)&lt;=5,N33,0)</f>
        <v/>
      </c>
      <c r="P33" s="9">
        <f>IF(WEEKDAY(B33,2)&lt;=5,6,5)</f>
        <v/>
      </c>
      <c r="Q33" s="9">
        <f>IF(COUNT(I33:N33)&gt;0,1,0)</f>
        <v/>
      </c>
      <c r="R33" s="9">
        <f>P33*Q33</f>
        <v/>
      </c>
      <c r="S33" s="14">
        <f>IF(Q33=1,O33/P33,"")</f>
        <v/>
      </c>
      <c r="T33" s="4" t="n"/>
      <c r="U33" s="4" t="n"/>
      <c r="V33" s="4" t="n"/>
      <c r="W33" s="4" t="n"/>
    </row>
    <row r="34">
      <c r="A34" s="9" t="n">
        <v>33</v>
      </c>
      <c r="B34" s="13" t="n">
        <v>46328</v>
      </c>
      <c r="C34" s="9" t="inlineStr">
        <is>
          <t>Mon</t>
        </is>
      </c>
      <c r="D34" s="9" t="n">
        <v>5</v>
      </c>
      <c r="E34" s="9" t="n">
        <v>1</v>
      </c>
      <c r="F34" s="9" t="inlineStr">
        <is>
          <t>Build 1</t>
        </is>
      </c>
      <c r="G34" s="9" t="inlineStr">
        <is>
          <t>Strength A (3 sets, RPE 7-8)</t>
        </is>
      </c>
      <c r="H34" s="9" t="inlineStr">
        <is>
          <t>Google Earth Engine</t>
        </is>
      </c>
      <c r="I34" s="4" t="n"/>
      <c r="J34" s="4" t="n"/>
      <c r="K34" s="4" t="n"/>
      <c r="L34" s="4" t="n"/>
      <c r="M34" s="4" t="n"/>
      <c r="N34" s="4" t="n"/>
      <c r="O34" s="9">
        <f>SUM(I34:M34)+IF(WEEKDAY(B34,2)&lt;=5,N34,0)</f>
        <v/>
      </c>
      <c r="P34" s="9">
        <f>IF(WEEKDAY(B34,2)&lt;=5,6,5)</f>
        <v/>
      </c>
      <c r="Q34" s="9">
        <f>IF(COUNT(I34:N34)&gt;0,1,0)</f>
        <v/>
      </c>
      <c r="R34" s="9">
        <f>P34*Q34</f>
        <v/>
      </c>
      <c r="S34" s="14">
        <f>IF(Q34=1,O34/P34,"")</f>
        <v/>
      </c>
      <c r="T34" s="4" t="n"/>
      <c r="U34" s="4" t="n"/>
      <c r="V34" s="4" t="n"/>
      <c r="W34" s="4" t="n"/>
    </row>
    <row r="35">
      <c r="A35" s="9" t="n">
        <v>34</v>
      </c>
      <c r="B35" s="13" t="n">
        <v>46329</v>
      </c>
      <c r="C35" s="9" t="inlineStr">
        <is>
          <t>Tue</t>
        </is>
      </c>
      <c r="D35" s="9" t="n">
        <v>5</v>
      </c>
      <c r="E35" s="9" t="n">
        <v>1</v>
      </c>
      <c r="F35" s="9" t="inlineStr">
        <is>
          <t>Build 1</t>
        </is>
      </c>
      <c r="G35" s="9" t="inlineStr">
        <is>
          <t>Zone 2 cardio 35-40 min</t>
        </is>
      </c>
      <c r="H35" s="9" t="inlineStr">
        <is>
          <t>Google Earth Engine</t>
        </is>
      </c>
      <c r="I35" s="4" t="n"/>
      <c r="J35" s="4" t="n"/>
      <c r="K35" s="4" t="n"/>
      <c r="L35" s="4" t="n"/>
      <c r="M35" s="4" t="n"/>
      <c r="N35" s="4" t="n"/>
      <c r="O35" s="9">
        <f>SUM(I35:M35)+IF(WEEKDAY(B35,2)&lt;=5,N35,0)</f>
        <v/>
      </c>
      <c r="P35" s="9">
        <f>IF(WEEKDAY(B35,2)&lt;=5,6,5)</f>
        <v/>
      </c>
      <c r="Q35" s="9">
        <f>IF(COUNT(I35:N35)&gt;0,1,0)</f>
        <v/>
      </c>
      <c r="R35" s="9">
        <f>P35*Q35</f>
        <v/>
      </c>
      <c r="S35" s="14">
        <f>IF(Q35=1,O35/P35,"")</f>
        <v/>
      </c>
      <c r="T35" s="4" t="n"/>
      <c r="U35" s="4" t="n"/>
      <c r="V35" s="4" t="n"/>
      <c r="W35" s="4" t="n"/>
    </row>
    <row r="36">
      <c r="A36" s="9" t="n">
        <v>35</v>
      </c>
      <c r="B36" s="13" t="n">
        <v>46330</v>
      </c>
      <c r="C36" s="9" t="inlineStr">
        <is>
          <t>Wed</t>
        </is>
      </c>
      <c r="D36" s="9" t="n">
        <v>5</v>
      </c>
      <c r="E36" s="9" t="n">
        <v>1</v>
      </c>
      <c r="F36" s="9" t="inlineStr">
        <is>
          <t>Build 1</t>
        </is>
      </c>
      <c r="G36" s="9" t="inlineStr">
        <is>
          <t>Strength B (3 sets, RPE 7-8)</t>
        </is>
      </c>
      <c r="H36" s="9" t="inlineStr">
        <is>
          <t>Google Earth Engine</t>
        </is>
      </c>
      <c r="I36" s="4" t="n"/>
      <c r="J36" s="4" t="n"/>
      <c r="K36" s="4" t="n"/>
      <c r="L36" s="4" t="n"/>
      <c r="M36" s="4" t="n"/>
      <c r="N36" s="4" t="n"/>
      <c r="O36" s="9">
        <f>SUM(I36:M36)+IF(WEEKDAY(B36,2)&lt;=5,N36,0)</f>
        <v/>
      </c>
      <c r="P36" s="9">
        <f>IF(WEEKDAY(B36,2)&lt;=5,6,5)</f>
        <v/>
      </c>
      <c r="Q36" s="9">
        <f>IF(COUNT(I36:N36)&gt;0,1,0)</f>
        <v/>
      </c>
      <c r="R36" s="9">
        <f>P36*Q36</f>
        <v/>
      </c>
      <c r="S36" s="14">
        <f>IF(Q36=1,O36/P36,"")</f>
        <v/>
      </c>
      <c r="T36" s="4" t="n"/>
      <c r="U36" s="4" t="n"/>
      <c r="V36" s="4" t="n"/>
      <c r="W36" s="4" t="n"/>
    </row>
    <row r="37">
      <c r="A37" s="9" t="n">
        <v>36</v>
      </c>
      <c r="B37" s="13" t="n">
        <v>46331</v>
      </c>
      <c r="C37" s="9" t="inlineStr">
        <is>
          <t>Thu</t>
        </is>
      </c>
      <c r="D37" s="9" t="n">
        <v>5</v>
      </c>
      <c r="E37" s="9" t="n">
        <v>1</v>
      </c>
      <c r="F37" s="9" t="inlineStr">
        <is>
          <t>Build 1</t>
        </is>
      </c>
      <c r="G37" s="9" t="inlineStr">
        <is>
          <t>Zone 2 cardio 35-40 min</t>
        </is>
      </c>
      <c r="H37" s="9" t="inlineStr">
        <is>
          <t>Google Earth Engine</t>
        </is>
      </c>
      <c r="I37" s="4" t="n"/>
      <c r="J37" s="4" t="n"/>
      <c r="K37" s="4" t="n"/>
      <c r="L37" s="4" t="n"/>
      <c r="M37" s="4" t="n"/>
      <c r="N37" s="4" t="n"/>
      <c r="O37" s="9">
        <f>SUM(I37:M37)+IF(WEEKDAY(B37,2)&lt;=5,N37,0)</f>
        <v/>
      </c>
      <c r="P37" s="9">
        <f>IF(WEEKDAY(B37,2)&lt;=5,6,5)</f>
        <v/>
      </c>
      <c r="Q37" s="9">
        <f>IF(COUNT(I37:N37)&gt;0,1,0)</f>
        <v/>
      </c>
      <c r="R37" s="9">
        <f>P37*Q37</f>
        <v/>
      </c>
      <c r="S37" s="14">
        <f>IF(Q37=1,O37/P37,"")</f>
        <v/>
      </c>
      <c r="T37" s="4" t="n"/>
      <c r="U37" s="4" t="n"/>
      <c r="V37" s="4" t="n"/>
      <c r="W37" s="4" t="n"/>
    </row>
    <row r="38">
      <c r="A38" s="9" t="n">
        <v>37</v>
      </c>
      <c r="B38" s="13" t="n">
        <v>46332</v>
      </c>
      <c r="C38" s="9" t="inlineStr">
        <is>
          <t>Fri</t>
        </is>
      </c>
      <c r="D38" s="9" t="n">
        <v>5</v>
      </c>
      <c r="E38" s="9" t="n">
        <v>1</v>
      </c>
      <c r="F38" s="9" t="inlineStr">
        <is>
          <t>Build 1</t>
        </is>
      </c>
      <c r="G38" s="9" t="inlineStr">
        <is>
          <t>Strength A (3 sets, RPE 7-8)</t>
        </is>
      </c>
      <c r="H38" s="9" t="inlineStr">
        <is>
          <t>Google Earth Engine</t>
        </is>
      </c>
      <c r="I38" s="4" t="n"/>
      <c r="J38" s="4" t="n"/>
      <c r="K38" s="4" t="n"/>
      <c r="L38" s="4" t="n"/>
      <c r="M38" s="4" t="n"/>
      <c r="N38" s="4" t="n"/>
      <c r="O38" s="9">
        <f>SUM(I38:M38)+IF(WEEKDAY(B38,2)&lt;=5,N38,0)</f>
        <v/>
      </c>
      <c r="P38" s="9">
        <f>IF(WEEKDAY(B38,2)&lt;=5,6,5)</f>
        <v/>
      </c>
      <c r="Q38" s="9">
        <f>IF(COUNT(I38:N38)&gt;0,1,0)</f>
        <v/>
      </c>
      <c r="R38" s="9">
        <f>P38*Q38</f>
        <v/>
      </c>
      <c r="S38" s="14">
        <f>IF(Q38=1,O38/P38,"")</f>
        <v/>
      </c>
      <c r="T38" s="4" t="n"/>
      <c r="U38" s="4" t="n"/>
      <c r="V38" s="4" t="n"/>
      <c r="W38" s="4" t="n"/>
    </row>
    <row r="39">
      <c r="A39" s="9" t="n">
        <v>38</v>
      </c>
      <c r="B39" s="13" t="n">
        <v>46333</v>
      </c>
      <c r="C39" s="9" t="inlineStr">
        <is>
          <t>Sat</t>
        </is>
      </c>
      <c r="D39" s="9" t="n">
        <v>5</v>
      </c>
      <c r="E39" s="9" t="n">
        <v>1</v>
      </c>
      <c r="F39" s="9" t="inlineStr">
        <is>
          <t>Build 1</t>
        </is>
      </c>
      <c r="G39" s="9" t="inlineStr">
        <is>
          <t>Activity 45-60 min (hike, sport, long walk)</t>
        </is>
      </c>
      <c r="H39" s="9" t="inlineStr">
        <is>
          <t>Google Earth Engine</t>
        </is>
      </c>
      <c r="I39" s="4" t="n"/>
      <c r="J39" s="4" t="n"/>
      <c r="K39" s="4" t="n"/>
      <c r="L39" s="4" t="n"/>
      <c r="M39" s="4" t="n"/>
      <c r="N39" s="15" t="n"/>
      <c r="O39" s="9">
        <f>SUM(I39:M39)+IF(WEEKDAY(B39,2)&lt;=5,N39,0)</f>
        <v/>
      </c>
      <c r="P39" s="9">
        <f>IF(WEEKDAY(B39,2)&lt;=5,6,5)</f>
        <v/>
      </c>
      <c r="Q39" s="9">
        <f>IF(COUNT(I39:N39)&gt;0,1,0)</f>
        <v/>
      </c>
      <c r="R39" s="9">
        <f>P39*Q39</f>
        <v/>
      </c>
      <c r="S39" s="14">
        <f>IF(Q39=1,O39/P39,"")</f>
        <v/>
      </c>
      <c r="T39" s="4" t="n"/>
      <c r="U39" s="4" t="n"/>
      <c r="V39" s="4" t="n"/>
      <c r="W39" s="4" t="n"/>
    </row>
    <row r="40">
      <c r="A40" s="16" t="n">
        <v>39</v>
      </c>
      <c r="B40" s="17" t="n">
        <v>46334</v>
      </c>
      <c r="C40" s="16" t="inlineStr">
        <is>
          <t>Sun</t>
        </is>
      </c>
      <c r="D40" s="9" t="n">
        <v>5</v>
      </c>
      <c r="E40" s="9" t="n">
        <v>1</v>
      </c>
      <c r="F40" s="9" t="inlineStr">
        <is>
          <t>Build 1</t>
        </is>
      </c>
      <c r="G40" s="9" t="inlineStr">
        <is>
          <t>Mobility 20 min + weekly review</t>
        </is>
      </c>
      <c r="H40" s="9" t="inlineStr">
        <is>
          <t>Google Earth Engine</t>
        </is>
      </c>
      <c r="I40" s="4" t="n"/>
      <c r="J40" s="4" t="n"/>
      <c r="K40" s="4" t="n"/>
      <c r="L40" s="4" t="n"/>
      <c r="M40" s="4" t="n"/>
      <c r="N40" s="15" t="n"/>
      <c r="O40" s="9">
        <f>SUM(I40:M40)+IF(WEEKDAY(B40,2)&lt;=5,N40,0)</f>
        <v/>
      </c>
      <c r="P40" s="9">
        <f>IF(WEEKDAY(B40,2)&lt;=5,6,5)</f>
        <v/>
      </c>
      <c r="Q40" s="9">
        <f>IF(COUNT(I40:N40)&gt;0,1,0)</f>
        <v/>
      </c>
      <c r="R40" s="9">
        <f>P40*Q40</f>
        <v/>
      </c>
      <c r="S40" s="14">
        <f>IF(Q40=1,O40/P40,"")</f>
        <v/>
      </c>
      <c r="T40" s="4" t="n"/>
      <c r="U40" s="4" t="n"/>
      <c r="V40" s="4" t="n"/>
      <c r="W40" s="4" t="n"/>
    </row>
    <row r="41">
      <c r="A41" s="9" t="n">
        <v>40</v>
      </c>
      <c r="B41" s="13" t="n">
        <v>46335</v>
      </c>
      <c r="C41" s="9" t="inlineStr">
        <is>
          <t>Mon</t>
        </is>
      </c>
      <c r="D41" s="9" t="n">
        <v>6</v>
      </c>
      <c r="E41" s="9" t="n">
        <v>1</v>
      </c>
      <c r="F41" s="9" t="inlineStr">
        <is>
          <t>Build 1</t>
        </is>
      </c>
      <c r="G41" s="9" t="inlineStr">
        <is>
          <t>Strength B (3 sets, RPE 7-8)</t>
        </is>
      </c>
      <c r="H41" s="9" t="inlineStr">
        <is>
          <t>Google Earth Engine</t>
        </is>
      </c>
      <c r="I41" s="4" t="n"/>
      <c r="J41" s="4" t="n"/>
      <c r="K41" s="4" t="n"/>
      <c r="L41" s="4" t="n"/>
      <c r="M41" s="4" t="n"/>
      <c r="N41" s="4" t="n"/>
      <c r="O41" s="9">
        <f>SUM(I41:M41)+IF(WEEKDAY(B41,2)&lt;=5,N41,0)</f>
        <v/>
      </c>
      <c r="P41" s="9">
        <f>IF(WEEKDAY(B41,2)&lt;=5,6,5)</f>
        <v/>
      </c>
      <c r="Q41" s="9">
        <f>IF(COUNT(I41:N41)&gt;0,1,0)</f>
        <v/>
      </c>
      <c r="R41" s="9">
        <f>P41*Q41</f>
        <v/>
      </c>
      <c r="S41" s="14">
        <f>IF(Q41=1,O41/P41,"")</f>
        <v/>
      </c>
      <c r="T41" s="4" t="n"/>
      <c r="U41" s="4" t="n"/>
      <c r="V41" s="4" t="n"/>
      <c r="W41" s="4" t="n"/>
    </row>
    <row r="42">
      <c r="A42" s="9" t="n">
        <v>41</v>
      </c>
      <c r="B42" s="13" t="n">
        <v>46336</v>
      </c>
      <c r="C42" s="9" t="inlineStr">
        <is>
          <t>Tue</t>
        </is>
      </c>
      <c r="D42" s="9" t="n">
        <v>6</v>
      </c>
      <c r="E42" s="9" t="n">
        <v>1</v>
      </c>
      <c r="F42" s="9" t="inlineStr">
        <is>
          <t>Build 1</t>
        </is>
      </c>
      <c r="G42" s="9" t="inlineStr">
        <is>
          <t>Zone 2 cardio 35-40 min</t>
        </is>
      </c>
      <c r="H42" s="9" t="inlineStr">
        <is>
          <t>Google Earth Engine</t>
        </is>
      </c>
      <c r="I42" s="4" t="n"/>
      <c r="J42" s="4" t="n"/>
      <c r="K42" s="4" t="n"/>
      <c r="L42" s="4" t="n"/>
      <c r="M42" s="4" t="n"/>
      <c r="N42" s="4" t="n"/>
      <c r="O42" s="9">
        <f>SUM(I42:M42)+IF(WEEKDAY(B42,2)&lt;=5,N42,0)</f>
        <v/>
      </c>
      <c r="P42" s="9">
        <f>IF(WEEKDAY(B42,2)&lt;=5,6,5)</f>
        <v/>
      </c>
      <c r="Q42" s="9">
        <f>IF(COUNT(I42:N42)&gt;0,1,0)</f>
        <v/>
      </c>
      <c r="R42" s="9">
        <f>P42*Q42</f>
        <v/>
      </c>
      <c r="S42" s="14">
        <f>IF(Q42=1,O42/P42,"")</f>
        <v/>
      </c>
      <c r="T42" s="4" t="n"/>
      <c r="U42" s="4" t="n"/>
      <c r="V42" s="4" t="n"/>
      <c r="W42" s="4" t="n"/>
    </row>
    <row r="43">
      <c r="A43" s="9" t="n">
        <v>42</v>
      </c>
      <c r="B43" s="13" t="n">
        <v>46337</v>
      </c>
      <c r="C43" s="9" t="inlineStr">
        <is>
          <t>Wed</t>
        </is>
      </c>
      <c r="D43" s="9" t="n">
        <v>6</v>
      </c>
      <c r="E43" s="9" t="n">
        <v>1</v>
      </c>
      <c r="F43" s="9" t="inlineStr">
        <is>
          <t>Build 1</t>
        </is>
      </c>
      <c r="G43" s="9" t="inlineStr">
        <is>
          <t>Strength A (3 sets, RPE 7-8)</t>
        </is>
      </c>
      <c r="H43" s="9" t="inlineStr">
        <is>
          <t>Google Earth Engine</t>
        </is>
      </c>
      <c r="I43" s="4" t="n"/>
      <c r="J43" s="4" t="n"/>
      <c r="K43" s="4" t="n"/>
      <c r="L43" s="4" t="n"/>
      <c r="M43" s="4" t="n"/>
      <c r="N43" s="4" t="n"/>
      <c r="O43" s="9">
        <f>SUM(I43:M43)+IF(WEEKDAY(B43,2)&lt;=5,N43,0)</f>
        <v/>
      </c>
      <c r="P43" s="9">
        <f>IF(WEEKDAY(B43,2)&lt;=5,6,5)</f>
        <v/>
      </c>
      <c r="Q43" s="9">
        <f>IF(COUNT(I43:N43)&gt;0,1,0)</f>
        <v/>
      </c>
      <c r="R43" s="9">
        <f>P43*Q43</f>
        <v/>
      </c>
      <c r="S43" s="14">
        <f>IF(Q43=1,O43/P43,"")</f>
        <v/>
      </c>
      <c r="T43" s="4" t="n"/>
      <c r="U43" s="4" t="n"/>
      <c r="V43" s="4" t="n"/>
      <c r="W43" s="4" t="n"/>
    </row>
    <row r="44">
      <c r="A44" s="9" t="n">
        <v>43</v>
      </c>
      <c r="B44" s="13" t="n">
        <v>46338</v>
      </c>
      <c r="C44" s="9" t="inlineStr">
        <is>
          <t>Thu</t>
        </is>
      </c>
      <c r="D44" s="9" t="n">
        <v>6</v>
      </c>
      <c r="E44" s="9" t="n">
        <v>1</v>
      </c>
      <c r="F44" s="9" t="inlineStr">
        <is>
          <t>Build 1</t>
        </is>
      </c>
      <c r="G44" s="9" t="inlineStr">
        <is>
          <t>Zone 2 cardio 35-40 min</t>
        </is>
      </c>
      <c r="H44" s="9" t="inlineStr">
        <is>
          <t>Google Earth Engine</t>
        </is>
      </c>
      <c r="I44" s="4" t="n"/>
      <c r="J44" s="4" t="n"/>
      <c r="K44" s="4" t="n"/>
      <c r="L44" s="4" t="n"/>
      <c r="M44" s="4" t="n"/>
      <c r="N44" s="4" t="n"/>
      <c r="O44" s="9">
        <f>SUM(I44:M44)+IF(WEEKDAY(B44,2)&lt;=5,N44,0)</f>
        <v/>
      </c>
      <c r="P44" s="9">
        <f>IF(WEEKDAY(B44,2)&lt;=5,6,5)</f>
        <v/>
      </c>
      <c r="Q44" s="9">
        <f>IF(COUNT(I44:N44)&gt;0,1,0)</f>
        <v/>
      </c>
      <c r="R44" s="9">
        <f>P44*Q44</f>
        <v/>
      </c>
      <c r="S44" s="14">
        <f>IF(Q44=1,O44/P44,"")</f>
        <v/>
      </c>
      <c r="T44" s="4" t="n"/>
      <c r="U44" s="4" t="n"/>
      <c r="V44" s="4" t="n"/>
      <c r="W44" s="4" t="n"/>
    </row>
    <row r="45">
      <c r="A45" s="9" t="n">
        <v>44</v>
      </c>
      <c r="B45" s="13" t="n">
        <v>46339</v>
      </c>
      <c r="C45" s="9" t="inlineStr">
        <is>
          <t>Fri</t>
        </is>
      </c>
      <c r="D45" s="9" t="n">
        <v>6</v>
      </c>
      <c r="E45" s="9" t="n">
        <v>1</v>
      </c>
      <c r="F45" s="9" t="inlineStr">
        <is>
          <t>Build 1</t>
        </is>
      </c>
      <c r="G45" s="9" t="inlineStr">
        <is>
          <t>Strength B (3 sets, RPE 7-8)</t>
        </is>
      </c>
      <c r="H45" s="9" t="inlineStr">
        <is>
          <t>Google Earth Engine</t>
        </is>
      </c>
      <c r="I45" s="4" t="n"/>
      <c r="J45" s="4" t="n"/>
      <c r="K45" s="4" t="n"/>
      <c r="L45" s="4" t="n"/>
      <c r="M45" s="4" t="n"/>
      <c r="N45" s="4" t="n"/>
      <c r="O45" s="9">
        <f>SUM(I45:M45)+IF(WEEKDAY(B45,2)&lt;=5,N45,0)</f>
        <v/>
      </c>
      <c r="P45" s="9">
        <f>IF(WEEKDAY(B45,2)&lt;=5,6,5)</f>
        <v/>
      </c>
      <c r="Q45" s="9">
        <f>IF(COUNT(I45:N45)&gt;0,1,0)</f>
        <v/>
      </c>
      <c r="R45" s="9">
        <f>P45*Q45</f>
        <v/>
      </c>
      <c r="S45" s="14">
        <f>IF(Q45=1,O45/P45,"")</f>
        <v/>
      </c>
      <c r="T45" s="4" t="n"/>
      <c r="U45" s="4" t="n"/>
      <c r="V45" s="4" t="n"/>
      <c r="W45" s="4" t="n"/>
    </row>
    <row r="46">
      <c r="A46" s="9" t="n">
        <v>45</v>
      </c>
      <c r="B46" s="13" t="n">
        <v>46340</v>
      </c>
      <c r="C46" s="9" t="inlineStr">
        <is>
          <t>Sat</t>
        </is>
      </c>
      <c r="D46" s="9" t="n">
        <v>6</v>
      </c>
      <c r="E46" s="9" t="n">
        <v>1</v>
      </c>
      <c r="F46" s="9" t="inlineStr">
        <is>
          <t>Build 1</t>
        </is>
      </c>
      <c r="G46" s="9" t="inlineStr">
        <is>
          <t>Activity 45-60 min (hike, sport, long walk)</t>
        </is>
      </c>
      <c r="H46" s="9" t="inlineStr">
        <is>
          <t>Google Earth Engine</t>
        </is>
      </c>
      <c r="I46" s="4" t="n"/>
      <c r="J46" s="4" t="n"/>
      <c r="K46" s="4" t="n"/>
      <c r="L46" s="4" t="n"/>
      <c r="M46" s="4" t="n"/>
      <c r="N46" s="15" t="n"/>
      <c r="O46" s="9">
        <f>SUM(I46:M46)+IF(WEEKDAY(B46,2)&lt;=5,N46,0)</f>
        <v/>
      </c>
      <c r="P46" s="9">
        <f>IF(WEEKDAY(B46,2)&lt;=5,6,5)</f>
        <v/>
      </c>
      <c r="Q46" s="9">
        <f>IF(COUNT(I46:N46)&gt;0,1,0)</f>
        <v/>
      </c>
      <c r="R46" s="9">
        <f>P46*Q46</f>
        <v/>
      </c>
      <c r="S46" s="14">
        <f>IF(Q46=1,O46/P46,"")</f>
        <v/>
      </c>
      <c r="T46" s="4" t="n"/>
      <c r="U46" s="4" t="n"/>
      <c r="V46" s="4" t="n"/>
      <c r="W46" s="4" t="n"/>
    </row>
    <row r="47">
      <c r="A47" s="16" t="n">
        <v>46</v>
      </c>
      <c r="B47" s="17" t="n">
        <v>46341</v>
      </c>
      <c r="C47" s="16" t="inlineStr">
        <is>
          <t>Sun</t>
        </is>
      </c>
      <c r="D47" s="9" t="n">
        <v>6</v>
      </c>
      <c r="E47" s="9" t="n">
        <v>1</v>
      </c>
      <c r="F47" s="9" t="inlineStr">
        <is>
          <t>Build 1</t>
        </is>
      </c>
      <c r="G47" s="9" t="inlineStr">
        <is>
          <t>Mobility 20 min + weekly review</t>
        </is>
      </c>
      <c r="H47" s="9" t="inlineStr">
        <is>
          <t>Google Earth Engine</t>
        </is>
      </c>
      <c r="I47" s="4" t="n"/>
      <c r="J47" s="4" t="n"/>
      <c r="K47" s="4" t="n"/>
      <c r="L47" s="4" t="n"/>
      <c r="M47" s="4" t="n"/>
      <c r="N47" s="15" t="n"/>
      <c r="O47" s="9">
        <f>SUM(I47:M47)+IF(WEEKDAY(B47,2)&lt;=5,N47,0)</f>
        <v/>
      </c>
      <c r="P47" s="9">
        <f>IF(WEEKDAY(B47,2)&lt;=5,6,5)</f>
        <v/>
      </c>
      <c r="Q47" s="9">
        <f>IF(COUNT(I47:N47)&gt;0,1,0)</f>
        <v/>
      </c>
      <c r="R47" s="9">
        <f>P47*Q47</f>
        <v/>
      </c>
      <c r="S47" s="14">
        <f>IF(Q47=1,O47/P47,"")</f>
        <v/>
      </c>
      <c r="T47" s="4" t="n"/>
      <c r="U47" s="4" t="n"/>
      <c r="V47" s="4" t="n"/>
      <c r="W47" s="4" t="n"/>
    </row>
    <row r="48">
      <c r="A48" s="9" t="n">
        <v>47</v>
      </c>
      <c r="B48" s="13" t="n">
        <v>46342</v>
      </c>
      <c r="C48" s="9" t="inlineStr">
        <is>
          <t>Mon</t>
        </is>
      </c>
      <c r="D48" s="9" t="n">
        <v>7</v>
      </c>
      <c r="E48" s="9" t="n">
        <v>1</v>
      </c>
      <c r="F48" s="9" t="inlineStr">
        <is>
          <t>Build 1</t>
        </is>
      </c>
      <c r="G48" s="9" t="inlineStr">
        <is>
          <t>Strength A (3 sets, RPE 7-8)</t>
        </is>
      </c>
      <c r="H48" s="9" t="inlineStr">
        <is>
          <t>Google Earth Engine</t>
        </is>
      </c>
      <c r="I48" s="4" t="n"/>
      <c r="J48" s="4" t="n"/>
      <c r="K48" s="4" t="n"/>
      <c r="L48" s="4" t="n"/>
      <c r="M48" s="4" t="n"/>
      <c r="N48" s="4" t="n"/>
      <c r="O48" s="9">
        <f>SUM(I48:M48)+IF(WEEKDAY(B48,2)&lt;=5,N48,0)</f>
        <v/>
      </c>
      <c r="P48" s="9">
        <f>IF(WEEKDAY(B48,2)&lt;=5,6,5)</f>
        <v/>
      </c>
      <c r="Q48" s="9">
        <f>IF(COUNT(I48:N48)&gt;0,1,0)</f>
        <v/>
      </c>
      <c r="R48" s="9">
        <f>P48*Q48</f>
        <v/>
      </c>
      <c r="S48" s="14">
        <f>IF(Q48=1,O48/P48,"")</f>
        <v/>
      </c>
      <c r="T48" s="4" t="n"/>
      <c r="U48" s="4" t="n"/>
      <c r="V48" s="4" t="n"/>
      <c r="W48" s="4" t="n"/>
    </row>
    <row r="49">
      <c r="A49" s="9" t="n">
        <v>48</v>
      </c>
      <c r="B49" s="13" t="n">
        <v>46343</v>
      </c>
      <c r="C49" s="9" t="inlineStr">
        <is>
          <t>Tue</t>
        </is>
      </c>
      <c r="D49" s="9" t="n">
        <v>7</v>
      </c>
      <c r="E49" s="9" t="n">
        <v>1</v>
      </c>
      <c r="F49" s="9" t="inlineStr">
        <is>
          <t>Build 1</t>
        </is>
      </c>
      <c r="G49" s="9" t="inlineStr">
        <is>
          <t>Zone 2 cardio 35-40 min</t>
        </is>
      </c>
      <c r="H49" s="9" t="inlineStr">
        <is>
          <t>Google Earth Engine</t>
        </is>
      </c>
      <c r="I49" s="4" t="n"/>
      <c r="J49" s="4" t="n"/>
      <c r="K49" s="4" t="n"/>
      <c r="L49" s="4" t="n"/>
      <c r="M49" s="4" t="n"/>
      <c r="N49" s="4" t="n"/>
      <c r="O49" s="9">
        <f>SUM(I49:M49)+IF(WEEKDAY(B49,2)&lt;=5,N49,0)</f>
        <v/>
      </c>
      <c r="P49" s="9">
        <f>IF(WEEKDAY(B49,2)&lt;=5,6,5)</f>
        <v/>
      </c>
      <c r="Q49" s="9">
        <f>IF(COUNT(I49:N49)&gt;0,1,0)</f>
        <v/>
      </c>
      <c r="R49" s="9">
        <f>P49*Q49</f>
        <v/>
      </c>
      <c r="S49" s="14">
        <f>IF(Q49=1,O49/P49,"")</f>
        <v/>
      </c>
      <c r="T49" s="4" t="n"/>
      <c r="U49" s="4" t="n"/>
      <c r="V49" s="4" t="n"/>
      <c r="W49" s="4" t="n"/>
    </row>
    <row r="50">
      <c r="A50" s="9" t="n">
        <v>49</v>
      </c>
      <c r="B50" s="13" t="n">
        <v>46344</v>
      </c>
      <c r="C50" s="9" t="inlineStr">
        <is>
          <t>Wed</t>
        </is>
      </c>
      <c r="D50" s="9" t="n">
        <v>7</v>
      </c>
      <c r="E50" s="9" t="n">
        <v>1</v>
      </c>
      <c r="F50" s="9" t="inlineStr">
        <is>
          <t>Build 1</t>
        </is>
      </c>
      <c r="G50" s="9" t="inlineStr">
        <is>
          <t>Strength B (3 sets, RPE 7-8)</t>
        </is>
      </c>
      <c r="H50" s="9" t="inlineStr">
        <is>
          <t>Google Earth Engine</t>
        </is>
      </c>
      <c r="I50" s="4" t="n"/>
      <c r="J50" s="4" t="n"/>
      <c r="K50" s="4" t="n"/>
      <c r="L50" s="4" t="n"/>
      <c r="M50" s="4" t="n"/>
      <c r="N50" s="4" t="n"/>
      <c r="O50" s="9">
        <f>SUM(I50:M50)+IF(WEEKDAY(B50,2)&lt;=5,N50,0)</f>
        <v/>
      </c>
      <c r="P50" s="9">
        <f>IF(WEEKDAY(B50,2)&lt;=5,6,5)</f>
        <v/>
      </c>
      <c r="Q50" s="9">
        <f>IF(COUNT(I50:N50)&gt;0,1,0)</f>
        <v/>
      </c>
      <c r="R50" s="9">
        <f>P50*Q50</f>
        <v/>
      </c>
      <c r="S50" s="14">
        <f>IF(Q50=1,O50/P50,"")</f>
        <v/>
      </c>
      <c r="T50" s="4" t="n"/>
      <c r="U50" s="4" t="n"/>
      <c r="V50" s="4" t="n"/>
      <c r="W50" s="4" t="n"/>
    </row>
    <row r="51">
      <c r="A51" s="9" t="n">
        <v>50</v>
      </c>
      <c r="B51" s="13" t="n">
        <v>46345</v>
      </c>
      <c r="C51" s="9" t="inlineStr">
        <is>
          <t>Thu</t>
        </is>
      </c>
      <c r="D51" s="9" t="n">
        <v>7</v>
      </c>
      <c r="E51" s="9" t="n">
        <v>1</v>
      </c>
      <c r="F51" s="9" t="inlineStr">
        <is>
          <t>Build 1</t>
        </is>
      </c>
      <c r="G51" s="9" t="inlineStr">
        <is>
          <t>Zone 2 cardio 35-40 min</t>
        </is>
      </c>
      <c r="H51" s="9" t="inlineStr">
        <is>
          <t>Google Earth Engine</t>
        </is>
      </c>
      <c r="I51" s="4" t="n"/>
      <c r="J51" s="4" t="n"/>
      <c r="K51" s="4" t="n"/>
      <c r="L51" s="4" t="n"/>
      <c r="M51" s="4" t="n"/>
      <c r="N51" s="4" t="n"/>
      <c r="O51" s="9">
        <f>SUM(I51:M51)+IF(WEEKDAY(B51,2)&lt;=5,N51,0)</f>
        <v/>
      </c>
      <c r="P51" s="9">
        <f>IF(WEEKDAY(B51,2)&lt;=5,6,5)</f>
        <v/>
      </c>
      <c r="Q51" s="9">
        <f>IF(COUNT(I51:N51)&gt;0,1,0)</f>
        <v/>
      </c>
      <c r="R51" s="9">
        <f>P51*Q51</f>
        <v/>
      </c>
      <c r="S51" s="14">
        <f>IF(Q51=1,O51/P51,"")</f>
        <v/>
      </c>
      <c r="T51" s="4" t="n"/>
      <c r="U51" s="4" t="n"/>
      <c r="V51" s="4" t="n"/>
      <c r="W51" s="4" t="n"/>
    </row>
    <row r="52">
      <c r="A52" s="9" t="n">
        <v>51</v>
      </c>
      <c r="B52" s="13" t="n">
        <v>46346</v>
      </c>
      <c r="C52" s="9" t="inlineStr">
        <is>
          <t>Fri</t>
        </is>
      </c>
      <c r="D52" s="9" t="n">
        <v>7</v>
      </c>
      <c r="E52" s="9" t="n">
        <v>1</v>
      </c>
      <c r="F52" s="9" t="inlineStr">
        <is>
          <t>Build 1</t>
        </is>
      </c>
      <c r="G52" s="9" t="inlineStr">
        <is>
          <t>Strength A (3 sets, RPE 7-8)</t>
        </is>
      </c>
      <c r="H52" s="9" t="inlineStr">
        <is>
          <t>Google Earth Engine</t>
        </is>
      </c>
      <c r="I52" s="4" t="n"/>
      <c r="J52" s="4" t="n"/>
      <c r="K52" s="4" t="n"/>
      <c r="L52" s="4" t="n"/>
      <c r="M52" s="4" t="n"/>
      <c r="N52" s="4" t="n"/>
      <c r="O52" s="9">
        <f>SUM(I52:M52)+IF(WEEKDAY(B52,2)&lt;=5,N52,0)</f>
        <v/>
      </c>
      <c r="P52" s="9">
        <f>IF(WEEKDAY(B52,2)&lt;=5,6,5)</f>
        <v/>
      </c>
      <c r="Q52" s="9">
        <f>IF(COUNT(I52:N52)&gt;0,1,0)</f>
        <v/>
      </c>
      <c r="R52" s="9">
        <f>P52*Q52</f>
        <v/>
      </c>
      <c r="S52" s="14">
        <f>IF(Q52=1,O52/P52,"")</f>
        <v/>
      </c>
      <c r="T52" s="4" t="n"/>
      <c r="U52" s="4" t="n"/>
      <c r="V52" s="4" t="n"/>
      <c r="W52" s="4" t="n"/>
    </row>
    <row r="53">
      <c r="A53" s="9" t="n">
        <v>52</v>
      </c>
      <c r="B53" s="13" t="n">
        <v>46347</v>
      </c>
      <c r="C53" s="9" t="inlineStr">
        <is>
          <t>Sat</t>
        </is>
      </c>
      <c r="D53" s="9" t="n">
        <v>7</v>
      </c>
      <c r="E53" s="9" t="n">
        <v>1</v>
      </c>
      <c r="F53" s="9" t="inlineStr">
        <is>
          <t>Build 1</t>
        </is>
      </c>
      <c r="G53" s="9" t="inlineStr">
        <is>
          <t>Activity 45-60 min (hike, sport, long walk)</t>
        </is>
      </c>
      <c r="H53" s="9" t="inlineStr">
        <is>
          <t>Google Earth Engine</t>
        </is>
      </c>
      <c r="I53" s="4" t="n"/>
      <c r="J53" s="4" t="n"/>
      <c r="K53" s="4" t="n"/>
      <c r="L53" s="4" t="n"/>
      <c r="M53" s="4" t="n"/>
      <c r="N53" s="15" t="n"/>
      <c r="O53" s="9">
        <f>SUM(I53:M53)+IF(WEEKDAY(B53,2)&lt;=5,N53,0)</f>
        <v/>
      </c>
      <c r="P53" s="9">
        <f>IF(WEEKDAY(B53,2)&lt;=5,6,5)</f>
        <v/>
      </c>
      <c r="Q53" s="9">
        <f>IF(COUNT(I53:N53)&gt;0,1,0)</f>
        <v/>
      </c>
      <c r="R53" s="9">
        <f>P53*Q53</f>
        <v/>
      </c>
      <c r="S53" s="14">
        <f>IF(Q53=1,O53/P53,"")</f>
        <v/>
      </c>
      <c r="T53" s="4" t="n"/>
      <c r="U53" s="4" t="n"/>
      <c r="V53" s="4" t="n"/>
      <c r="W53" s="4" t="n"/>
    </row>
    <row r="54">
      <c r="A54" s="16" t="n">
        <v>53</v>
      </c>
      <c r="B54" s="17" t="n">
        <v>46348</v>
      </c>
      <c r="C54" s="16" t="inlineStr">
        <is>
          <t>Sun</t>
        </is>
      </c>
      <c r="D54" s="9" t="n">
        <v>7</v>
      </c>
      <c r="E54" s="9" t="n">
        <v>1</v>
      </c>
      <c r="F54" s="9" t="inlineStr">
        <is>
          <t>Build 1</t>
        </is>
      </c>
      <c r="G54" s="9" t="inlineStr">
        <is>
          <t>Mobility 20 min + weekly review</t>
        </is>
      </c>
      <c r="H54" s="9" t="inlineStr">
        <is>
          <t>Google Earth Engine</t>
        </is>
      </c>
      <c r="I54" s="4" t="n"/>
      <c r="J54" s="4" t="n"/>
      <c r="K54" s="4" t="n"/>
      <c r="L54" s="4" t="n"/>
      <c r="M54" s="4" t="n"/>
      <c r="N54" s="15" t="n"/>
      <c r="O54" s="9">
        <f>SUM(I54:M54)+IF(WEEKDAY(B54,2)&lt;=5,N54,0)</f>
        <v/>
      </c>
      <c r="P54" s="9">
        <f>IF(WEEKDAY(B54,2)&lt;=5,6,5)</f>
        <v/>
      </c>
      <c r="Q54" s="9">
        <f>IF(COUNT(I54:N54)&gt;0,1,0)</f>
        <v/>
      </c>
      <c r="R54" s="9">
        <f>P54*Q54</f>
        <v/>
      </c>
      <c r="S54" s="14">
        <f>IF(Q54=1,O54/P54,"")</f>
        <v/>
      </c>
      <c r="T54" s="4" t="n"/>
      <c r="U54" s="4" t="n"/>
      <c r="V54" s="4" t="n"/>
      <c r="W54" s="4" t="n"/>
    </row>
    <row r="55">
      <c r="A55" s="9" t="n">
        <v>54</v>
      </c>
      <c r="B55" s="13" t="n">
        <v>46349</v>
      </c>
      <c r="C55" s="9" t="inlineStr">
        <is>
          <t>Mon</t>
        </is>
      </c>
      <c r="D55" s="9" t="n">
        <v>8</v>
      </c>
      <c r="E55" s="9" t="n">
        <v>1</v>
      </c>
      <c r="F55" s="9" t="inlineStr">
        <is>
          <t>Build 1</t>
        </is>
      </c>
      <c r="G55" s="9" t="inlineStr">
        <is>
          <t>Strength B (3 sets, RPE 7-8)</t>
        </is>
      </c>
      <c r="H55" s="9" t="inlineStr">
        <is>
          <t>Google Earth Engine</t>
        </is>
      </c>
      <c r="I55" s="4" t="n"/>
      <c r="J55" s="4" t="n"/>
      <c r="K55" s="4" t="n"/>
      <c r="L55" s="4" t="n"/>
      <c r="M55" s="4" t="n"/>
      <c r="N55" s="4" t="n"/>
      <c r="O55" s="9">
        <f>SUM(I55:M55)+IF(WEEKDAY(B55,2)&lt;=5,N55,0)</f>
        <v/>
      </c>
      <c r="P55" s="9">
        <f>IF(WEEKDAY(B55,2)&lt;=5,6,5)</f>
        <v/>
      </c>
      <c r="Q55" s="9">
        <f>IF(COUNT(I55:N55)&gt;0,1,0)</f>
        <v/>
      </c>
      <c r="R55" s="9">
        <f>P55*Q55</f>
        <v/>
      </c>
      <c r="S55" s="14">
        <f>IF(Q55=1,O55/P55,"")</f>
        <v/>
      </c>
      <c r="T55" s="4" t="n"/>
      <c r="U55" s="4" t="n"/>
      <c r="V55" s="4" t="n"/>
      <c r="W55" s="4" t="n"/>
    </row>
    <row r="56">
      <c r="A56" s="9" t="n">
        <v>55</v>
      </c>
      <c r="B56" s="13" t="n">
        <v>46350</v>
      </c>
      <c r="C56" s="9" t="inlineStr">
        <is>
          <t>Tue</t>
        </is>
      </c>
      <c r="D56" s="9" t="n">
        <v>8</v>
      </c>
      <c r="E56" s="9" t="n">
        <v>1</v>
      </c>
      <c r="F56" s="9" t="inlineStr">
        <is>
          <t>Build 1</t>
        </is>
      </c>
      <c r="G56" s="9" t="inlineStr">
        <is>
          <t>Zone 2 cardio 35-40 min</t>
        </is>
      </c>
      <c r="H56" s="9" t="inlineStr">
        <is>
          <t>Google Earth Engine</t>
        </is>
      </c>
      <c r="I56" s="4" t="n"/>
      <c r="J56" s="4" t="n"/>
      <c r="K56" s="4" t="n"/>
      <c r="L56" s="4" t="n"/>
      <c r="M56" s="4" t="n"/>
      <c r="N56" s="4" t="n"/>
      <c r="O56" s="9">
        <f>SUM(I56:M56)+IF(WEEKDAY(B56,2)&lt;=5,N56,0)</f>
        <v/>
      </c>
      <c r="P56" s="9">
        <f>IF(WEEKDAY(B56,2)&lt;=5,6,5)</f>
        <v/>
      </c>
      <c r="Q56" s="9">
        <f>IF(COUNT(I56:N56)&gt;0,1,0)</f>
        <v/>
      </c>
      <c r="R56" s="9">
        <f>P56*Q56</f>
        <v/>
      </c>
      <c r="S56" s="14">
        <f>IF(Q56=1,O56/P56,"")</f>
        <v/>
      </c>
      <c r="T56" s="4" t="n"/>
      <c r="U56" s="4" t="n"/>
      <c r="V56" s="4" t="n"/>
      <c r="W56" s="4" t="n"/>
    </row>
    <row r="57">
      <c r="A57" s="9" t="n">
        <v>56</v>
      </c>
      <c r="B57" s="13" t="n">
        <v>46351</v>
      </c>
      <c r="C57" s="9" t="inlineStr">
        <is>
          <t>Wed</t>
        </is>
      </c>
      <c r="D57" s="9" t="n">
        <v>8</v>
      </c>
      <c r="E57" s="9" t="n">
        <v>1</v>
      </c>
      <c r="F57" s="9" t="inlineStr">
        <is>
          <t>Build 1</t>
        </is>
      </c>
      <c r="G57" s="9" t="inlineStr">
        <is>
          <t>Strength A (3 sets, RPE 7-8)</t>
        </is>
      </c>
      <c r="H57" s="9" t="inlineStr">
        <is>
          <t>Google Earth Engine</t>
        </is>
      </c>
      <c r="I57" s="4" t="n"/>
      <c r="J57" s="4" t="n"/>
      <c r="K57" s="4" t="n"/>
      <c r="L57" s="4" t="n"/>
      <c r="M57" s="4" t="n"/>
      <c r="N57" s="4" t="n"/>
      <c r="O57" s="9">
        <f>SUM(I57:M57)+IF(WEEKDAY(B57,2)&lt;=5,N57,0)</f>
        <v/>
      </c>
      <c r="P57" s="9">
        <f>IF(WEEKDAY(B57,2)&lt;=5,6,5)</f>
        <v/>
      </c>
      <c r="Q57" s="9">
        <f>IF(COUNT(I57:N57)&gt;0,1,0)</f>
        <v/>
      </c>
      <c r="R57" s="9">
        <f>P57*Q57</f>
        <v/>
      </c>
      <c r="S57" s="14">
        <f>IF(Q57=1,O57/P57,"")</f>
        <v/>
      </c>
      <c r="T57" s="4" t="n"/>
      <c r="U57" s="4" t="n"/>
      <c r="V57" s="4" t="n"/>
      <c r="W57" s="4" t="n"/>
    </row>
    <row r="58">
      <c r="A58" s="9" t="n">
        <v>57</v>
      </c>
      <c r="B58" s="13" t="n">
        <v>46352</v>
      </c>
      <c r="C58" s="9" t="inlineStr">
        <is>
          <t>Thu</t>
        </is>
      </c>
      <c r="D58" s="9" t="n">
        <v>8</v>
      </c>
      <c r="E58" s="9" t="n">
        <v>1</v>
      </c>
      <c r="F58" s="9" t="inlineStr">
        <is>
          <t>Build 1</t>
        </is>
      </c>
      <c r="G58" s="9" t="inlineStr">
        <is>
          <t>Zone 2 cardio 35-40 min</t>
        </is>
      </c>
      <c r="H58" s="9" t="inlineStr">
        <is>
          <t>Google Earth Engine</t>
        </is>
      </c>
      <c r="I58" s="4" t="n"/>
      <c r="J58" s="4" t="n"/>
      <c r="K58" s="4" t="n"/>
      <c r="L58" s="4" t="n"/>
      <c r="M58" s="4" t="n"/>
      <c r="N58" s="4" t="n"/>
      <c r="O58" s="9">
        <f>SUM(I58:M58)+IF(WEEKDAY(B58,2)&lt;=5,N58,0)</f>
        <v/>
      </c>
      <c r="P58" s="9">
        <f>IF(WEEKDAY(B58,2)&lt;=5,6,5)</f>
        <v/>
      </c>
      <c r="Q58" s="9">
        <f>IF(COUNT(I58:N58)&gt;0,1,0)</f>
        <v/>
      </c>
      <c r="R58" s="9">
        <f>P58*Q58</f>
        <v/>
      </c>
      <c r="S58" s="14">
        <f>IF(Q58=1,O58/P58,"")</f>
        <v/>
      </c>
      <c r="T58" s="4" t="n"/>
      <c r="U58" s="4" t="n"/>
      <c r="V58" s="4" t="n"/>
      <c r="W58" s="4" t="n"/>
    </row>
    <row r="59">
      <c r="A59" s="9" t="n">
        <v>58</v>
      </c>
      <c r="B59" s="13" t="n">
        <v>46353</v>
      </c>
      <c r="C59" s="9" t="inlineStr">
        <is>
          <t>Fri</t>
        </is>
      </c>
      <c r="D59" s="9" t="n">
        <v>8</v>
      </c>
      <c r="E59" s="9" t="n">
        <v>1</v>
      </c>
      <c r="F59" s="9" t="inlineStr">
        <is>
          <t>Build 1</t>
        </is>
      </c>
      <c r="G59" s="9" t="inlineStr">
        <is>
          <t>Strength B (3 sets, RPE 7-8)</t>
        </is>
      </c>
      <c r="H59" s="9" t="inlineStr">
        <is>
          <t>Google Earth Engine</t>
        </is>
      </c>
      <c r="I59" s="4" t="n"/>
      <c r="J59" s="4" t="n"/>
      <c r="K59" s="4" t="n"/>
      <c r="L59" s="4" t="n"/>
      <c r="M59" s="4" t="n"/>
      <c r="N59" s="4" t="n"/>
      <c r="O59" s="9">
        <f>SUM(I59:M59)+IF(WEEKDAY(B59,2)&lt;=5,N59,0)</f>
        <v/>
      </c>
      <c r="P59" s="9">
        <f>IF(WEEKDAY(B59,2)&lt;=5,6,5)</f>
        <v/>
      </c>
      <c r="Q59" s="9">
        <f>IF(COUNT(I59:N59)&gt;0,1,0)</f>
        <v/>
      </c>
      <c r="R59" s="9">
        <f>P59*Q59</f>
        <v/>
      </c>
      <c r="S59" s="14">
        <f>IF(Q59=1,O59/P59,"")</f>
        <v/>
      </c>
      <c r="T59" s="4" t="n"/>
      <c r="U59" s="4" t="n"/>
      <c r="V59" s="4" t="n"/>
      <c r="W59" s="4" t="n"/>
    </row>
    <row r="60">
      <c r="A60" s="9" t="n">
        <v>59</v>
      </c>
      <c r="B60" s="13" t="n">
        <v>46354</v>
      </c>
      <c r="C60" s="9" t="inlineStr">
        <is>
          <t>Sat</t>
        </is>
      </c>
      <c r="D60" s="9" t="n">
        <v>8</v>
      </c>
      <c r="E60" s="9" t="n">
        <v>1</v>
      </c>
      <c r="F60" s="9" t="inlineStr">
        <is>
          <t>Build 1</t>
        </is>
      </c>
      <c r="G60" s="9" t="inlineStr">
        <is>
          <t>Activity 45-60 min (hike, sport, long walk)</t>
        </is>
      </c>
      <c r="H60" s="9" t="inlineStr">
        <is>
          <t>Google Earth Engine</t>
        </is>
      </c>
      <c r="I60" s="4" t="n"/>
      <c r="J60" s="4" t="n"/>
      <c r="K60" s="4" t="n"/>
      <c r="L60" s="4" t="n"/>
      <c r="M60" s="4" t="n"/>
      <c r="N60" s="15" t="n"/>
      <c r="O60" s="9">
        <f>SUM(I60:M60)+IF(WEEKDAY(B60,2)&lt;=5,N60,0)</f>
        <v/>
      </c>
      <c r="P60" s="9">
        <f>IF(WEEKDAY(B60,2)&lt;=5,6,5)</f>
        <v/>
      </c>
      <c r="Q60" s="9">
        <f>IF(COUNT(I60:N60)&gt;0,1,0)</f>
        <v/>
      </c>
      <c r="R60" s="9">
        <f>P60*Q60</f>
        <v/>
      </c>
      <c r="S60" s="14">
        <f>IF(Q60=1,O60/P60,"")</f>
        <v/>
      </c>
      <c r="T60" s="4" t="n"/>
      <c r="U60" s="4" t="n"/>
      <c r="V60" s="4" t="n"/>
      <c r="W60" s="4" t="n"/>
    </row>
    <row r="61">
      <c r="A61" s="16" t="n">
        <v>60</v>
      </c>
      <c r="B61" s="17" t="n">
        <v>46355</v>
      </c>
      <c r="C61" s="16" t="inlineStr">
        <is>
          <t>Sun</t>
        </is>
      </c>
      <c r="D61" s="9" t="n">
        <v>8</v>
      </c>
      <c r="E61" s="9" t="n">
        <v>1</v>
      </c>
      <c r="F61" s="9" t="inlineStr">
        <is>
          <t>Build 1</t>
        </is>
      </c>
      <c r="G61" s="9" t="inlineStr">
        <is>
          <t>Mobility 20 min + weekly review</t>
        </is>
      </c>
      <c r="H61" s="9" t="inlineStr">
        <is>
          <t>Google Earth Engine</t>
        </is>
      </c>
      <c r="I61" s="4" t="n"/>
      <c r="J61" s="4" t="n"/>
      <c r="K61" s="4" t="n"/>
      <c r="L61" s="4" t="n"/>
      <c r="M61" s="4" t="n"/>
      <c r="N61" s="15" t="n"/>
      <c r="O61" s="9">
        <f>SUM(I61:M61)+IF(WEEKDAY(B61,2)&lt;=5,N61,0)</f>
        <v/>
      </c>
      <c r="P61" s="9">
        <f>IF(WEEKDAY(B61,2)&lt;=5,6,5)</f>
        <v/>
      </c>
      <c r="Q61" s="9">
        <f>IF(COUNT(I61:N61)&gt;0,1,0)</f>
        <v/>
      </c>
      <c r="R61" s="9">
        <f>P61*Q61</f>
        <v/>
      </c>
      <c r="S61" s="14">
        <f>IF(Q61=1,O61/P61,"")</f>
        <v/>
      </c>
      <c r="T61" s="4" t="n"/>
      <c r="U61" s="4" t="n"/>
      <c r="V61" s="4" t="n"/>
      <c r="W61" s="4" t="n"/>
    </row>
    <row r="62">
      <c r="A62" s="9" t="n">
        <v>61</v>
      </c>
      <c r="B62" s="13" t="n">
        <v>46356</v>
      </c>
      <c r="C62" s="9" t="inlineStr">
        <is>
          <t>Mon</t>
        </is>
      </c>
      <c r="D62" s="9" t="n">
        <v>9</v>
      </c>
      <c r="E62" s="9" t="n">
        <v>1</v>
      </c>
      <c r="F62" s="9" t="inlineStr">
        <is>
          <t>Deload</t>
        </is>
      </c>
      <c r="G62" s="9" t="inlineStr">
        <is>
          <t>Strength A (deload: 2 sets, -40% load)</t>
        </is>
      </c>
      <c r="H62" s="9" t="inlineStr">
        <is>
          <t>RS analytics (deload week: theory)</t>
        </is>
      </c>
      <c r="I62" s="4" t="n"/>
      <c r="J62" s="4" t="n"/>
      <c r="K62" s="4" t="n"/>
      <c r="L62" s="4" t="n"/>
      <c r="M62" s="4" t="n"/>
      <c r="N62" s="4" t="n"/>
      <c r="O62" s="9">
        <f>SUM(I62:M62)+IF(WEEKDAY(B62,2)&lt;=5,N62,0)</f>
        <v/>
      </c>
      <c r="P62" s="9">
        <f>IF(WEEKDAY(B62,2)&lt;=5,6,5)</f>
        <v/>
      </c>
      <c r="Q62" s="9">
        <f>IF(COUNT(I62:N62)&gt;0,1,0)</f>
        <v/>
      </c>
      <c r="R62" s="9">
        <f>P62*Q62</f>
        <v/>
      </c>
      <c r="S62" s="14">
        <f>IF(Q62=1,O62/P62,"")</f>
        <v/>
      </c>
      <c r="T62" s="4" t="n"/>
      <c r="U62" s="4" t="n"/>
      <c r="V62" s="4" t="n"/>
      <c r="W62" s="4" t="n"/>
    </row>
    <row r="63">
      <c r="A63" s="9" t="n">
        <v>62</v>
      </c>
      <c r="B63" s="13" t="n">
        <v>46357</v>
      </c>
      <c r="C63" s="9" t="inlineStr">
        <is>
          <t>Tue</t>
        </is>
      </c>
      <c r="D63" s="9" t="n">
        <v>9</v>
      </c>
      <c r="E63" s="9" t="n">
        <v>1</v>
      </c>
      <c r="F63" s="9" t="inlineStr">
        <is>
          <t>Deload</t>
        </is>
      </c>
      <c r="G63" s="9" t="inlineStr">
        <is>
          <t>Zone 2 cardio 35-40 min</t>
        </is>
      </c>
      <c r="H63" s="9" t="inlineStr">
        <is>
          <t>RS analytics (deload week: theory)</t>
        </is>
      </c>
      <c r="I63" s="4" t="n"/>
      <c r="J63" s="4" t="n"/>
      <c r="K63" s="4" t="n"/>
      <c r="L63" s="4" t="n"/>
      <c r="M63" s="4" t="n"/>
      <c r="N63" s="4" t="n"/>
      <c r="O63" s="9">
        <f>SUM(I63:M63)+IF(WEEKDAY(B63,2)&lt;=5,N63,0)</f>
        <v/>
      </c>
      <c r="P63" s="9">
        <f>IF(WEEKDAY(B63,2)&lt;=5,6,5)</f>
        <v/>
      </c>
      <c r="Q63" s="9">
        <f>IF(COUNT(I63:N63)&gt;0,1,0)</f>
        <v/>
      </c>
      <c r="R63" s="9">
        <f>P63*Q63</f>
        <v/>
      </c>
      <c r="S63" s="14">
        <f>IF(Q63=1,O63/P63,"")</f>
        <v/>
      </c>
      <c r="T63" s="4" t="n"/>
      <c r="U63" s="4" t="n"/>
      <c r="V63" s="4" t="n"/>
      <c r="W63" s="4" t="n"/>
    </row>
    <row r="64">
      <c r="A64" s="9" t="n">
        <v>63</v>
      </c>
      <c r="B64" s="13" t="n">
        <v>46358</v>
      </c>
      <c r="C64" s="9" t="inlineStr">
        <is>
          <t>Wed</t>
        </is>
      </c>
      <c r="D64" s="9" t="n">
        <v>9</v>
      </c>
      <c r="E64" s="9" t="n">
        <v>1</v>
      </c>
      <c r="F64" s="9" t="inlineStr">
        <is>
          <t>Deload</t>
        </is>
      </c>
      <c r="G64" s="9" t="inlineStr">
        <is>
          <t>Strength B (deload: 2 sets, -40% load)</t>
        </is>
      </c>
      <c r="H64" s="9" t="inlineStr">
        <is>
          <t>RS analytics (deload week: theory)</t>
        </is>
      </c>
      <c r="I64" s="4" t="n"/>
      <c r="J64" s="4" t="n"/>
      <c r="K64" s="4" t="n"/>
      <c r="L64" s="4" t="n"/>
      <c r="M64" s="4" t="n"/>
      <c r="N64" s="4" t="n"/>
      <c r="O64" s="9">
        <f>SUM(I64:M64)+IF(WEEKDAY(B64,2)&lt;=5,N64,0)</f>
        <v/>
      </c>
      <c r="P64" s="9">
        <f>IF(WEEKDAY(B64,2)&lt;=5,6,5)</f>
        <v/>
      </c>
      <c r="Q64" s="9">
        <f>IF(COUNT(I64:N64)&gt;0,1,0)</f>
        <v/>
      </c>
      <c r="R64" s="9">
        <f>P64*Q64</f>
        <v/>
      </c>
      <c r="S64" s="14">
        <f>IF(Q64=1,O64/P64,"")</f>
        <v/>
      </c>
      <c r="T64" s="4" t="n"/>
      <c r="U64" s="4" t="n"/>
      <c r="V64" s="4" t="n"/>
      <c r="W64" s="4" t="n"/>
    </row>
    <row r="65">
      <c r="A65" s="9" t="n">
        <v>64</v>
      </c>
      <c r="B65" s="13" t="n">
        <v>46359</v>
      </c>
      <c r="C65" s="9" t="inlineStr">
        <is>
          <t>Thu</t>
        </is>
      </c>
      <c r="D65" s="9" t="n">
        <v>9</v>
      </c>
      <c r="E65" s="9" t="n">
        <v>1</v>
      </c>
      <c r="F65" s="9" t="inlineStr">
        <is>
          <t>Deload</t>
        </is>
      </c>
      <c r="G65" s="9" t="inlineStr">
        <is>
          <t>Zone 2 cardio 35-40 min</t>
        </is>
      </c>
      <c r="H65" s="9" t="inlineStr">
        <is>
          <t>RS analytics (deload week: theory)</t>
        </is>
      </c>
      <c r="I65" s="4" t="n"/>
      <c r="J65" s="4" t="n"/>
      <c r="K65" s="4" t="n"/>
      <c r="L65" s="4" t="n"/>
      <c r="M65" s="4" t="n"/>
      <c r="N65" s="4" t="n"/>
      <c r="O65" s="9">
        <f>SUM(I65:M65)+IF(WEEKDAY(B65,2)&lt;=5,N65,0)</f>
        <v/>
      </c>
      <c r="P65" s="9">
        <f>IF(WEEKDAY(B65,2)&lt;=5,6,5)</f>
        <v/>
      </c>
      <c r="Q65" s="9">
        <f>IF(COUNT(I65:N65)&gt;0,1,0)</f>
        <v/>
      </c>
      <c r="R65" s="9">
        <f>P65*Q65</f>
        <v/>
      </c>
      <c r="S65" s="14">
        <f>IF(Q65=1,O65/P65,"")</f>
        <v/>
      </c>
      <c r="T65" s="4" t="n"/>
      <c r="U65" s="4" t="n"/>
      <c r="V65" s="4" t="n"/>
      <c r="W65" s="4" t="n"/>
    </row>
    <row r="66">
      <c r="A66" s="9" t="n">
        <v>65</v>
      </c>
      <c r="B66" s="13" t="n">
        <v>46360</v>
      </c>
      <c r="C66" s="9" t="inlineStr">
        <is>
          <t>Fri</t>
        </is>
      </c>
      <c r="D66" s="9" t="n">
        <v>9</v>
      </c>
      <c r="E66" s="9" t="n">
        <v>1</v>
      </c>
      <c r="F66" s="9" t="inlineStr">
        <is>
          <t>Deload</t>
        </is>
      </c>
      <c r="G66" s="9" t="inlineStr">
        <is>
          <t>Strength A (deload: 2 sets, -40% load)</t>
        </is>
      </c>
      <c r="H66" s="9" t="inlineStr">
        <is>
          <t>RS analytics (deload week: theory)</t>
        </is>
      </c>
      <c r="I66" s="4" t="n"/>
      <c r="J66" s="4" t="n"/>
      <c r="K66" s="4" t="n"/>
      <c r="L66" s="4" t="n"/>
      <c r="M66" s="4" t="n"/>
      <c r="N66" s="4" t="n"/>
      <c r="O66" s="9">
        <f>SUM(I66:M66)+IF(WEEKDAY(B66,2)&lt;=5,N66,0)</f>
        <v/>
      </c>
      <c r="P66" s="9">
        <f>IF(WEEKDAY(B66,2)&lt;=5,6,5)</f>
        <v/>
      </c>
      <c r="Q66" s="9">
        <f>IF(COUNT(I66:N66)&gt;0,1,0)</f>
        <v/>
      </c>
      <c r="R66" s="9">
        <f>P66*Q66</f>
        <v/>
      </c>
      <c r="S66" s="14">
        <f>IF(Q66=1,O66/P66,"")</f>
        <v/>
      </c>
      <c r="T66" s="4" t="n"/>
      <c r="U66" s="4" t="n"/>
      <c r="V66" s="4" t="n"/>
      <c r="W66" s="4" t="n"/>
    </row>
    <row r="67">
      <c r="A67" s="9" t="n">
        <v>66</v>
      </c>
      <c r="B67" s="13" t="n">
        <v>46361</v>
      </c>
      <c r="C67" s="9" t="inlineStr">
        <is>
          <t>Sat</t>
        </is>
      </c>
      <c r="D67" s="9" t="n">
        <v>9</v>
      </c>
      <c r="E67" s="9" t="n">
        <v>1</v>
      </c>
      <c r="F67" s="9" t="inlineStr">
        <is>
          <t>Deload</t>
        </is>
      </c>
      <c r="G67" s="9" t="inlineStr">
        <is>
          <t>Activity 45-60 min (hike, sport, long walk)</t>
        </is>
      </c>
      <c r="H67" s="9" t="inlineStr">
        <is>
          <t>RS analytics (deload week: theory)</t>
        </is>
      </c>
      <c r="I67" s="4" t="n"/>
      <c r="J67" s="4" t="n"/>
      <c r="K67" s="4" t="n"/>
      <c r="L67" s="4" t="n"/>
      <c r="M67" s="4" t="n"/>
      <c r="N67" s="15" t="n"/>
      <c r="O67" s="9">
        <f>SUM(I67:M67)+IF(WEEKDAY(B67,2)&lt;=5,N67,0)</f>
        <v/>
      </c>
      <c r="P67" s="9">
        <f>IF(WEEKDAY(B67,2)&lt;=5,6,5)</f>
        <v/>
      </c>
      <c r="Q67" s="9">
        <f>IF(COUNT(I67:N67)&gt;0,1,0)</f>
        <v/>
      </c>
      <c r="R67" s="9">
        <f>P67*Q67</f>
        <v/>
      </c>
      <c r="S67" s="14">
        <f>IF(Q67=1,O67/P67,"")</f>
        <v/>
      </c>
      <c r="T67" s="4" t="n"/>
      <c r="U67" s="4" t="n"/>
      <c r="V67" s="4" t="n"/>
      <c r="W67" s="4" t="n"/>
    </row>
    <row r="68">
      <c r="A68" s="16" t="n">
        <v>67</v>
      </c>
      <c r="B68" s="17" t="n">
        <v>46362</v>
      </c>
      <c r="C68" s="16" t="inlineStr">
        <is>
          <t>Sun</t>
        </is>
      </c>
      <c r="D68" s="9" t="n">
        <v>9</v>
      </c>
      <c r="E68" s="9" t="n">
        <v>1</v>
      </c>
      <c r="F68" s="9" t="inlineStr">
        <is>
          <t>Deload</t>
        </is>
      </c>
      <c r="G68" s="9" t="inlineStr">
        <is>
          <t>Mobility 20 min + weekly review</t>
        </is>
      </c>
      <c r="H68" s="9" t="inlineStr">
        <is>
          <t>RS analytics (deload week: theory)</t>
        </is>
      </c>
      <c r="I68" s="4" t="n"/>
      <c r="J68" s="4" t="n"/>
      <c r="K68" s="4" t="n"/>
      <c r="L68" s="4" t="n"/>
      <c r="M68" s="4" t="n"/>
      <c r="N68" s="15" t="n"/>
      <c r="O68" s="9">
        <f>SUM(I68:M68)+IF(WEEKDAY(B68,2)&lt;=5,N68,0)</f>
        <v/>
      </c>
      <c r="P68" s="9">
        <f>IF(WEEKDAY(B68,2)&lt;=5,6,5)</f>
        <v/>
      </c>
      <c r="Q68" s="9">
        <f>IF(COUNT(I68:N68)&gt;0,1,0)</f>
        <v/>
      </c>
      <c r="R68" s="9">
        <f>P68*Q68</f>
        <v/>
      </c>
      <c r="S68" s="14">
        <f>IF(Q68=1,O68/P68,"")</f>
        <v/>
      </c>
      <c r="T68" s="4" t="n"/>
      <c r="U68" s="4" t="n"/>
      <c r="V68" s="4" t="n"/>
      <c r="W68" s="4" t="n"/>
    </row>
    <row r="69">
      <c r="A69" s="9" t="n">
        <v>68</v>
      </c>
      <c r="B69" s="13" t="n">
        <v>46363</v>
      </c>
      <c r="C69" s="9" t="inlineStr">
        <is>
          <t>Mon</t>
        </is>
      </c>
      <c r="D69" s="9" t="n">
        <v>10</v>
      </c>
      <c r="E69" s="9" t="n">
        <v>1</v>
      </c>
      <c r="F69" s="9" t="inlineStr">
        <is>
          <t>Build 2 (holiday stress test)</t>
        </is>
      </c>
      <c r="G69" s="9" t="inlineStr">
        <is>
          <t>Strength B (3-4 sets, main lifts 6-10 reps)</t>
        </is>
      </c>
      <c r="H69" s="9" t="inlineStr">
        <is>
          <t>RS analytics</t>
        </is>
      </c>
      <c r="I69" s="4" t="n"/>
      <c r="J69" s="4" t="n"/>
      <c r="K69" s="4" t="n"/>
      <c r="L69" s="4" t="n"/>
      <c r="M69" s="4" t="n"/>
      <c r="N69" s="4" t="n"/>
      <c r="O69" s="9">
        <f>SUM(I69:M69)+IF(WEEKDAY(B69,2)&lt;=5,N69,0)</f>
        <v/>
      </c>
      <c r="P69" s="9">
        <f>IF(WEEKDAY(B69,2)&lt;=5,6,5)</f>
        <v/>
      </c>
      <c r="Q69" s="9">
        <f>IF(COUNT(I69:N69)&gt;0,1,0)</f>
        <v/>
      </c>
      <c r="R69" s="9">
        <f>P69*Q69</f>
        <v/>
      </c>
      <c r="S69" s="14">
        <f>IF(Q69=1,O69/P69,"")</f>
        <v/>
      </c>
      <c r="T69" s="4" t="n"/>
      <c r="U69" s="4" t="n"/>
      <c r="V69" s="4" t="n"/>
      <c r="W69" s="4" t="n"/>
    </row>
    <row r="70">
      <c r="A70" s="9" t="n">
        <v>69</v>
      </c>
      <c r="B70" s="13" t="n">
        <v>46364</v>
      </c>
      <c r="C70" s="9" t="inlineStr">
        <is>
          <t>Tue</t>
        </is>
      </c>
      <c r="D70" s="9" t="n">
        <v>10</v>
      </c>
      <c r="E70" s="9" t="n">
        <v>1</v>
      </c>
      <c r="F70" s="9" t="inlineStr">
        <is>
          <t>Build 2 (holiday stress test)</t>
        </is>
      </c>
      <c r="G70" s="9" t="inlineStr">
        <is>
          <t>Zone 2 cardio 35-40 min</t>
        </is>
      </c>
      <c r="H70" s="9" t="inlineStr">
        <is>
          <t>RS analytics</t>
        </is>
      </c>
      <c r="I70" s="4" t="n"/>
      <c r="J70" s="4" t="n"/>
      <c r="K70" s="4" t="n"/>
      <c r="L70" s="4" t="n"/>
      <c r="M70" s="4" t="n"/>
      <c r="N70" s="4" t="n"/>
      <c r="O70" s="9">
        <f>SUM(I70:M70)+IF(WEEKDAY(B70,2)&lt;=5,N70,0)</f>
        <v/>
      </c>
      <c r="P70" s="9">
        <f>IF(WEEKDAY(B70,2)&lt;=5,6,5)</f>
        <v/>
      </c>
      <c r="Q70" s="9">
        <f>IF(COUNT(I70:N70)&gt;0,1,0)</f>
        <v/>
      </c>
      <c r="R70" s="9">
        <f>P70*Q70</f>
        <v/>
      </c>
      <c r="S70" s="14">
        <f>IF(Q70=1,O70/P70,"")</f>
        <v/>
      </c>
      <c r="T70" s="4" t="n"/>
      <c r="U70" s="4" t="n"/>
      <c r="V70" s="4" t="n"/>
      <c r="W70" s="4" t="n"/>
    </row>
    <row r="71">
      <c r="A71" s="9" t="n">
        <v>70</v>
      </c>
      <c r="B71" s="13" t="n">
        <v>46365</v>
      </c>
      <c r="C71" s="9" t="inlineStr">
        <is>
          <t>Wed</t>
        </is>
      </c>
      <c r="D71" s="9" t="n">
        <v>10</v>
      </c>
      <c r="E71" s="9" t="n">
        <v>1</v>
      </c>
      <c r="F71" s="9" t="inlineStr">
        <is>
          <t>Build 2 (holiday stress test)</t>
        </is>
      </c>
      <c r="G71" s="9" t="inlineStr">
        <is>
          <t>Strength A (3-4 sets, main lifts 6-10 reps)</t>
        </is>
      </c>
      <c r="H71" s="9" t="inlineStr">
        <is>
          <t>RS analytics</t>
        </is>
      </c>
      <c r="I71" s="4" t="n"/>
      <c r="J71" s="4" t="n"/>
      <c r="K71" s="4" t="n"/>
      <c r="L71" s="4" t="n"/>
      <c r="M71" s="4" t="n"/>
      <c r="N71" s="4" t="n"/>
      <c r="O71" s="9">
        <f>SUM(I71:M71)+IF(WEEKDAY(B71,2)&lt;=5,N71,0)</f>
        <v/>
      </c>
      <c r="P71" s="9">
        <f>IF(WEEKDAY(B71,2)&lt;=5,6,5)</f>
        <v/>
      </c>
      <c r="Q71" s="9">
        <f>IF(COUNT(I71:N71)&gt;0,1,0)</f>
        <v/>
      </c>
      <c r="R71" s="9">
        <f>P71*Q71</f>
        <v/>
      </c>
      <c r="S71" s="14">
        <f>IF(Q71=1,O71/P71,"")</f>
        <v/>
      </c>
      <c r="T71" s="4" t="n"/>
      <c r="U71" s="4" t="n"/>
      <c r="V71" s="4" t="n"/>
      <c r="W71" s="4" t="n"/>
    </row>
    <row r="72">
      <c r="A72" s="9" t="n">
        <v>71</v>
      </c>
      <c r="B72" s="13" t="n">
        <v>46366</v>
      </c>
      <c r="C72" s="9" t="inlineStr">
        <is>
          <t>Thu</t>
        </is>
      </c>
      <c r="D72" s="9" t="n">
        <v>10</v>
      </c>
      <c r="E72" s="9" t="n">
        <v>1</v>
      </c>
      <c r="F72" s="9" t="inlineStr">
        <is>
          <t>Build 2 (holiday stress test)</t>
        </is>
      </c>
      <c r="G72" s="9" t="inlineStr">
        <is>
          <t>Zone 2 cardio 35-40 min</t>
        </is>
      </c>
      <c r="H72" s="9" t="inlineStr">
        <is>
          <t>RS analytics</t>
        </is>
      </c>
      <c r="I72" s="4" t="n"/>
      <c r="J72" s="4" t="n"/>
      <c r="K72" s="4" t="n"/>
      <c r="L72" s="4" t="n"/>
      <c r="M72" s="4" t="n"/>
      <c r="N72" s="4" t="n"/>
      <c r="O72" s="9">
        <f>SUM(I72:M72)+IF(WEEKDAY(B72,2)&lt;=5,N72,0)</f>
        <v/>
      </c>
      <c r="P72" s="9">
        <f>IF(WEEKDAY(B72,2)&lt;=5,6,5)</f>
        <v/>
      </c>
      <c r="Q72" s="9">
        <f>IF(COUNT(I72:N72)&gt;0,1,0)</f>
        <v/>
      </c>
      <c r="R72" s="9">
        <f>P72*Q72</f>
        <v/>
      </c>
      <c r="S72" s="14">
        <f>IF(Q72=1,O72/P72,"")</f>
        <v/>
      </c>
      <c r="T72" s="4" t="n"/>
      <c r="U72" s="4" t="n"/>
      <c r="V72" s="4" t="n"/>
      <c r="W72" s="4" t="n"/>
    </row>
    <row r="73">
      <c r="A73" s="9" t="n">
        <v>72</v>
      </c>
      <c r="B73" s="13" t="n">
        <v>46367</v>
      </c>
      <c r="C73" s="9" t="inlineStr">
        <is>
          <t>Fri</t>
        </is>
      </c>
      <c r="D73" s="9" t="n">
        <v>10</v>
      </c>
      <c r="E73" s="9" t="n">
        <v>1</v>
      </c>
      <c r="F73" s="9" t="inlineStr">
        <is>
          <t>Build 2 (holiday stress test)</t>
        </is>
      </c>
      <c r="G73" s="9" t="inlineStr">
        <is>
          <t>Strength B (3-4 sets, main lifts 6-10 reps)</t>
        </is>
      </c>
      <c r="H73" s="9" t="inlineStr">
        <is>
          <t>RS analytics</t>
        </is>
      </c>
      <c r="I73" s="4" t="n"/>
      <c r="J73" s="4" t="n"/>
      <c r="K73" s="4" t="n"/>
      <c r="L73" s="4" t="n"/>
      <c r="M73" s="4" t="n"/>
      <c r="N73" s="4" t="n"/>
      <c r="O73" s="9">
        <f>SUM(I73:M73)+IF(WEEKDAY(B73,2)&lt;=5,N73,0)</f>
        <v/>
      </c>
      <c r="P73" s="9">
        <f>IF(WEEKDAY(B73,2)&lt;=5,6,5)</f>
        <v/>
      </c>
      <c r="Q73" s="9">
        <f>IF(COUNT(I73:N73)&gt;0,1,0)</f>
        <v/>
      </c>
      <c r="R73" s="9">
        <f>P73*Q73</f>
        <v/>
      </c>
      <c r="S73" s="14">
        <f>IF(Q73=1,O73/P73,"")</f>
        <v/>
      </c>
      <c r="T73" s="4" t="n"/>
      <c r="U73" s="4" t="n"/>
      <c r="V73" s="4" t="n"/>
      <c r="W73" s="4" t="n"/>
    </row>
    <row r="74">
      <c r="A74" s="9" t="n">
        <v>73</v>
      </c>
      <c r="B74" s="13" t="n">
        <v>46368</v>
      </c>
      <c r="C74" s="9" t="inlineStr">
        <is>
          <t>Sat</t>
        </is>
      </c>
      <c r="D74" s="9" t="n">
        <v>10</v>
      </c>
      <c r="E74" s="9" t="n">
        <v>1</v>
      </c>
      <c r="F74" s="9" t="inlineStr">
        <is>
          <t>Build 2 (holiday stress test)</t>
        </is>
      </c>
      <c r="G74" s="9" t="inlineStr">
        <is>
          <t>Activity 45-60 min (hike, sport, long walk)</t>
        </is>
      </c>
      <c r="H74" s="9" t="inlineStr">
        <is>
          <t>RS analytics</t>
        </is>
      </c>
      <c r="I74" s="4" t="n"/>
      <c r="J74" s="4" t="n"/>
      <c r="K74" s="4" t="n"/>
      <c r="L74" s="4" t="n"/>
      <c r="M74" s="4" t="n"/>
      <c r="N74" s="15" t="n"/>
      <c r="O74" s="9">
        <f>SUM(I74:M74)+IF(WEEKDAY(B74,2)&lt;=5,N74,0)</f>
        <v/>
      </c>
      <c r="P74" s="9">
        <f>IF(WEEKDAY(B74,2)&lt;=5,6,5)</f>
        <v/>
      </c>
      <c r="Q74" s="9">
        <f>IF(COUNT(I74:N74)&gt;0,1,0)</f>
        <v/>
      </c>
      <c r="R74" s="9">
        <f>P74*Q74</f>
        <v/>
      </c>
      <c r="S74" s="14">
        <f>IF(Q74=1,O74/P74,"")</f>
        <v/>
      </c>
      <c r="T74" s="4" t="n"/>
      <c r="U74" s="4" t="n"/>
      <c r="V74" s="4" t="n"/>
      <c r="W74" s="4" t="n"/>
    </row>
    <row r="75">
      <c r="A75" s="16" t="n">
        <v>74</v>
      </c>
      <c r="B75" s="17" t="n">
        <v>46369</v>
      </c>
      <c r="C75" s="16" t="inlineStr">
        <is>
          <t>Sun</t>
        </is>
      </c>
      <c r="D75" s="9" t="n">
        <v>10</v>
      </c>
      <c r="E75" s="9" t="n">
        <v>1</v>
      </c>
      <c r="F75" s="9" t="inlineStr">
        <is>
          <t>Build 2 (holiday stress test)</t>
        </is>
      </c>
      <c r="G75" s="9" t="inlineStr">
        <is>
          <t>Mobility 20 min + weekly review</t>
        </is>
      </c>
      <c r="H75" s="9" t="inlineStr">
        <is>
          <t>RS analytics</t>
        </is>
      </c>
      <c r="I75" s="4" t="n"/>
      <c r="J75" s="4" t="n"/>
      <c r="K75" s="4" t="n"/>
      <c r="L75" s="4" t="n"/>
      <c r="M75" s="4" t="n"/>
      <c r="N75" s="15" t="n"/>
      <c r="O75" s="9">
        <f>SUM(I75:M75)+IF(WEEKDAY(B75,2)&lt;=5,N75,0)</f>
        <v/>
      </c>
      <c r="P75" s="9">
        <f>IF(WEEKDAY(B75,2)&lt;=5,6,5)</f>
        <v/>
      </c>
      <c r="Q75" s="9">
        <f>IF(COUNT(I75:N75)&gt;0,1,0)</f>
        <v/>
      </c>
      <c r="R75" s="9">
        <f>P75*Q75</f>
        <v/>
      </c>
      <c r="S75" s="14">
        <f>IF(Q75=1,O75/P75,"")</f>
        <v/>
      </c>
      <c r="T75" s="4" t="n"/>
      <c r="U75" s="4" t="n"/>
      <c r="V75" s="4" t="n"/>
      <c r="W75" s="4" t="n"/>
    </row>
    <row r="76">
      <c r="A76" s="9" t="n">
        <v>75</v>
      </c>
      <c r="B76" s="13" t="n">
        <v>46370</v>
      </c>
      <c r="C76" s="9" t="inlineStr">
        <is>
          <t>Mon</t>
        </is>
      </c>
      <c r="D76" s="9" t="n">
        <v>11</v>
      </c>
      <c r="E76" s="9" t="n">
        <v>1</v>
      </c>
      <c r="F76" s="9" t="inlineStr">
        <is>
          <t>Build 2 (holiday stress test)</t>
        </is>
      </c>
      <c r="G76" s="9" t="inlineStr">
        <is>
          <t>Strength A (3-4 sets, main lifts 6-10 reps)</t>
        </is>
      </c>
      <c r="H76" s="9" t="inlineStr">
        <is>
          <t>RS analytics</t>
        </is>
      </c>
      <c r="I76" s="4" t="n"/>
      <c r="J76" s="4" t="n"/>
      <c r="K76" s="4" t="n"/>
      <c r="L76" s="4" t="n"/>
      <c r="M76" s="4" t="n"/>
      <c r="N76" s="4" t="n"/>
      <c r="O76" s="9">
        <f>SUM(I76:M76)+IF(WEEKDAY(B76,2)&lt;=5,N76,0)</f>
        <v/>
      </c>
      <c r="P76" s="9">
        <f>IF(WEEKDAY(B76,2)&lt;=5,6,5)</f>
        <v/>
      </c>
      <c r="Q76" s="9">
        <f>IF(COUNT(I76:N76)&gt;0,1,0)</f>
        <v/>
      </c>
      <c r="R76" s="9">
        <f>P76*Q76</f>
        <v/>
      </c>
      <c r="S76" s="14">
        <f>IF(Q76=1,O76/P76,"")</f>
        <v/>
      </c>
      <c r="T76" s="4" t="n"/>
      <c r="U76" s="4" t="n"/>
      <c r="V76" s="4" t="n"/>
      <c r="W76" s="4" t="n"/>
    </row>
    <row r="77">
      <c r="A77" s="9" t="n">
        <v>76</v>
      </c>
      <c r="B77" s="13" t="n">
        <v>46371</v>
      </c>
      <c r="C77" s="9" t="inlineStr">
        <is>
          <t>Tue</t>
        </is>
      </c>
      <c r="D77" s="9" t="n">
        <v>11</v>
      </c>
      <c r="E77" s="9" t="n">
        <v>1</v>
      </c>
      <c r="F77" s="9" t="inlineStr">
        <is>
          <t>Build 2 (holiday stress test)</t>
        </is>
      </c>
      <c r="G77" s="9" t="inlineStr">
        <is>
          <t>Zone 2 cardio 35-40 min</t>
        </is>
      </c>
      <c r="H77" s="9" t="inlineStr">
        <is>
          <t>RS analytics</t>
        </is>
      </c>
      <c r="I77" s="4" t="n"/>
      <c r="J77" s="4" t="n"/>
      <c r="K77" s="4" t="n"/>
      <c r="L77" s="4" t="n"/>
      <c r="M77" s="4" t="n"/>
      <c r="N77" s="4" t="n"/>
      <c r="O77" s="9">
        <f>SUM(I77:M77)+IF(WEEKDAY(B77,2)&lt;=5,N77,0)</f>
        <v/>
      </c>
      <c r="P77" s="9">
        <f>IF(WEEKDAY(B77,2)&lt;=5,6,5)</f>
        <v/>
      </c>
      <c r="Q77" s="9">
        <f>IF(COUNT(I77:N77)&gt;0,1,0)</f>
        <v/>
      </c>
      <c r="R77" s="9">
        <f>P77*Q77</f>
        <v/>
      </c>
      <c r="S77" s="14">
        <f>IF(Q77=1,O77/P77,"")</f>
        <v/>
      </c>
      <c r="T77" s="4" t="n"/>
      <c r="U77" s="4" t="n"/>
      <c r="V77" s="4" t="n"/>
      <c r="W77" s="4" t="n"/>
    </row>
    <row r="78">
      <c r="A78" s="9" t="n">
        <v>77</v>
      </c>
      <c r="B78" s="13" t="n">
        <v>46372</v>
      </c>
      <c r="C78" s="9" t="inlineStr">
        <is>
          <t>Wed</t>
        </is>
      </c>
      <c r="D78" s="9" t="n">
        <v>11</v>
      </c>
      <c r="E78" s="9" t="n">
        <v>1</v>
      </c>
      <c r="F78" s="9" t="inlineStr">
        <is>
          <t>Build 2 (holiday stress test)</t>
        </is>
      </c>
      <c r="G78" s="9" t="inlineStr">
        <is>
          <t>Strength B (3-4 sets, main lifts 6-10 reps)</t>
        </is>
      </c>
      <c r="H78" s="9" t="inlineStr">
        <is>
          <t>RS analytics</t>
        </is>
      </c>
      <c r="I78" s="4" t="n"/>
      <c r="J78" s="4" t="n"/>
      <c r="K78" s="4" t="n"/>
      <c r="L78" s="4" t="n"/>
      <c r="M78" s="4" t="n"/>
      <c r="N78" s="4" t="n"/>
      <c r="O78" s="9">
        <f>SUM(I78:M78)+IF(WEEKDAY(B78,2)&lt;=5,N78,0)</f>
        <v/>
      </c>
      <c r="P78" s="9">
        <f>IF(WEEKDAY(B78,2)&lt;=5,6,5)</f>
        <v/>
      </c>
      <c r="Q78" s="9">
        <f>IF(COUNT(I78:N78)&gt;0,1,0)</f>
        <v/>
      </c>
      <c r="R78" s="9">
        <f>P78*Q78</f>
        <v/>
      </c>
      <c r="S78" s="14">
        <f>IF(Q78=1,O78/P78,"")</f>
        <v/>
      </c>
      <c r="T78" s="4" t="n"/>
      <c r="U78" s="4" t="n"/>
      <c r="V78" s="4" t="n"/>
      <c r="W78" s="4" t="n"/>
    </row>
    <row r="79">
      <c r="A79" s="9" t="n">
        <v>78</v>
      </c>
      <c r="B79" s="13" t="n">
        <v>46373</v>
      </c>
      <c r="C79" s="9" t="inlineStr">
        <is>
          <t>Thu</t>
        </is>
      </c>
      <c r="D79" s="9" t="n">
        <v>11</v>
      </c>
      <c r="E79" s="9" t="n">
        <v>1</v>
      </c>
      <c r="F79" s="9" t="inlineStr">
        <is>
          <t>Build 2 (holiday stress test)</t>
        </is>
      </c>
      <c r="G79" s="9" t="inlineStr">
        <is>
          <t>Zone 2 cardio 35-40 min</t>
        </is>
      </c>
      <c r="H79" s="9" t="inlineStr">
        <is>
          <t>RS analytics</t>
        </is>
      </c>
      <c r="I79" s="4" t="n"/>
      <c r="J79" s="4" t="n"/>
      <c r="K79" s="4" t="n"/>
      <c r="L79" s="4" t="n"/>
      <c r="M79" s="4" t="n"/>
      <c r="N79" s="4" t="n"/>
      <c r="O79" s="9">
        <f>SUM(I79:M79)+IF(WEEKDAY(B79,2)&lt;=5,N79,0)</f>
        <v/>
      </c>
      <c r="P79" s="9">
        <f>IF(WEEKDAY(B79,2)&lt;=5,6,5)</f>
        <v/>
      </c>
      <c r="Q79" s="9">
        <f>IF(COUNT(I79:N79)&gt;0,1,0)</f>
        <v/>
      </c>
      <c r="R79" s="9">
        <f>P79*Q79</f>
        <v/>
      </c>
      <c r="S79" s="14">
        <f>IF(Q79=1,O79/P79,"")</f>
        <v/>
      </c>
      <c r="T79" s="4" t="n"/>
      <c r="U79" s="4" t="n"/>
      <c r="V79" s="4" t="n"/>
      <c r="W79" s="4" t="n"/>
    </row>
    <row r="80">
      <c r="A80" s="9" t="n">
        <v>79</v>
      </c>
      <c r="B80" s="13" t="n">
        <v>46374</v>
      </c>
      <c r="C80" s="9" t="inlineStr">
        <is>
          <t>Fri</t>
        </is>
      </c>
      <c r="D80" s="9" t="n">
        <v>11</v>
      </c>
      <c r="E80" s="9" t="n">
        <v>1</v>
      </c>
      <c r="F80" s="9" t="inlineStr">
        <is>
          <t>Build 2 (holiday stress test)</t>
        </is>
      </c>
      <c r="G80" s="9" t="inlineStr">
        <is>
          <t>Strength A (3-4 sets, main lifts 6-10 reps)</t>
        </is>
      </c>
      <c r="H80" s="9" t="inlineStr">
        <is>
          <t>RS analytics</t>
        </is>
      </c>
      <c r="I80" s="4" t="n"/>
      <c r="J80" s="4" t="n"/>
      <c r="K80" s="4" t="n"/>
      <c r="L80" s="4" t="n"/>
      <c r="M80" s="4" t="n"/>
      <c r="N80" s="4" t="n"/>
      <c r="O80" s="9">
        <f>SUM(I80:M80)+IF(WEEKDAY(B80,2)&lt;=5,N80,0)</f>
        <v/>
      </c>
      <c r="P80" s="9">
        <f>IF(WEEKDAY(B80,2)&lt;=5,6,5)</f>
        <v/>
      </c>
      <c r="Q80" s="9">
        <f>IF(COUNT(I80:N80)&gt;0,1,0)</f>
        <v/>
      </c>
      <c r="R80" s="9">
        <f>P80*Q80</f>
        <v/>
      </c>
      <c r="S80" s="14">
        <f>IF(Q80=1,O80/P80,"")</f>
        <v/>
      </c>
      <c r="T80" s="4" t="n"/>
      <c r="U80" s="4" t="n"/>
      <c r="V80" s="4" t="n"/>
      <c r="W80" s="4" t="n"/>
    </row>
    <row r="81">
      <c r="A81" s="9" t="n">
        <v>80</v>
      </c>
      <c r="B81" s="13" t="n">
        <v>46375</v>
      </c>
      <c r="C81" s="9" t="inlineStr">
        <is>
          <t>Sat</t>
        </is>
      </c>
      <c r="D81" s="9" t="n">
        <v>11</v>
      </c>
      <c r="E81" s="9" t="n">
        <v>1</v>
      </c>
      <c r="F81" s="9" t="inlineStr">
        <is>
          <t>Build 2 (holiday stress test)</t>
        </is>
      </c>
      <c r="G81" s="9" t="inlineStr">
        <is>
          <t>Activity 45-60 min (hike, sport, long walk)</t>
        </is>
      </c>
      <c r="H81" s="9" t="inlineStr">
        <is>
          <t>RS analytics</t>
        </is>
      </c>
      <c r="I81" s="4" t="n"/>
      <c r="J81" s="4" t="n"/>
      <c r="K81" s="4" t="n"/>
      <c r="L81" s="4" t="n"/>
      <c r="M81" s="4" t="n"/>
      <c r="N81" s="15" t="n"/>
      <c r="O81" s="9">
        <f>SUM(I81:M81)+IF(WEEKDAY(B81,2)&lt;=5,N81,0)</f>
        <v/>
      </c>
      <c r="P81" s="9">
        <f>IF(WEEKDAY(B81,2)&lt;=5,6,5)</f>
        <v/>
      </c>
      <c r="Q81" s="9">
        <f>IF(COUNT(I81:N81)&gt;0,1,0)</f>
        <v/>
      </c>
      <c r="R81" s="9">
        <f>P81*Q81</f>
        <v/>
      </c>
      <c r="S81" s="14">
        <f>IF(Q81=1,O81/P81,"")</f>
        <v/>
      </c>
      <c r="T81" s="4" t="n"/>
      <c r="U81" s="4" t="n"/>
      <c r="V81" s="4" t="n"/>
      <c r="W81" s="4" t="n"/>
    </row>
    <row r="82">
      <c r="A82" s="16" t="n">
        <v>81</v>
      </c>
      <c r="B82" s="17" t="n">
        <v>46376</v>
      </c>
      <c r="C82" s="16" t="inlineStr">
        <is>
          <t>Sun</t>
        </is>
      </c>
      <c r="D82" s="9" t="n">
        <v>11</v>
      </c>
      <c r="E82" s="9" t="n">
        <v>1</v>
      </c>
      <c r="F82" s="9" t="inlineStr">
        <is>
          <t>Build 2 (holiday stress test)</t>
        </is>
      </c>
      <c r="G82" s="9" t="inlineStr">
        <is>
          <t>Mobility 20 min + weekly review</t>
        </is>
      </c>
      <c r="H82" s="9" t="inlineStr">
        <is>
          <t>RS analytics</t>
        </is>
      </c>
      <c r="I82" s="4" t="n"/>
      <c r="J82" s="4" t="n"/>
      <c r="K82" s="4" t="n"/>
      <c r="L82" s="4" t="n"/>
      <c r="M82" s="4" t="n"/>
      <c r="N82" s="15" t="n"/>
      <c r="O82" s="9">
        <f>SUM(I82:M82)+IF(WEEKDAY(B82,2)&lt;=5,N82,0)</f>
        <v/>
      </c>
      <c r="P82" s="9">
        <f>IF(WEEKDAY(B82,2)&lt;=5,6,5)</f>
        <v/>
      </c>
      <c r="Q82" s="9">
        <f>IF(COUNT(I82:N82)&gt;0,1,0)</f>
        <v/>
      </c>
      <c r="R82" s="9">
        <f>P82*Q82</f>
        <v/>
      </c>
      <c r="S82" s="14">
        <f>IF(Q82=1,O82/P82,"")</f>
        <v/>
      </c>
      <c r="T82" s="4" t="n"/>
      <c r="U82" s="4" t="n"/>
      <c r="V82" s="4" t="n"/>
      <c r="W82" s="4" t="n"/>
    </row>
    <row r="83">
      <c r="A83" s="9" t="n">
        <v>82</v>
      </c>
      <c r="B83" s="13" t="n">
        <v>46377</v>
      </c>
      <c r="C83" s="9" t="inlineStr">
        <is>
          <t>Mon</t>
        </is>
      </c>
      <c r="D83" s="9" t="n">
        <v>12</v>
      </c>
      <c r="E83" s="9" t="n">
        <v>1</v>
      </c>
      <c r="F83" s="9" t="inlineStr">
        <is>
          <t>Build 2 (holiday stress test)</t>
        </is>
      </c>
      <c r="G83" s="9" t="inlineStr">
        <is>
          <t>Strength B (3-4 sets, main lifts 6-10 reps)</t>
        </is>
      </c>
      <c r="H83" s="9" t="inlineStr">
        <is>
          <t>RS analytics</t>
        </is>
      </c>
      <c r="I83" s="4" t="n"/>
      <c r="J83" s="4" t="n"/>
      <c r="K83" s="4" t="n"/>
      <c r="L83" s="4" t="n"/>
      <c r="M83" s="4" t="n"/>
      <c r="N83" s="4" t="n"/>
      <c r="O83" s="9">
        <f>SUM(I83:M83)+IF(WEEKDAY(B83,2)&lt;=5,N83,0)</f>
        <v/>
      </c>
      <c r="P83" s="9">
        <f>IF(WEEKDAY(B83,2)&lt;=5,6,5)</f>
        <v/>
      </c>
      <c r="Q83" s="9">
        <f>IF(COUNT(I83:N83)&gt;0,1,0)</f>
        <v/>
      </c>
      <c r="R83" s="9">
        <f>P83*Q83</f>
        <v/>
      </c>
      <c r="S83" s="14">
        <f>IF(Q83=1,O83/P83,"")</f>
        <v/>
      </c>
      <c r="T83" s="4" t="n"/>
      <c r="U83" s="4" t="n"/>
      <c r="V83" s="4" t="n"/>
      <c r="W83" s="4" t="n"/>
    </row>
    <row r="84">
      <c r="A84" s="9" t="n">
        <v>83</v>
      </c>
      <c r="B84" s="13" t="n">
        <v>46378</v>
      </c>
      <c r="C84" s="9" t="inlineStr">
        <is>
          <t>Tue</t>
        </is>
      </c>
      <c r="D84" s="9" t="n">
        <v>12</v>
      </c>
      <c r="E84" s="9" t="n">
        <v>1</v>
      </c>
      <c r="F84" s="9" t="inlineStr">
        <is>
          <t>Build 2 (holiday stress test)</t>
        </is>
      </c>
      <c r="G84" s="9" t="inlineStr">
        <is>
          <t>Zone 2 cardio 35-40 min</t>
        </is>
      </c>
      <c r="H84" s="9" t="inlineStr">
        <is>
          <t>RS analytics</t>
        </is>
      </c>
      <c r="I84" s="4" t="n"/>
      <c r="J84" s="4" t="n"/>
      <c r="K84" s="4" t="n"/>
      <c r="L84" s="4" t="n"/>
      <c r="M84" s="4" t="n"/>
      <c r="N84" s="4" t="n"/>
      <c r="O84" s="9">
        <f>SUM(I84:M84)+IF(WEEKDAY(B84,2)&lt;=5,N84,0)</f>
        <v/>
      </c>
      <c r="P84" s="9">
        <f>IF(WEEKDAY(B84,2)&lt;=5,6,5)</f>
        <v/>
      </c>
      <c r="Q84" s="9">
        <f>IF(COUNT(I84:N84)&gt;0,1,0)</f>
        <v/>
      </c>
      <c r="R84" s="9">
        <f>P84*Q84</f>
        <v/>
      </c>
      <c r="S84" s="14">
        <f>IF(Q84=1,O84/P84,"")</f>
        <v/>
      </c>
      <c r="T84" s="4" t="n"/>
      <c r="U84" s="4" t="n"/>
      <c r="V84" s="4" t="n"/>
      <c r="W84" s="4" t="n"/>
    </row>
    <row r="85">
      <c r="A85" s="9" t="n">
        <v>84</v>
      </c>
      <c r="B85" s="13" t="n">
        <v>46379</v>
      </c>
      <c r="C85" s="9" t="inlineStr">
        <is>
          <t>Wed</t>
        </is>
      </c>
      <c r="D85" s="9" t="n">
        <v>12</v>
      </c>
      <c r="E85" s="9" t="n">
        <v>1</v>
      </c>
      <c r="F85" s="9" t="inlineStr">
        <is>
          <t>Build 2 (holiday stress test)</t>
        </is>
      </c>
      <c r="G85" s="9" t="inlineStr">
        <is>
          <t>Strength A (3-4 sets, main lifts 6-10 reps)</t>
        </is>
      </c>
      <c r="H85" s="9" t="inlineStr">
        <is>
          <t>RS analytics</t>
        </is>
      </c>
      <c r="I85" s="4" t="n"/>
      <c r="J85" s="4" t="n"/>
      <c r="K85" s="4" t="n"/>
      <c r="L85" s="4" t="n"/>
      <c r="M85" s="4" t="n"/>
      <c r="N85" s="4" t="n"/>
      <c r="O85" s="9">
        <f>SUM(I85:M85)+IF(WEEKDAY(B85,2)&lt;=5,N85,0)</f>
        <v/>
      </c>
      <c r="P85" s="9">
        <f>IF(WEEKDAY(B85,2)&lt;=5,6,5)</f>
        <v/>
      </c>
      <c r="Q85" s="9">
        <f>IF(COUNT(I85:N85)&gt;0,1,0)</f>
        <v/>
      </c>
      <c r="R85" s="9">
        <f>P85*Q85</f>
        <v/>
      </c>
      <c r="S85" s="14">
        <f>IF(Q85=1,O85/P85,"")</f>
        <v/>
      </c>
      <c r="T85" s="4" t="n"/>
      <c r="U85" s="4" t="n"/>
      <c r="V85" s="4" t="n"/>
      <c r="W85" s="4" t="n"/>
    </row>
    <row r="86">
      <c r="A86" s="9" t="n">
        <v>85</v>
      </c>
      <c r="B86" s="13" t="n">
        <v>46380</v>
      </c>
      <c r="C86" s="9" t="inlineStr">
        <is>
          <t>Thu</t>
        </is>
      </c>
      <c r="D86" s="9" t="n">
        <v>12</v>
      </c>
      <c r="E86" s="9" t="n">
        <v>1</v>
      </c>
      <c r="F86" s="9" t="inlineStr">
        <is>
          <t>Build 2 (holiday stress test)</t>
        </is>
      </c>
      <c r="G86" s="9" t="inlineStr">
        <is>
          <t>Zone 2 cardio 35-40 min</t>
        </is>
      </c>
      <c r="H86" s="9" t="inlineStr">
        <is>
          <t>RS analytics</t>
        </is>
      </c>
      <c r="I86" s="4" t="n"/>
      <c r="J86" s="4" t="n"/>
      <c r="K86" s="4" t="n"/>
      <c r="L86" s="4" t="n"/>
      <c r="M86" s="4" t="n"/>
      <c r="N86" s="4" t="n"/>
      <c r="O86" s="9">
        <f>SUM(I86:M86)+IF(WEEKDAY(B86,2)&lt;=5,N86,0)</f>
        <v/>
      </c>
      <c r="P86" s="9">
        <f>IF(WEEKDAY(B86,2)&lt;=5,6,5)</f>
        <v/>
      </c>
      <c r="Q86" s="9">
        <f>IF(COUNT(I86:N86)&gt;0,1,0)</f>
        <v/>
      </c>
      <c r="R86" s="9">
        <f>P86*Q86</f>
        <v/>
      </c>
      <c r="S86" s="14">
        <f>IF(Q86=1,O86/P86,"")</f>
        <v/>
      </c>
      <c r="T86" s="4" t="n"/>
      <c r="U86" s="4" t="n"/>
      <c r="V86" s="4" t="n"/>
      <c r="W86" s="4" t="n"/>
    </row>
    <row r="87">
      <c r="A87" s="9" t="n">
        <v>86</v>
      </c>
      <c r="B87" s="13" t="n">
        <v>46381</v>
      </c>
      <c r="C87" s="9" t="inlineStr">
        <is>
          <t>Fri</t>
        </is>
      </c>
      <c r="D87" s="9" t="n">
        <v>12</v>
      </c>
      <c r="E87" s="9" t="n">
        <v>1</v>
      </c>
      <c r="F87" s="9" t="inlineStr">
        <is>
          <t>Build 2 (holiday stress test)</t>
        </is>
      </c>
      <c r="G87" s="9" t="inlineStr">
        <is>
          <t>Strength B (3-4 sets, main lifts 6-10 reps)</t>
        </is>
      </c>
      <c r="H87" s="9" t="inlineStr">
        <is>
          <t>RS analytics</t>
        </is>
      </c>
      <c r="I87" s="4" t="n"/>
      <c r="J87" s="4" t="n"/>
      <c r="K87" s="4" t="n"/>
      <c r="L87" s="4" t="n"/>
      <c r="M87" s="4" t="n"/>
      <c r="N87" s="4" t="n"/>
      <c r="O87" s="9">
        <f>SUM(I87:M87)+IF(WEEKDAY(B87,2)&lt;=5,N87,0)</f>
        <v/>
      </c>
      <c r="P87" s="9">
        <f>IF(WEEKDAY(B87,2)&lt;=5,6,5)</f>
        <v/>
      </c>
      <c r="Q87" s="9">
        <f>IF(COUNT(I87:N87)&gt;0,1,0)</f>
        <v/>
      </c>
      <c r="R87" s="9">
        <f>P87*Q87</f>
        <v/>
      </c>
      <c r="S87" s="14">
        <f>IF(Q87=1,O87/P87,"")</f>
        <v/>
      </c>
      <c r="T87" s="4" t="n"/>
      <c r="U87" s="4" t="n"/>
      <c r="V87" s="4" t="n"/>
      <c r="W87" s="4" t="n"/>
    </row>
    <row r="88">
      <c r="A88" s="9" t="n">
        <v>87</v>
      </c>
      <c r="B88" s="13" t="n">
        <v>46382</v>
      </c>
      <c r="C88" s="9" t="inlineStr">
        <is>
          <t>Sat</t>
        </is>
      </c>
      <c r="D88" s="9" t="n">
        <v>12</v>
      </c>
      <c r="E88" s="9" t="n">
        <v>1</v>
      </c>
      <c r="F88" s="9" t="inlineStr">
        <is>
          <t>Build 2 (holiday stress test)</t>
        </is>
      </c>
      <c r="G88" s="9" t="inlineStr">
        <is>
          <t>Activity 45-60 min (hike, sport, long walk)</t>
        </is>
      </c>
      <c r="H88" s="9" t="inlineStr">
        <is>
          <t>RS analytics</t>
        </is>
      </c>
      <c r="I88" s="4" t="n"/>
      <c r="J88" s="4" t="n"/>
      <c r="K88" s="4" t="n"/>
      <c r="L88" s="4" t="n"/>
      <c r="M88" s="4" t="n"/>
      <c r="N88" s="15" t="n"/>
      <c r="O88" s="9">
        <f>SUM(I88:M88)+IF(WEEKDAY(B88,2)&lt;=5,N88,0)</f>
        <v/>
      </c>
      <c r="P88" s="9">
        <f>IF(WEEKDAY(B88,2)&lt;=5,6,5)</f>
        <v/>
      </c>
      <c r="Q88" s="9">
        <f>IF(COUNT(I88:N88)&gt;0,1,0)</f>
        <v/>
      </c>
      <c r="R88" s="9">
        <f>P88*Q88</f>
        <v/>
      </c>
      <c r="S88" s="14">
        <f>IF(Q88=1,O88/P88,"")</f>
        <v/>
      </c>
      <c r="T88" s="4" t="n"/>
      <c r="U88" s="4" t="n"/>
      <c r="V88" s="4" t="n"/>
      <c r="W88" s="4" t="n"/>
    </row>
    <row r="89">
      <c r="A89" s="16" t="n">
        <v>88</v>
      </c>
      <c r="B89" s="17" t="n">
        <v>46383</v>
      </c>
      <c r="C89" s="16" t="inlineStr">
        <is>
          <t>Sun</t>
        </is>
      </c>
      <c r="D89" s="9" t="n">
        <v>12</v>
      </c>
      <c r="E89" s="9" t="n">
        <v>1</v>
      </c>
      <c r="F89" s="9" t="inlineStr">
        <is>
          <t>Build 2 (holiday stress test)</t>
        </is>
      </c>
      <c r="G89" s="9" t="inlineStr">
        <is>
          <t>Mobility 20 min + weekly review</t>
        </is>
      </c>
      <c r="H89" s="9" t="inlineStr">
        <is>
          <t>RS analytics</t>
        </is>
      </c>
      <c r="I89" s="4" t="n"/>
      <c r="J89" s="4" t="n"/>
      <c r="K89" s="4" t="n"/>
      <c r="L89" s="4" t="n"/>
      <c r="M89" s="4" t="n"/>
      <c r="N89" s="15" t="n"/>
      <c r="O89" s="9">
        <f>SUM(I89:M89)+IF(WEEKDAY(B89,2)&lt;=5,N89,0)</f>
        <v/>
      </c>
      <c r="P89" s="9">
        <f>IF(WEEKDAY(B89,2)&lt;=5,6,5)</f>
        <v/>
      </c>
      <c r="Q89" s="9">
        <f>IF(COUNT(I89:N89)&gt;0,1,0)</f>
        <v/>
      </c>
      <c r="R89" s="9">
        <f>P89*Q89</f>
        <v/>
      </c>
      <c r="S89" s="14">
        <f>IF(Q89=1,O89/P89,"")</f>
        <v/>
      </c>
      <c r="T89" s="4" t="n"/>
      <c r="U89" s="4" t="n"/>
      <c r="V89" s="4" t="n"/>
      <c r="W89" s="4" t="n"/>
    </row>
    <row r="90">
      <c r="A90" s="9" t="n">
        <v>89</v>
      </c>
      <c r="B90" s="13" t="n">
        <v>46384</v>
      </c>
      <c r="C90" s="9" t="inlineStr">
        <is>
          <t>Mon</t>
        </is>
      </c>
      <c r="D90" s="9" t="n">
        <v>13</v>
      </c>
      <c r="E90" s="9" t="n">
        <v>1</v>
      </c>
      <c r="F90" s="9" t="inlineStr">
        <is>
          <t>Benchmarks + Cycle 1 review</t>
        </is>
      </c>
      <c r="G90" s="9" t="inlineStr">
        <is>
          <t>Benchmarks 1: back squat 5RM, bench press 5RM, push-ups to failure</t>
        </is>
      </c>
      <c r="H90" s="9" t="inlineStr">
        <is>
          <t>Capstone 1</t>
        </is>
      </c>
      <c r="I90" s="4" t="n"/>
      <c r="J90" s="4" t="n"/>
      <c r="K90" s="4" t="n"/>
      <c r="L90" s="4" t="n"/>
      <c r="M90" s="4" t="n"/>
      <c r="N90" s="4" t="n"/>
      <c r="O90" s="9">
        <f>SUM(I90:M90)+IF(WEEKDAY(B90,2)&lt;=5,N90,0)</f>
        <v/>
      </c>
      <c r="P90" s="9">
        <f>IF(WEEKDAY(B90,2)&lt;=5,6,5)</f>
        <v/>
      </c>
      <c r="Q90" s="9">
        <f>IF(COUNT(I90:N90)&gt;0,1,0)</f>
        <v/>
      </c>
      <c r="R90" s="9">
        <f>P90*Q90</f>
        <v/>
      </c>
      <c r="S90" s="14">
        <f>IF(Q90=1,O90/P90,"")</f>
        <v/>
      </c>
      <c r="T90" s="4" t="n"/>
      <c r="U90" s="4" t="n"/>
      <c r="V90" s="4" t="n"/>
      <c r="W90" s="4" t="n"/>
    </row>
    <row r="91">
      <c r="A91" s="9" t="n">
        <v>90</v>
      </c>
      <c r="B91" s="13" t="n">
        <v>46385</v>
      </c>
      <c r="C91" s="9" t="inlineStr">
        <is>
          <t>Tue</t>
        </is>
      </c>
      <c r="D91" s="9" t="n">
        <v>13</v>
      </c>
      <c r="E91" s="9" t="n">
        <v>1</v>
      </c>
      <c r="F91" s="9" t="inlineStr">
        <is>
          <t>Benchmarks + Cycle 1 review</t>
        </is>
      </c>
      <c r="G91" s="9" t="inlineStr">
        <is>
          <t>Zone 2 cardio 35-40 min</t>
        </is>
      </c>
      <c r="H91" s="9" t="inlineStr">
        <is>
          <t>Capstone 1</t>
        </is>
      </c>
      <c r="I91" s="4" t="n"/>
      <c r="J91" s="4" t="n"/>
      <c r="K91" s="4" t="n"/>
      <c r="L91" s="4" t="n"/>
      <c r="M91" s="4" t="n"/>
      <c r="N91" s="4" t="n"/>
      <c r="O91" s="9">
        <f>SUM(I91:M91)+IF(WEEKDAY(B91,2)&lt;=5,N91,0)</f>
        <v/>
      </c>
      <c r="P91" s="9">
        <f>IF(WEEKDAY(B91,2)&lt;=5,6,5)</f>
        <v/>
      </c>
      <c r="Q91" s="9">
        <f>IF(COUNT(I91:N91)&gt;0,1,0)</f>
        <v/>
      </c>
      <c r="R91" s="9">
        <f>P91*Q91</f>
        <v/>
      </c>
      <c r="S91" s="14">
        <f>IF(Q91=1,O91/P91,"")</f>
        <v/>
      </c>
      <c r="T91" s="4" t="n"/>
      <c r="U91" s="4" t="n"/>
      <c r="V91" s="4" t="n"/>
      <c r="W91" s="4" t="n"/>
    </row>
    <row r="92">
      <c r="A92" s="9" t="n">
        <v>91</v>
      </c>
      <c r="B92" s="13" t="n">
        <v>46386</v>
      </c>
      <c r="C92" s="9" t="inlineStr">
        <is>
          <t>Wed</t>
        </is>
      </c>
      <c r="D92" s="9" t="n">
        <v>13</v>
      </c>
      <c r="E92" s="9" t="n">
        <v>1</v>
      </c>
      <c r="F92" s="9" t="inlineStr">
        <is>
          <t>Benchmarks + Cycle 1 review</t>
        </is>
      </c>
      <c r="G92" s="9" t="inlineStr">
        <is>
          <t>Benchmarks 2: deadlift 5RM, strict chin-ups, dead hang, plank</t>
        </is>
      </c>
      <c r="H92" s="9" t="inlineStr">
        <is>
          <t>Capstone 1</t>
        </is>
      </c>
      <c r="I92" s="4" t="n"/>
      <c r="J92" s="4" t="n"/>
      <c r="K92" s="4" t="n"/>
      <c r="L92" s="4" t="n"/>
      <c r="M92" s="4" t="n"/>
      <c r="N92" s="4" t="n"/>
      <c r="O92" s="9">
        <f>SUM(I92:M92)+IF(WEEKDAY(B92,2)&lt;=5,N92,0)</f>
        <v/>
      </c>
      <c r="P92" s="9">
        <f>IF(WEEKDAY(B92,2)&lt;=5,6,5)</f>
        <v/>
      </c>
      <c r="Q92" s="9">
        <f>IF(COUNT(I92:N92)&gt;0,1,0)</f>
        <v/>
      </c>
      <c r="R92" s="9">
        <f>P92*Q92</f>
        <v/>
      </c>
      <c r="S92" s="14">
        <f>IF(Q92=1,O92/P92,"")</f>
        <v/>
      </c>
      <c r="T92" s="4" t="n"/>
      <c r="U92" s="4" t="n"/>
      <c r="V92" s="4" t="n"/>
      <c r="W92" s="4" t="n"/>
    </row>
    <row r="93">
      <c r="A93" s="9" t="n">
        <v>92</v>
      </c>
      <c r="B93" s="13" t="n">
        <v>46387</v>
      </c>
      <c r="C93" s="9" t="inlineStr">
        <is>
          <t>Thu</t>
        </is>
      </c>
      <c r="D93" s="9" t="n">
        <v>13</v>
      </c>
      <c r="E93" s="9" t="n">
        <v>1</v>
      </c>
      <c r="F93" s="9" t="inlineStr">
        <is>
          <t>Benchmarks + Cycle 1 review</t>
        </is>
      </c>
      <c r="G93" s="9" t="inlineStr">
        <is>
          <t>Zone 2 cardio 35-40 min</t>
        </is>
      </c>
      <c r="H93" s="9" t="inlineStr">
        <is>
          <t>Capstone 1</t>
        </is>
      </c>
      <c r="I93" s="4" t="n"/>
      <c r="J93" s="4" t="n"/>
      <c r="K93" s="4" t="n"/>
      <c r="L93" s="4" t="n"/>
      <c r="M93" s="4" t="n"/>
      <c r="N93" s="4" t="n"/>
      <c r="O93" s="9">
        <f>SUM(I93:M93)+IF(WEEKDAY(B93,2)&lt;=5,N93,0)</f>
        <v/>
      </c>
      <c r="P93" s="9">
        <f>IF(WEEKDAY(B93,2)&lt;=5,6,5)</f>
        <v/>
      </c>
      <c r="Q93" s="9">
        <f>IF(COUNT(I93:N93)&gt;0,1,0)</f>
        <v/>
      </c>
      <c r="R93" s="9">
        <f>P93*Q93</f>
        <v/>
      </c>
      <c r="S93" s="14">
        <f>IF(Q93=1,O93/P93,"")</f>
        <v/>
      </c>
      <c r="T93" s="4" t="n"/>
      <c r="U93" s="4" t="n"/>
      <c r="V93" s="4" t="n"/>
      <c r="W93" s="4" t="n"/>
    </row>
    <row r="94">
      <c r="A94" s="9" t="n">
        <v>93</v>
      </c>
      <c r="B94" s="13" t="n">
        <v>46388</v>
      </c>
      <c r="C94" s="9" t="inlineStr">
        <is>
          <t>Fri</t>
        </is>
      </c>
      <c r="D94" s="9" t="n">
        <v>13</v>
      </c>
      <c r="E94" s="9" t="n">
        <v>1</v>
      </c>
      <c r="F94" s="9" t="inlineStr">
        <is>
          <t>Benchmarks + Cycle 1 review</t>
        </is>
      </c>
      <c r="G94" s="9" t="inlineStr">
        <is>
          <t>Light full body + 12-min Cooper test</t>
        </is>
      </c>
      <c r="H94" s="9" t="inlineStr">
        <is>
          <t>Capstone 1</t>
        </is>
      </c>
      <c r="I94" s="4" t="n"/>
      <c r="J94" s="4" t="n"/>
      <c r="K94" s="4" t="n"/>
      <c r="L94" s="4" t="n"/>
      <c r="M94" s="4" t="n"/>
      <c r="N94" s="4" t="n"/>
      <c r="O94" s="9">
        <f>SUM(I94:M94)+IF(WEEKDAY(B94,2)&lt;=5,N94,0)</f>
        <v/>
      </c>
      <c r="P94" s="9">
        <f>IF(WEEKDAY(B94,2)&lt;=5,6,5)</f>
        <v/>
      </c>
      <c r="Q94" s="9">
        <f>IF(COUNT(I94:N94)&gt;0,1,0)</f>
        <v/>
      </c>
      <c r="R94" s="9">
        <f>P94*Q94</f>
        <v/>
      </c>
      <c r="S94" s="14">
        <f>IF(Q94=1,O94/P94,"")</f>
        <v/>
      </c>
      <c r="T94" s="4" t="n"/>
      <c r="U94" s="4" t="n"/>
      <c r="V94" s="4" t="n"/>
      <c r="W94" s="4" t="n"/>
    </row>
    <row r="95">
      <c r="A95" s="9" t="n">
        <v>94</v>
      </c>
      <c r="B95" s="13" t="n">
        <v>46389</v>
      </c>
      <c r="C95" s="9" t="inlineStr">
        <is>
          <t>Sat</t>
        </is>
      </c>
      <c r="D95" s="9" t="n">
        <v>13</v>
      </c>
      <c r="E95" s="9" t="n">
        <v>1</v>
      </c>
      <c r="F95" s="9" t="inlineStr">
        <is>
          <t>Benchmarks + Cycle 1 review</t>
        </is>
      </c>
      <c r="G95" s="9" t="inlineStr">
        <is>
          <t>Activity 45-60 min (hike, sport, long walk)</t>
        </is>
      </c>
      <c r="H95" s="9" t="inlineStr">
        <is>
          <t>Capstone 1</t>
        </is>
      </c>
      <c r="I95" s="4" t="n"/>
      <c r="J95" s="4" t="n"/>
      <c r="K95" s="4" t="n"/>
      <c r="L95" s="4" t="n"/>
      <c r="M95" s="4" t="n"/>
      <c r="N95" s="15" t="n"/>
      <c r="O95" s="9">
        <f>SUM(I95:M95)+IF(WEEKDAY(B95,2)&lt;=5,N95,0)</f>
        <v/>
      </c>
      <c r="P95" s="9">
        <f>IF(WEEKDAY(B95,2)&lt;=5,6,5)</f>
        <v/>
      </c>
      <c r="Q95" s="9">
        <f>IF(COUNT(I95:N95)&gt;0,1,0)</f>
        <v/>
      </c>
      <c r="R95" s="9">
        <f>P95*Q95</f>
        <v/>
      </c>
      <c r="S95" s="14">
        <f>IF(Q95=1,O95/P95,"")</f>
        <v/>
      </c>
      <c r="T95" s="4" t="n"/>
      <c r="U95" s="4" t="n"/>
      <c r="V95" s="4" t="n"/>
      <c r="W95" s="4" t="n"/>
    </row>
    <row r="96">
      <c r="A96" s="16" t="n">
        <v>95</v>
      </c>
      <c r="B96" s="17" t="n">
        <v>46390</v>
      </c>
      <c r="C96" s="16" t="inlineStr">
        <is>
          <t>Sun</t>
        </is>
      </c>
      <c r="D96" s="9" t="n">
        <v>13</v>
      </c>
      <c r="E96" s="9" t="n">
        <v>1</v>
      </c>
      <c r="F96" s="9" t="inlineStr">
        <is>
          <t>Benchmarks + Cycle 1 review</t>
        </is>
      </c>
      <c r="G96" s="9" t="inlineStr">
        <is>
          <t>Cycle 1 review + measurements + photos + rewrite rules</t>
        </is>
      </c>
      <c r="H96" s="9" t="inlineStr">
        <is>
          <t>Capstone 1</t>
        </is>
      </c>
      <c r="I96" s="4" t="n"/>
      <c r="J96" s="4" t="n"/>
      <c r="K96" s="4" t="n"/>
      <c r="L96" s="4" t="n"/>
      <c r="M96" s="4" t="n"/>
      <c r="N96" s="15" t="n"/>
      <c r="O96" s="9">
        <f>SUM(I96:M96)+IF(WEEKDAY(B96,2)&lt;=5,N96,0)</f>
        <v/>
      </c>
      <c r="P96" s="9">
        <f>IF(WEEKDAY(B96,2)&lt;=5,6,5)</f>
        <v/>
      </c>
      <c r="Q96" s="9">
        <f>IF(COUNT(I96:N96)&gt;0,1,0)</f>
        <v/>
      </c>
      <c r="R96" s="9">
        <f>P96*Q96</f>
        <v/>
      </c>
      <c r="S96" s="14">
        <f>IF(Q96=1,O96/P96,"")</f>
        <v/>
      </c>
      <c r="T96" s="4" t="n"/>
      <c r="U96" s="4" t="n"/>
      <c r="V96" s="4" t="n"/>
      <c r="W96" s="4" t="n"/>
    </row>
    <row r="97">
      <c r="A97" s="9" t="n">
        <v>96</v>
      </c>
      <c r="B97" s="13" t="n">
        <v>46391</v>
      </c>
      <c r="C97" s="9" t="inlineStr">
        <is>
          <t>Mon</t>
        </is>
      </c>
      <c r="D97" s="9" t="n">
        <v>14</v>
      </c>
      <c r="E97" s="9" t="n">
        <v>2</v>
      </c>
      <c r="F97" s="9" t="inlineStr">
        <is>
          <t>Cycle 2 block A</t>
        </is>
      </c>
      <c r="G97" s="9" t="inlineStr">
        <is>
          <t>Lower A</t>
        </is>
      </c>
      <c r="H97" s="9" t="inlineStr">
        <is>
          <t>ArcPy and automation</t>
        </is>
      </c>
      <c r="I97" s="4" t="n"/>
      <c r="J97" s="4" t="n"/>
      <c r="K97" s="4" t="n"/>
      <c r="L97" s="4" t="n"/>
      <c r="M97" s="4" t="n"/>
      <c r="N97" s="4" t="n"/>
      <c r="O97" s="9">
        <f>SUM(I97:M97)+IF(WEEKDAY(B97,2)&lt;=5,N97,0)</f>
        <v/>
      </c>
      <c r="P97" s="9">
        <f>IF(WEEKDAY(B97,2)&lt;=5,6,5)</f>
        <v/>
      </c>
      <c r="Q97" s="9">
        <f>IF(COUNT(I97:N97)&gt;0,1,0)</f>
        <v/>
      </c>
      <c r="R97" s="9">
        <f>P97*Q97</f>
        <v/>
      </c>
      <c r="S97" s="14">
        <f>IF(Q97=1,O97/P97,"")</f>
        <v/>
      </c>
      <c r="T97" s="4" t="n"/>
      <c r="U97" s="4" t="n"/>
      <c r="V97" s="4" t="n"/>
      <c r="W97" s="4" t="n"/>
    </row>
    <row r="98">
      <c r="A98" s="9" t="n">
        <v>97</v>
      </c>
      <c r="B98" s="13" t="n">
        <v>46392</v>
      </c>
      <c r="C98" s="9" t="inlineStr">
        <is>
          <t>Tue</t>
        </is>
      </c>
      <c r="D98" s="9" t="n">
        <v>14</v>
      </c>
      <c r="E98" s="9" t="n">
        <v>2</v>
      </c>
      <c r="F98" s="9" t="inlineStr">
        <is>
          <t>Cycle 2 block A</t>
        </is>
      </c>
      <c r="G98" s="9" t="inlineStr">
        <is>
          <t>Upper A</t>
        </is>
      </c>
      <c r="H98" s="9" t="inlineStr">
        <is>
          <t>ArcPy and automation</t>
        </is>
      </c>
      <c r="I98" s="4" t="n"/>
      <c r="J98" s="4" t="n"/>
      <c r="K98" s="4" t="n"/>
      <c r="L98" s="4" t="n"/>
      <c r="M98" s="4" t="n"/>
      <c r="N98" s="4" t="n"/>
      <c r="O98" s="9">
        <f>SUM(I98:M98)+IF(WEEKDAY(B98,2)&lt;=5,N98,0)</f>
        <v/>
      </c>
      <c r="P98" s="9">
        <f>IF(WEEKDAY(B98,2)&lt;=5,6,5)</f>
        <v/>
      </c>
      <c r="Q98" s="9">
        <f>IF(COUNT(I98:N98)&gt;0,1,0)</f>
        <v/>
      </c>
      <c r="R98" s="9">
        <f>P98*Q98</f>
        <v/>
      </c>
      <c r="S98" s="14">
        <f>IF(Q98=1,O98/P98,"")</f>
        <v/>
      </c>
      <c r="T98" s="4" t="n"/>
      <c r="U98" s="4" t="n"/>
      <c r="V98" s="4" t="n"/>
      <c r="W98" s="4" t="n"/>
    </row>
    <row r="99">
      <c r="A99" s="9" t="n">
        <v>98</v>
      </c>
      <c r="B99" s="13" t="n">
        <v>46393</v>
      </c>
      <c r="C99" s="9" t="inlineStr">
        <is>
          <t>Wed</t>
        </is>
      </c>
      <c r="D99" s="9" t="n">
        <v>14</v>
      </c>
      <c r="E99" s="9" t="n">
        <v>2</v>
      </c>
      <c r="F99" s="9" t="inlineStr">
        <is>
          <t>Cycle 2 block A</t>
        </is>
      </c>
      <c r="G99" s="9" t="inlineStr">
        <is>
          <t>Zone 2 cardio 40 min</t>
        </is>
      </c>
      <c r="H99" s="9" t="inlineStr">
        <is>
          <t>ArcPy and automation</t>
        </is>
      </c>
      <c r="I99" s="4" t="n"/>
      <c r="J99" s="4" t="n"/>
      <c r="K99" s="4" t="n"/>
      <c r="L99" s="4" t="n"/>
      <c r="M99" s="4" t="n"/>
      <c r="N99" s="4" t="n"/>
      <c r="O99" s="9">
        <f>SUM(I99:M99)+IF(WEEKDAY(B99,2)&lt;=5,N99,0)</f>
        <v/>
      </c>
      <c r="P99" s="9">
        <f>IF(WEEKDAY(B99,2)&lt;=5,6,5)</f>
        <v/>
      </c>
      <c r="Q99" s="9">
        <f>IF(COUNT(I99:N99)&gt;0,1,0)</f>
        <v/>
      </c>
      <c r="R99" s="9">
        <f>P99*Q99</f>
        <v/>
      </c>
      <c r="S99" s="14">
        <f>IF(Q99=1,O99/P99,"")</f>
        <v/>
      </c>
      <c r="T99" s="4" t="n"/>
      <c r="U99" s="4" t="n"/>
      <c r="V99" s="4" t="n"/>
      <c r="W99" s="4" t="n"/>
    </row>
    <row r="100">
      <c r="A100" s="9" t="n">
        <v>99</v>
      </c>
      <c r="B100" s="13" t="n">
        <v>46394</v>
      </c>
      <c r="C100" s="9" t="inlineStr">
        <is>
          <t>Thu</t>
        </is>
      </c>
      <c r="D100" s="9" t="n">
        <v>14</v>
      </c>
      <c r="E100" s="9" t="n">
        <v>2</v>
      </c>
      <c r="F100" s="9" t="inlineStr">
        <is>
          <t>Cycle 2 block A</t>
        </is>
      </c>
      <c r="G100" s="9" t="inlineStr">
        <is>
          <t>Lower B</t>
        </is>
      </c>
      <c r="H100" s="9" t="inlineStr">
        <is>
          <t>ArcPy and automation</t>
        </is>
      </c>
      <c r="I100" s="4" t="n"/>
      <c r="J100" s="4" t="n"/>
      <c r="K100" s="4" t="n"/>
      <c r="L100" s="4" t="n"/>
      <c r="M100" s="4" t="n"/>
      <c r="N100" s="4" t="n"/>
      <c r="O100" s="9">
        <f>SUM(I100:M100)+IF(WEEKDAY(B100,2)&lt;=5,N100,0)</f>
        <v/>
      </c>
      <c r="P100" s="9">
        <f>IF(WEEKDAY(B100,2)&lt;=5,6,5)</f>
        <v/>
      </c>
      <c r="Q100" s="9">
        <f>IF(COUNT(I100:N100)&gt;0,1,0)</f>
        <v/>
      </c>
      <c r="R100" s="9">
        <f>P100*Q100</f>
        <v/>
      </c>
      <c r="S100" s="14">
        <f>IF(Q100=1,O100/P100,"")</f>
        <v/>
      </c>
      <c r="T100" s="4" t="n"/>
      <c r="U100" s="4" t="n"/>
      <c r="V100" s="4" t="n"/>
      <c r="W100" s="4" t="n"/>
    </row>
    <row r="101">
      <c r="A101" s="9" t="n">
        <v>100</v>
      </c>
      <c r="B101" s="13" t="n">
        <v>46395</v>
      </c>
      <c r="C101" s="9" t="inlineStr">
        <is>
          <t>Fri</t>
        </is>
      </c>
      <c r="D101" s="9" t="n">
        <v>14</v>
      </c>
      <c r="E101" s="9" t="n">
        <v>2</v>
      </c>
      <c r="F101" s="9" t="inlineStr">
        <is>
          <t>Cycle 2 block A</t>
        </is>
      </c>
      <c r="G101" s="9" t="inlineStr">
        <is>
          <t>Upper B</t>
        </is>
      </c>
      <c r="H101" s="9" t="inlineStr">
        <is>
          <t>ArcPy and automation</t>
        </is>
      </c>
      <c r="I101" s="4" t="n"/>
      <c r="J101" s="4" t="n"/>
      <c r="K101" s="4" t="n"/>
      <c r="L101" s="4" t="n"/>
      <c r="M101" s="4" t="n"/>
      <c r="N101" s="4" t="n"/>
      <c r="O101" s="9">
        <f>SUM(I101:M101)+IF(WEEKDAY(B101,2)&lt;=5,N101,0)</f>
        <v/>
      </c>
      <c r="P101" s="9">
        <f>IF(WEEKDAY(B101,2)&lt;=5,6,5)</f>
        <v/>
      </c>
      <c r="Q101" s="9">
        <f>IF(COUNT(I101:N101)&gt;0,1,0)</f>
        <v/>
      </c>
      <c r="R101" s="9">
        <f>P101*Q101</f>
        <v/>
      </c>
      <c r="S101" s="14">
        <f>IF(Q101=1,O101/P101,"")</f>
        <v/>
      </c>
      <c r="T101" s="4" t="n"/>
      <c r="U101" s="4" t="n"/>
      <c r="V101" s="4" t="n"/>
      <c r="W101" s="4" t="n"/>
    </row>
    <row r="102">
      <c r="A102" s="9" t="n">
        <v>101</v>
      </c>
      <c r="B102" s="13" t="n">
        <v>46396</v>
      </c>
      <c r="C102" s="9" t="inlineStr">
        <is>
          <t>Sat</t>
        </is>
      </c>
      <c r="D102" s="9" t="n">
        <v>14</v>
      </c>
      <c r="E102" s="9" t="n">
        <v>2</v>
      </c>
      <c r="F102" s="9" t="inlineStr">
        <is>
          <t>Cycle 2 block A</t>
        </is>
      </c>
      <c r="G102" s="9" t="inlineStr">
        <is>
          <t>Intervals 8 x 1 min hard / 2 min easy, or sport 45-60 min</t>
        </is>
      </c>
      <c r="H102" s="9" t="inlineStr">
        <is>
          <t>ArcPy and automation</t>
        </is>
      </c>
      <c r="I102" s="4" t="n"/>
      <c r="J102" s="4" t="n"/>
      <c r="K102" s="4" t="n"/>
      <c r="L102" s="4" t="n"/>
      <c r="M102" s="4" t="n"/>
      <c r="N102" s="15" t="n"/>
      <c r="O102" s="9">
        <f>SUM(I102:M102)+IF(WEEKDAY(B102,2)&lt;=5,N102,0)</f>
        <v/>
      </c>
      <c r="P102" s="9">
        <f>IF(WEEKDAY(B102,2)&lt;=5,6,5)</f>
        <v/>
      </c>
      <c r="Q102" s="9">
        <f>IF(COUNT(I102:N102)&gt;0,1,0)</f>
        <v/>
      </c>
      <c r="R102" s="9">
        <f>P102*Q102</f>
        <v/>
      </c>
      <c r="S102" s="14">
        <f>IF(Q102=1,O102/P102,"")</f>
        <v/>
      </c>
      <c r="T102" s="4" t="n"/>
      <c r="U102" s="4" t="n"/>
      <c r="V102" s="4" t="n"/>
      <c r="W102" s="4" t="n"/>
    </row>
    <row r="103">
      <c r="A103" s="16" t="n">
        <v>102</v>
      </c>
      <c r="B103" s="17" t="n">
        <v>46397</v>
      </c>
      <c r="C103" s="16" t="inlineStr">
        <is>
          <t>Sun</t>
        </is>
      </c>
      <c r="D103" s="9" t="n">
        <v>14</v>
      </c>
      <c r="E103" s="9" t="n">
        <v>2</v>
      </c>
      <c r="F103" s="9" t="inlineStr">
        <is>
          <t>Cycle 2 block A</t>
        </is>
      </c>
      <c r="G103" s="9" t="inlineStr">
        <is>
          <t>Mobility 20 min + weekly review</t>
        </is>
      </c>
      <c r="H103" s="9" t="inlineStr">
        <is>
          <t>ArcPy and automation</t>
        </is>
      </c>
      <c r="I103" s="4" t="n"/>
      <c r="J103" s="4" t="n"/>
      <c r="K103" s="4" t="n"/>
      <c r="L103" s="4" t="n"/>
      <c r="M103" s="4" t="n"/>
      <c r="N103" s="15" t="n"/>
      <c r="O103" s="9">
        <f>SUM(I103:M103)+IF(WEEKDAY(B103,2)&lt;=5,N103,0)</f>
        <v/>
      </c>
      <c r="P103" s="9">
        <f>IF(WEEKDAY(B103,2)&lt;=5,6,5)</f>
        <v/>
      </c>
      <c r="Q103" s="9">
        <f>IF(COUNT(I103:N103)&gt;0,1,0)</f>
        <v/>
      </c>
      <c r="R103" s="9">
        <f>P103*Q103</f>
        <v/>
      </c>
      <c r="S103" s="14">
        <f>IF(Q103=1,O103/P103,"")</f>
        <v/>
      </c>
      <c r="T103" s="4" t="n"/>
      <c r="U103" s="4" t="n"/>
      <c r="V103" s="4" t="n"/>
      <c r="W103" s="4" t="n"/>
    </row>
    <row r="104">
      <c r="A104" s="9" t="n">
        <v>103</v>
      </c>
      <c r="B104" s="13" t="n">
        <v>46398</v>
      </c>
      <c r="C104" s="9" t="inlineStr">
        <is>
          <t>Mon</t>
        </is>
      </c>
      <c r="D104" s="9" t="n">
        <v>15</v>
      </c>
      <c r="E104" s="9" t="n">
        <v>2</v>
      </c>
      <c r="F104" s="9" t="inlineStr">
        <is>
          <t>Cycle 2 block A</t>
        </is>
      </c>
      <c r="G104" s="9" t="inlineStr">
        <is>
          <t>Lower A</t>
        </is>
      </c>
      <c r="H104" s="9" t="inlineStr">
        <is>
          <t>ArcPy and automation</t>
        </is>
      </c>
      <c r="I104" s="4" t="n"/>
      <c r="J104" s="4" t="n"/>
      <c r="K104" s="4" t="n"/>
      <c r="L104" s="4" t="n"/>
      <c r="M104" s="4" t="n"/>
      <c r="N104" s="4" t="n"/>
      <c r="O104" s="9">
        <f>SUM(I104:M104)+IF(WEEKDAY(B104,2)&lt;=5,N104,0)</f>
        <v/>
      </c>
      <c r="P104" s="9">
        <f>IF(WEEKDAY(B104,2)&lt;=5,6,5)</f>
        <v/>
      </c>
      <c r="Q104" s="9">
        <f>IF(COUNT(I104:N104)&gt;0,1,0)</f>
        <v/>
      </c>
      <c r="R104" s="9">
        <f>P104*Q104</f>
        <v/>
      </c>
      <c r="S104" s="14">
        <f>IF(Q104=1,O104/P104,"")</f>
        <v/>
      </c>
      <c r="T104" s="4" t="n"/>
      <c r="U104" s="4" t="n"/>
      <c r="V104" s="4" t="n"/>
      <c r="W104" s="4" t="n"/>
    </row>
    <row r="105">
      <c r="A105" s="9" t="n">
        <v>104</v>
      </c>
      <c r="B105" s="13" t="n">
        <v>46399</v>
      </c>
      <c r="C105" s="9" t="inlineStr">
        <is>
          <t>Tue</t>
        </is>
      </c>
      <c r="D105" s="9" t="n">
        <v>15</v>
      </c>
      <c r="E105" s="9" t="n">
        <v>2</v>
      </c>
      <c r="F105" s="9" t="inlineStr">
        <is>
          <t>Cycle 2 block A</t>
        </is>
      </c>
      <c r="G105" s="9" t="inlineStr">
        <is>
          <t>Upper A</t>
        </is>
      </c>
      <c r="H105" s="9" t="inlineStr">
        <is>
          <t>ArcPy and automation</t>
        </is>
      </c>
      <c r="I105" s="4" t="n"/>
      <c r="J105" s="4" t="n"/>
      <c r="K105" s="4" t="n"/>
      <c r="L105" s="4" t="n"/>
      <c r="M105" s="4" t="n"/>
      <c r="N105" s="4" t="n"/>
      <c r="O105" s="9">
        <f>SUM(I105:M105)+IF(WEEKDAY(B105,2)&lt;=5,N105,0)</f>
        <v/>
      </c>
      <c r="P105" s="9">
        <f>IF(WEEKDAY(B105,2)&lt;=5,6,5)</f>
        <v/>
      </c>
      <c r="Q105" s="9">
        <f>IF(COUNT(I105:N105)&gt;0,1,0)</f>
        <v/>
      </c>
      <c r="R105" s="9">
        <f>P105*Q105</f>
        <v/>
      </c>
      <c r="S105" s="14">
        <f>IF(Q105=1,O105/P105,"")</f>
        <v/>
      </c>
      <c r="T105" s="4" t="n"/>
      <c r="U105" s="4" t="n"/>
      <c r="V105" s="4" t="n"/>
      <c r="W105" s="4" t="n"/>
    </row>
    <row r="106">
      <c r="A106" s="9" t="n">
        <v>105</v>
      </c>
      <c r="B106" s="13" t="n">
        <v>46400</v>
      </c>
      <c r="C106" s="9" t="inlineStr">
        <is>
          <t>Wed</t>
        </is>
      </c>
      <c r="D106" s="9" t="n">
        <v>15</v>
      </c>
      <c r="E106" s="9" t="n">
        <v>2</v>
      </c>
      <c r="F106" s="9" t="inlineStr">
        <is>
          <t>Cycle 2 block A</t>
        </is>
      </c>
      <c r="G106" s="9" t="inlineStr">
        <is>
          <t>Zone 2 cardio 40 min</t>
        </is>
      </c>
      <c r="H106" s="9" t="inlineStr">
        <is>
          <t>ArcPy and automation</t>
        </is>
      </c>
      <c r="I106" s="4" t="n"/>
      <c r="J106" s="4" t="n"/>
      <c r="K106" s="4" t="n"/>
      <c r="L106" s="4" t="n"/>
      <c r="M106" s="4" t="n"/>
      <c r="N106" s="4" t="n"/>
      <c r="O106" s="9">
        <f>SUM(I106:M106)+IF(WEEKDAY(B106,2)&lt;=5,N106,0)</f>
        <v/>
      </c>
      <c r="P106" s="9">
        <f>IF(WEEKDAY(B106,2)&lt;=5,6,5)</f>
        <v/>
      </c>
      <c r="Q106" s="9">
        <f>IF(COUNT(I106:N106)&gt;0,1,0)</f>
        <v/>
      </c>
      <c r="R106" s="9">
        <f>P106*Q106</f>
        <v/>
      </c>
      <c r="S106" s="14">
        <f>IF(Q106=1,O106/P106,"")</f>
        <v/>
      </c>
      <c r="T106" s="4" t="n"/>
      <c r="U106" s="4" t="n"/>
      <c r="V106" s="4" t="n"/>
      <c r="W106" s="4" t="n"/>
    </row>
    <row r="107">
      <c r="A107" s="9" t="n">
        <v>106</v>
      </c>
      <c r="B107" s="13" t="n">
        <v>46401</v>
      </c>
      <c r="C107" s="9" t="inlineStr">
        <is>
          <t>Thu</t>
        </is>
      </c>
      <c r="D107" s="9" t="n">
        <v>15</v>
      </c>
      <c r="E107" s="9" t="n">
        <v>2</v>
      </c>
      <c r="F107" s="9" t="inlineStr">
        <is>
          <t>Cycle 2 block A</t>
        </is>
      </c>
      <c r="G107" s="9" t="inlineStr">
        <is>
          <t>Lower B</t>
        </is>
      </c>
      <c r="H107" s="9" t="inlineStr">
        <is>
          <t>ArcPy and automation</t>
        </is>
      </c>
      <c r="I107" s="4" t="n"/>
      <c r="J107" s="4" t="n"/>
      <c r="K107" s="4" t="n"/>
      <c r="L107" s="4" t="n"/>
      <c r="M107" s="4" t="n"/>
      <c r="N107" s="4" t="n"/>
      <c r="O107" s="9">
        <f>SUM(I107:M107)+IF(WEEKDAY(B107,2)&lt;=5,N107,0)</f>
        <v/>
      </c>
      <c r="P107" s="9">
        <f>IF(WEEKDAY(B107,2)&lt;=5,6,5)</f>
        <v/>
      </c>
      <c r="Q107" s="9">
        <f>IF(COUNT(I107:N107)&gt;0,1,0)</f>
        <v/>
      </c>
      <c r="R107" s="9">
        <f>P107*Q107</f>
        <v/>
      </c>
      <c r="S107" s="14">
        <f>IF(Q107=1,O107/P107,"")</f>
        <v/>
      </c>
      <c r="T107" s="4" t="n"/>
      <c r="U107" s="4" t="n"/>
      <c r="V107" s="4" t="n"/>
      <c r="W107" s="4" t="n"/>
    </row>
    <row r="108">
      <c r="A108" s="9" t="n">
        <v>107</v>
      </c>
      <c r="B108" s="13" t="n">
        <v>46402</v>
      </c>
      <c r="C108" s="9" t="inlineStr">
        <is>
          <t>Fri</t>
        </is>
      </c>
      <c r="D108" s="9" t="n">
        <v>15</v>
      </c>
      <c r="E108" s="9" t="n">
        <v>2</v>
      </c>
      <c r="F108" s="9" t="inlineStr">
        <is>
          <t>Cycle 2 block A</t>
        </is>
      </c>
      <c r="G108" s="9" t="inlineStr">
        <is>
          <t>Upper B</t>
        </is>
      </c>
      <c r="H108" s="9" t="inlineStr">
        <is>
          <t>ArcPy and automation</t>
        </is>
      </c>
      <c r="I108" s="4" t="n"/>
      <c r="J108" s="4" t="n"/>
      <c r="K108" s="4" t="n"/>
      <c r="L108" s="4" t="n"/>
      <c r="M108" s="4" t="n"/>
      <c r="N108" s="4" t="n"/>
      <c r="O108" s="9">
        <f>SUM(I108:M108)+IF(WEEKDAY(B108,2)&lt;=5,N108,0)</f>
        <v/>
      </c>
      <c r="P108" s="9">
        <f>IF(WEEKDAY(B108,2)&lt;=5,6,5)</f>
        <v/>
      </c>
      <c r="Q108" s="9">
        <f>IF(COUNT(I108:N108)&gt;0,1,0)</f>
        <v/>
      </c>
      <c r="R108" s="9">
        <f>P108*Q108</f>
        <v/>
      </c>
      <c r="S108" s="14">
        <f>IF(Q108=1,O108/P108,"")</f>
        <v/>
      </c>
      <c r="T108" s="4" t="n"/>
      <c r="U108" s="4" t="n"/>
      <c r="V108" s="4" t="n"/>
      <c r="W108" s="4" t="n"/>
    </row>
    <row r="109">
      <c r="A109" s="9" t="n">
        <v>108</v>
      </c>
      <c r="B109" s="13" t="n">
        <v>46403</v>
      </c>
      <c r="C109" s="9" t="inlineStr">
        <is>
          <t>Sat</t>
        </is>
      </c>
      <c r="D109" s="9" t="n">
        <v>15</v>
      </c>
      <c r="E109" s="9" t="n">
        <v>2</v>
      </c>
      <c r="F109" s="9" t="inlineStr">
        <is>
          <t>Cycle 2 block A</t>
        </is>
      </c>
      <c r="G109" s="9" t="inlineStr">
        <is>
          <t>Intervals 8 x 1 min hard / 2 min easy, or sport 45-60 min</t>
        </is>
      </c>
      <c r="H109" s="9" t="inlineStr">
        <is>
          <t>ArcPy and automation</t>
        </is>
      </c>
      <c r="I109" s="4" t="n"/>
      <c r="J109" s="4" t="n"/>
      <c r="K109" s="4" t="n"/>
      <c r="L109" s="4" t="n"/>
      <c r="M109" s="4" t="n"/>
      <c r="N109" s="15" t="n"/>
      <c r="O109" s="9">
        <f>SUM(I109:M109)+IF(WEEKDAY(B109,2)&lt;=5,N109,0)</f>
        <v/>
      </c>
      <c r="P109" s="9">
        <f>IF(WEEKDAY(B109,2)&lt;=5,6,5)</f>
        <v/>
      </c>
      <c r="Q109" s="9">
        <f>IF(COUNT(I109:N109)&gt;0,1,0)</f>
        <v/>
      </c>
      <c r="R109" s="9">
        <f>P109*Q109</f>
        <v/>
      </c>
      <c r="S109" s="14">
        <f>IF(Q109=1,O109/P109,"")</f>
        <v/>
      </c>
      <c r="T109" s="4" t="n"/>
      <c r="U109" s="4" t="n"/>
      <c r="V109" s="4" t="n"/>
      <c r="W109" s="4" t="n"/>
    </row>
    <row r="110">
      <c r="A110" s="16" t="n">
        <v>109</v>
      </c>
      <c r="B110" s="17" t="n">
        <v>46404</v>
      </c>
      <c r="C110" s="16" t="inlineStr">
        <is>
          <t>Sun</t>
        </is>
      </c>
      <c r="D110" s="9" t="n">
        <v>15</v>
      </c>
      <c r="E110" s="9" t="n">
        <v>2</v>
      </c>
      <c r="F110" s="9" t="inlineStr">
        <is>
          <t>Cycle 2 block A</t>
        </is>
      </c>
      <c r="G110" s="9" t="inlineStr">
        <is>
          <t>Mobility 20 min + weekly review</t>
        </is>
      </c>
      <c r="H110" s="9" t="inlineStr">
        <is>
          <t>ArcPy and automation</t>
        </is>
      </c>
      <c r="I110" s="4" t="n"/>
      <c r="J110" s="4" t="n"/>
      <c r="K110" s="4" t="n"/>
      <c r="L110" s="4" t="n"/>
      <c r="M110" s="4" t="n"/>
      <c r="N110" s="15" t="n"/>
      <c r="O110" s="9">
        <f>SUM(I110:M110)+IF(WEEKDAY(B110,2)&lt;=5,N110,0)</f>
        <v/>
      </c>
      <c r="P110" s="9">
        <f>IF(WEEKDAY(B110,2)&lt;=5,6,5)</f>
        <v/>
      </c>
      <c r="Q110" s="9">
        <f>IF(COUNT(I110:N110)&gt;0,1,0)</f>
        <v/>
      </c>
      <c r="R110" s="9">
        <f>P110*Q110</f>
        <v/>
      </c>
      <c r="S110" s="14">
        <f>IF(Q110=1,O110/P110,"")</f>
        <v/>
      </c>
      <c r="T110" s="4" t="n"/>
      <c r="U110" s="4" t="n"/>
      <c r="V110" s="4" t="n"/>
      <c r="W110" s="4" t="n"/>
    </row>
    <row r="111">
      <c r="A111" s="9" t="n">
        <v>110</v>
      </c>
      <c r="B111" s="13" t="n">
        <v>46405</v>
      </c>
      <c r="C111" s="9" t="inlineStr">
        <is>
          <t>Mon</t>
        </is>
      </c>
      <c r="D111" s="9" t="n">
        <v>16</v>
      </c>
      <c r="E111" s="9" t="n">
        <v>2</v>
      </c>
      <c r="F111" s="9" t="inlineStr">
        <is>
          <t>Cycle 2 block A</t>
        </is>
      </c>
      <c r="G111" s="9" t="inlineStr">
        <is>
          <t>Lower A</t>
        </is>
      </c>
      <c r="H111" s="9" t="inlineStr">
        <is>
          <t>ArcPy and automation</t>
        </is>
      </c>
      <c r="I111" s="4" t="n"/>
      <c r="J111" s="4" t="n"/>
      <c r="K111" s="4" t="n"/>
      <c r="L111" s="4" t="n"/>
      <c r="M111" s="4" t="n"/>
      <c r="N111" s="4" t="n"/>
      <c r="O111" s="9">
        <f>SUM(I111:M111)+IF(WEEKDAY(B111,2)&lt;=5,N111,0)</f>
        <v/>
      </c>
      <c r="P111" s="9">
        <f>IF(WEEKDAY(B111,2)&lt;=5,6,5)</f>
        <v/>
      </c>
      <c r="Q111" s="9">
        <f>IF(COUNT(I111:N111)&gt;0,1,0)</f>
        <v/>
      </c>
      <c r="R111" s="9">
        <f>P111*Q111</f>
        <v/>
      </c>
      <c r="S111" s="14">
        <f>IF(Q111=1,O111/P111,"")</f>
        <v/>
      </c>
      <c r="T111" s="4" t="n"/>
      <c r="U111" s="4" t="n"/>
      <c r="V111" s="4" t="n"/>
      <c r="W111" s="4" t="n"/>
    </row>
    <row r="112">
      <c r="A112" s="9" t="n">
        <v>111</v>
      </c>
      <c r="B112" s="13" t="n">
        <v>46406</v>
      </c>
      <c r="C112" s="9" t="inlineStr">
        <is>
          <t>Tue</t>
        </is>
      </c>
      <c r="D112" s="9" t="n">
        <v>16</v>
      </c>
      <c r="E112" s="9" t="n">
        <v>2</v>
      </c>
      <c r="F112" s="9" t="inlineStr">
        <is>
          <t>Cycle 2 block A</t>
        </is>
      </c>
      <c r="G112" s="9" t="inlineStr">
        <is>
          <t>Upper A</t>
        </is>
      </c>
      <c r="H112" s="9" t="inlineStr">
        <is>
          <t>ArcPy and automation</t>
        </is>
      </c>
      <c r="I112" s="4" t="n"/>
      <c r="J112" s="4" t="n"/>
      <c r="K112" s="4" t="n"/>
      <c r="L112" s="4" t="n"/>
      <c r="M112" s="4" t="n"/>
      <c r="N112" s="4" t="n"/>
      <c r="O112" s="9">
        <f>SUM(I112:M112)+IF(WEEKDAY(B112,2)&lt;=5,N112,0)</f>
        <v/>
      </c>
      <c r="P112" s="9">
        <f>IF(WEEKDAY(B112,2)&lt;=5,6,5)</f>
        <v/>
      </c>
      <c r="Q112" s="9">
        <f>IF(COUNT(I112:N112)&gt;0,1,0)</f>
        <v/>
      </c>
      <c r="R112" s="9">
        <f>P112*Q112</f>
        <v/>
      </c>
      <c r="S112" s="14">
        <f>IF(Q112=1,O112/P112,"")</f>
        <v/>
      </c>
      <c r="T112" s="4" t="n"/>
      <c r="U112" s="4" t="n"/>
      <c r="V112" s="4" t="n"/>
      <c r="W112" s="4" t="n"/>
    </row>
    <row r="113">
      <c r="A113" s="9" t="n">
        <v>112</v>
      </c>
      <c r="B113" s="13" t="n">
        <v>46407</v>
      </c>
      <c r="C113" s="9" t="inlineStr">
        <is>
          <t>Wed</t>
        </is>
      </c>
      <c r="D113" s="9" t="n">
        <v>16</v>
      </c>
      <c r="E113" s="9" t="n">
        <v>2</v>
      </c>
      <c r="F113" s="9" t="inlineStr">
        <is>
          <t>Cycle 2 block A</t>
        </is>
      </c>
      <c r="G113" s="9" t="inlineStr">
        <is>
          <t>Zone 2 cardio 40 min</t>
        </is>
      </c>
      <c r="H113" s="9" t="inlineStr">
        <is>
          <t>ArcPy and automation</t>
        </is>
      </c>
      <c r="I113" s="4" t="n"/>
      <c r="J113" s="4" t="n"/>
      <c r="K113" s="4" t="n"/>
      <c r="L113" s="4" t="n"/>
      <c r="M113" s="4" t="n"/>
      <c r="N113" s="4" t="n"/>
      <c r="O113" s="9">
        <f>SUM(I113:M113)+IF(WEEKDAY(B113,2)&lt;=5,N113,0)</f>
        <v/>
      </c>
      <c r="P113" s="9">
        <f>IF(WEEKDAY(B113,2)&lt;=5,6,5)</f>
        <v/>
      </c>
      <c r="Q113" s="9">
        <f>IF(COUNT(I113:N113)&gt;0,1,0)</f>
        <v/>
      </c>
      <c r="R113" s="9">
        <f>P113*Q113</f>
        <v/>
      </c>
      <c r="S113" s="14">
        <f>IF(Q113=1,O113/P113,"")</f>
        <v/>
      </c>
      <c r="T113" s="4" t="n"/>
      <c r="U113" s="4" t="n"/>
      <c r="V113" s="4" t="n"/>
      <c r="W113" s="4" t="n"/>
    </row>
    <row r="114">
      <c r="A114" s="9" t="n">
        <v>113</v>
      </c>
      <c r="B114" s="13" t="n">
        <v>46408</v>
      </c>
      <c r="C114" s="9" t="inlineStr">
        <is>
          <t>Thu</t>
        </is>
      </c>
      <c r="D114" s="9" t="n">
        <v>16</v>
      </c>
      <c r="E114" s="9" t="n">
        <v>2</v>
      </c>
      <c r="F114" s="9" t="inlineStr">
        <is>
          <t>Cycle 2 block A</t>
        </is>
      </c>
      <c r="G114" s="9" t="inlineStr">
        <is>
          <t>Lower B</t>
        </is>
      </c>
      <c r="H114" s="9" t="inlineStr">
        <is>
          <t>ArcPy and automation</t>
        </is>
      </c>
      <c r="I114" s="4" t="n"/>
      <c r="J114" s="4" t="n"/>
      <c r="K114" s="4" t="n"/>
      <c r="L114" s="4" t="n"/>
      <c r="M114" s="4" t="n"/>
      <c r="N114" s="4" t="n"/>
      <c r="O114" s="9">
        <f>SUM(I114:M114)+IF(WEEKDAY(B114,2)&lt;=5,N114,0)</f>
        <v/>
      </c>
      <c r="P114" s="9">
        <f>IF(WEEKDAY(B114,2)&lt;=5,6,5)</f>
        <v/>
      </c>
      <c r="Q114" s="9">
        <f>IF(COUNT(I114:N114)&gt;0,1,0)</f>
        <v/>
      </c>
      <c r="R114" s="9">
        <f>P114*Q114</f>
        <v/>
      </c>
      <c r="S114" s="14">
        <f>IF(Q114=1,O114/P114,"")</f>
        <v/>
      </c>
      <c r="T114" s="4" t="n"/>
      <c r="U114" s="4" t="n"/>
      <c r="V114" s="4" t="n"/>
      <c r="W114" s="4" t="n"/>
    </row>
    <row r="115">
      <c r="A115" s="9" t="n">
        <v>114</v>
      </c>
      <c r="B115" s="13" t="n">
        <v>46409</v>
      </c>
      <c r="C115" s="9" t="inlineStr">
        <is>
          <t>Fri</t>
        </is>
      </c>
      <c r="D115" s="9" t="n">
        <v>16</v>
      </c>
      <c r="E115" s="9" t="n">
        <v>2</v>
      </c>
      <c r="F115" s="9" t="inlineStr">
        <is>
          <t>Cycle 2 block A</t>
        </is>
      </c>
      <c r="G115" s="9" t="inlineStr">
        <is>
          <t>Upper B</t>
        </is>
      </c>
      <c r="H115" s="9" t="inlineStr">
        <is>
          <t>ArcPy and automation</t>
        </is>
      </c>
      <c r="I115" s="4" t="n"/>
      <c r="J115" s="4" t="n"/>
      <c r="K115" s="4" t="n"/>
      <c r="L115" s="4" t="n"/>
      <c r="M115" s="4" t="n"/>
      <c r="N115" s="4" t="n"/>
      <c r="O115" s="9">
        <f>SUM(I115:M115)+IF(WEEKDAY(B115,2)&lt;=5,N115,0)</f>
        <v/>
      </c>
      <c r="P115" s="9">
        <f>IF(WEEKDAY(B115,2)&lt;=5,6,5)</f>
        <v/>
      </c>
      <c r="Q115" s="9">
        <f>IF(COUNT(I115:N115)&gt;0,1,0)</f>
        <v/>
      </c>
      <c r="R115" s="9">
        <f>P115*Q115</f>
        <v/>
      </c>
      <c r="S115" s="14">
        <f>IF(Q115=1,O115/P115,"")</f>
        <v/>
      </c>
      <c r="T115" s="4" t="n"/>
      <c r="U115" s="4" t="n"/>
      <c r="V115" s="4" t="n"/>
      <c r="W115" s="4" t="n"/>
    </row>
    <row r="116">
      <c r="A116" s="9" t="n">
        <v>115</v>
      </c>
      <c r="B116" s="13" t="n">
        <v>46410</v>
      </c>
      <c r="C116" s="9" t="inlineStr">
        <is>
          <t>Sat</t>
        </is>
      </c>
      <c r="D116" s="9" t="n">
        <v>16</v>
      </c>
      <c r="E116" s="9" t="n">
        <v>2</v>
      </c>
      <c r="F116" s="9" t="inlineStr">
        <is>
          <t>Cycle 2 block A</t>
        </is>
      </c>
      <c r="G116" s="9" t="inlineStr">
        <is>
          <t>Intervals 8 x 1 min hard / 2 min easy, or sport 45-60 min</t>
        </is>
      </c>
      <c r="H116" s="9" t="inlineStr">
        <is>
          <t>ArcPy and automation</t>
        </is>
      </c>
      <c r="I116" s="4" t="n"/>
      <c r="J116" s="4" t="n"/>
      <c r="K116" s="4" t="n"/>
      <c r="L116" s="4" t="n"/>
      <c r="M116" s="4" t="n"/>
      <c r="N116" s="15" t="n"/>
      <c r="O116" s="9">
        <f>SUM(I116:M116)+IF(WEEKDAY(B116,2)&lt;=5,N116,0)</f>
        <v/>
      </c>
      <c r="P116" s="9">
        <f>IF(WEEKDAY(B116,2)&lt;=5,6,5)</f>
        <v/>
      </c>
      <c r="Q116" s="9">
        <f>IF(COUNT(I116:N116)&gt;0,1,0)</f>
        <v/>
      </c>
      <c r="R116" s="9">
        <f>P116*Q116</f>
        <v/>
      </c>
      <c r="S116" s="14">
        <f>IF(Q116=1,O116/P116,"")</f>
        <v/>
      </c>
      <c r="T116" s="4" t="n"/>
      <c r="U116" s="4" t="n"/>
      <c r="V116" s="4" t="n"/>
      <c r="W116" s="4" t="n"/>
    </row>
    <row r="117">
      <c r="A117" s="16" t="n">
        <v>116</v>
      </c>
      <c r="B117" s="17" t="n">
        <v>46411</v>
      </c>
      <c r="C117" s="16" t="inlineStr">
        <is>
          <t>Sun</t>
        </is>
      </c>
      <c r="D117" s="9" t="n">
        <v>16</v>
      </c>
      <c r="E117" s="9" t="n">
        <v>2</v>
      </c>
      <c r="F117" s="9" t="inlineStr">
        <is>
          <t>Cycle 2 block A</t>
        </is>
      </c>
      <c r="G117" s="9" t="inlineStr">
        <is>
          <t>Mobility 20 min + weekly review</t>
        </is>
      </c>
      <c r="H117" s="9" t="inlineStr">
        <is>
          <t>ArcPy and automation</t>
        </is>
      </c>
      <c r="I117" s="4" t="n"/>
      <c r="J117" s="4" t="n"/>
      <c r="K117" s="4" t="n"/>
      <c r="L117" s="4" t="n"/>
      <c r="M117" s="4" t="n"/>
      <c r="N117" s="15" t="n"/>
      <c r="O117" s="9">
        <f>SUM(I117:M117)+IF(WEEKDAY(B117,2)&lt;=5,N117,0)</f>
        <v/>
      </c>
      <c r="P117" s="9">
        <f>IF(WEEKDAY(B117,2)&lt;=5,6,5)</f>
        <v/>
      </c>
      <c r="Q117" s="9">
        <f>IF(COUNT(I117:N117)&gt;0,1,0)</f>
        <v/>
      </c>
      <c r="R117" s="9">
        <f>P117*Q117</f>
        <v/>
      </c>
      <c r="S117" s="14">
        <f>IF(Q117=1,O117/P117,"")</f>
        <v/>
      </c>
      <c r="T117" s="4" t="n"/>
      <c r="U117" s="4" t="n"/>
      <c r="V117" s="4" t="n"/>
      <c r="W117" s="4" t="n"/>
    </row>
    <row r="118">
      <c r="A118" s="9" t="n">
        <v>117</v>
      </c>
      <c r="B118" s="13" t="n">
        <v>46412</v>
      </c>
      <c r="C118" s="9" t="inlineStr">
        <is>
          <t>Mon</t>
        </is>
      </c>
      <c r="D118" s="9" t="n">
        <v>17</v>
      </c>
      <c r="E118" s="9" t="n">
        <v>2</v>
      </c>
      <c r="F118" s="9" t="inlineStr">
        <is>
          <t>Cycle 2 block A</t>
        </is>
      </c>
      <c r="G118" s="9" t="inlineStr">
        <is>
          <t>Lower A</t>
        </is>
      </c>
      <c r="H118" s="9" t="inlineStr">
        <is>
          <t>PostGIS and spatial SQL</t>
        </is>
      </c>
      <c r="I118" s="4" t="n"/>
      <c r="J118" s="4" t="n"/>
      <c r="K118" s="4" t="n"/>
      <c r="L118" s="4" t="n"/>
      <c r="M118" s="4" t="n"/>
      <c r="N118" s="4" t="n"/>
      <c r="O118" s="9">
        <f>SUM(I118:M118)+IF(WEEKDAY(B118,2)&lt;=5,N118,0)</f>
        <v/>
      </c>
      <c r="P118" s="9">
        <f>IF(WEEKDAY(B118,2)&lt;=5,6,5)</f>
        <v/>
      </c>
      <c r="Q118" s="9">
        <f>IF(COUNT(I118:N118)&gt;0,1,0)</f>
        <v/>
      </c>
      <c r="R118" s="9">
        <f>P118*Q118</f>
        <v/>
      </c>
      <c r="S118" s="14">
        <f>IF(Q118=1,O118/P118,"")</f>
        <v/>
      </c>
      <c r="T118" s="4" t="n"/>
      <c r="U118" s="4" t="n"/>
      <c r="V118" s="4" t="n"/>
      <c r="W118" s="4" t="n"/>
    </row>
    <row r="119">
      <c r="A119" s="9" t="n">
        <v>118</v>
      </c>
      <c r="B119" s="13" t="n">
        <v>46413</v>
      </c>
      <c r="C119" s="9" t="inlineStr">
        <is>
          <t>Tue</t>
        </is>
      </c>
      <c r="D119" s="9" t="n">
        <v>17</v>
      </c>
      <c r="E119" s="9" t="n">
        <v>2</v>
      </c>
      <c r="F119" s="9" t="inlineStr">
        <is>
          <t>Cycle 2 block A</t>
        </is>
      </c>
      <c r="G119" s="9" t="inlineStr">
        <is>
          <t>Upper A</t>
        </is>
      </c>
      <c r="H119" s="9" t="inlineStr">
        <is>
          <t>PostGIS and spatial SQL</t>
        </is>
      </c>
      <c r="I119" s="4" t="n"/>
      <c r="J119" s="4" t="n"/>
      <c r="K119" s="4" t="n"/>
      <c r="L119" s="4" t="n"/>
      <c r="M119" s="4" t="n"/>
      <c r="N119" s="4" t="n"/>
      <c r="O119" s="9">
        <f>SUM(I119:M119)+IF(WEEKDAY(B119,2)&lt;=5,N119,0)</f>
        <v/>
      </c>
      <c r="P119" s="9">
        <f>IF(WEEKDAY(B119,2)&lt;=5,6,5)</f>
        <v/>
      </c>
      <c r="Q119" s="9">
        <f>IF(COUNT(I119:N119)&gt;0,1,0)</f>
        <v/>
      </c>
      <c r="R119" s="9">
        <f>P119*Q119</f>
        <v/>
      </c>
      <c r="S119" s="14">
        <f>IF(Q119=1,O119/P119,"")</f>
        <v/>
      </c>
      <c r="T119" s="4" t="n"/>
      <c r="U119" s="4" t="n"/>
      <c r="V119" s="4" t="n"/>
      <c r="W119" s="4" t="n"/>
    </row>
    <row r="120">
      <c r="A120" s="9" t="n">
        <v>119</v>
      </c>
      <c r="B120" s="13" t="n">
        <v>46414</v>
      </c>
      <c r="C120" s="9" t="inlineStr">
        <is>
          <t>Wed</t>
        </is>
      </c>
      <c r="D120" s="9" t="n">
        <v>17</v>
      </c>
      <c r="E120" s="9" t="n">
        <v>2</v>
      </c>
      <c r="F120" s="9" t="inlineStr">
        <is>
          <t>Cycle 2 block A</t>
        </is>
      </c>
      <c r="G120" s="9" t="inlineStr">
        <is>
          <t>Zone 2 cardio 40 min</t>
        </is>
      </c>
      <c r="H120" s="9" t="inlineStr">
        <is>
          <t>PostGIS and spatial SQL</t>
        </is>
      </c>
      <c r="I120" s="4" t="n"/>
      <c r="J120" s="4" t="n"/>
      <c r="K120" s="4" t="n"/>
      <c r="L120" s="4" t="n"/>
      <c r="M120" s="4" t="n"/>
      <c r="N120" s="4" t="n"/>
      <c r="O120" s="9">
        <f>SUM(I120:M120)+IF(WEEKDAY(B120,2)&lt;=5,N120,0)</f>
        <v/>
      </c>
      <c r="P120" s="9">
        <f>IF(WEEKDAY(B120,2)&lt;=5,6,5)</f>
        <v/>
      </c>
      <c r="Q120" s="9">
        <f>IF(COUNT(I120:N120)&gt;0,1,0)</f>
        <v/>
      </c>
      <c r="R120" s="9">
        <f>P120*Q120</f>
        <v/>
      </c>
      <c r="S120" s="14">
        <f>IF(Q120=1,O120/P120,"")</f>
        <v/>
      </c>
      <c r="T120" s="4" t="n"/>
      <c r="U120" s="4" t="n"/>
      <c r="V120" s="4" t="n"/>
      <c r="W120" s="4" t="n"/>
    </row>
    <row r="121">
      <c r="A121" s="9" t="n">
        <v>120</v>
      </c>
      <c r="B121" s="13" t="n">
        <v>46415</v>
      </c>
      <c r="C121" s="9" t="inlineStr">
        <is>
          <t>Thu</t>
        </is>
      </c>
      <c r="D121" s="9" t="n">
        <v>17</v>
      </c>
      <c r="E121" s="9" t="n">
        <v>2</v>
      </c>
      <c r="F121" s="9" t="inlineStr">
        <is>
          <t>Cycle 2 block A</t>
        </is>
      </c>
      <c r="G121" s="9" t="inlineStr">
        <is>
          <t>Lower B</t>
        </is>
      </c>
      <c r="H121" s="9" t="inlineStr">
        <is>
          <t>PostGIS and spatial SQL</t>
        </is>
      </c>
      <c r="I121" s="4" t="n"/>
      <c r="J121" s="4" t="n"/>
      <c r="K121" s="4" t="n"/>
      <c r="L121" s="4" t="n"/>
      <c r="M121" s="4" t="n"/>
      <c r="N121" s="4" t="n"/>
      <c r="O121" s="9">
        <f>SUM(I121:M121)+IF(WEEKDAY(B121,2)&lt;=5,N121,0)</f>
        <v/>
      </c>
      <c r="P121" s="9">
        <f>IF(WEEKDAY(B121,2)&lt;=5,6,5)</f>
        <v/>
      </c>
      <c r="Q121" s="9">
        <f>IF(COUNT(I121:N121)&gt;0,1,0)</f>
        <v/>
      </c>
      <c r="R121" s="9">
        <f>P121*Q121</f>
        <v/>
      </c>
      <c r="S121" s="14">
        <f>IF(Q121=1,O121/P121,"")</f>
        <v/>
      </c>
      <c r="T121" s="4" t="n"/>
      <c r="U121" s="4" t="n"/>
      <c r="V121" s="4" t="n"/>
      <c r="W121" s="4" t="n"/>
    </row>
    <row r="122">
      <c r="A122" s="9" t="n">
        <v>121</v>
      </c>
      <c r="B122" s="13" t="n">
        <v>46416</v>
      </c>
      <c r="C122" s="9" t="inlineStr">
        <is>
          <t>Fri</t>
        </is>
      </c>
      <c r="D122" s="9" t="n">
        <v>17</v>
      </c>
      <c r="E122" s="9" t="n">
        <v>2</v>
      </c>
      <c r="F122" s="9" t="inlineStr">
        <is>
          <t>Cycle 2 block A</t>
        </is>
      </c>
      <c r="G122" s="9" t="inlineStr">
        <is>
          <t>Upper B</t>
        </is>
      </c>
      <c r="H122" s="9" t="inlineStr">
        <is>
          <t>PostGIS and spatial SQL</t>
        </is>
      </c>
      <c r="I122" s="4" t="n"/>
      <c r="J122" s="4" t="n"/>
      <c r="K122" s="4" t="n"/>
      <c r="L122" s="4" t="n"/>
      <c r="M122" s="4" t="n"/>
      <c r="N122" s="4" t="n"/>
      <c r="O122" s="9">
        <f>SUM(I122:M122)+IF(WEEKDAY(B122,2)&lt;=5,N122,0)</f>
        <v/>
      </c>
      <c r="P122" s="9">
        <f>IF(WEEKDAY(B122,2)&lt;=5,6,5)</f>
        <v/>
      </c>
      <c r="Q122" s="9">
        <f>IF(COUNT(I122:N122)&gt;0,1,0)</f>
        <v/>
      </c>
      <c r="R122" s="9">
        <f>P122*Q122</f>
        <v/>
      </c>
      <c r="S122" s="14">
        <f>IF(Q122=1,O122/P122,"")</f>
        <v/>
      </c>
      <c r="T122" s="4" t="n"/>
      <c r="U122" s="4" t="n"/>
      <c r="V122" s="4" t="n"/>
      <c r="W122" s="4" t="n"/>
    </row>
    <row r="123">
      <c r="A123" s="9" t="n">
        <v>122</v>
      </c>
      <c r="B123" s="13" t="n">
        <v>46417</v>
      </c>
      <c r="C123" s="9" t="inlineStr">
        <is>
          <t>Sat</t>
        </is>
      </c>
      <c r="D123" s="9" t="n">
        <v>17</v>
      </c>
      <c r="E123" s="9" t="n">
        <v>2</v>
      </c>
      <c r="F123" s="9" t="inlineStr">
        <is>
          <t>Cycle 2 block A</t>
        </is>
      </c>
      <c r="G123" s="9" t="inlineStr">
        <is>
          <t>Intervals 8 x 1 min hard / 2 min easy, or sport 45-60 min</t>
        </is>
      </c>
      <c r="H123" s="9" t="inlineStr">
        <is>
          <t>PostGIS and spatial SQL</t>
        </is>
      </c>
      <c r="I123" s="4" t="n"/>
      <c r="J123" s="4" t="n"/>
      <c r="K123" s="4" t="n"/>
      <c r="L123" s="4" t="n"/>
      <c r="M123" s="4" t="n"/>
      <c r="N123" s="15" t="n"/>
      <c r="O123" s="9">
        <f>SUM(I123:M123)+IF(WEEKDAY(B123,2)&lt;=5,N123,0)</f>
        <v/>
      </c>
      <c r="P123" s="9">
        <f>IF(WEEKDAY(B123,2)&lt;=5,6,5)</f>
        <v/>
      </c>
      <c r="Q123" s="9">
        <f>IF(COUNT(I123:N123)&gt;0,1,0)</f>
        <v/>
      </c>
      <c r="R123" s="9">
        <f>P123*Q123</f>
        <v/>
      </c>
      <c r="S123" s="14">
        <f>IF(Q123=1,O123/P123,"")</f>
        <v/>
      </c>
      <c r="T123" s="4" t="n"/>
      <c r="U123" s="4" t="n"/>
      <c r="V123" s="4" t="n"/>
      <c r="W123" s="4" t="n"/>
    </row>
    <row r="124">
      <c r="A124" s="16" t="n">
        <v>123</v>
      </c>
      <c r="B124" s="17" t="n">
        <v>46418</v>
      </c>
      <c r="C124" s="16" t="inlineStr">
        <is>
          <t>Sun</t>
        </is>
      </c>
      <c r="D124" s="9" t="n">
        <v>17</v>
      </c>
      <c r="E124" s="9" t="n">
        <v>2</v>
      </c>
      <c r="F124" s="9" t="inlineStr">
        <is>
          <t>Cycle 2 block A</t>
        </is>
      </c>
      <c r="G124" s="9" t="inlineStr">
        <is>
          <t>Mobility 20 min + weekly review</t>
        </is>
      </c>
      <c r="H124" s="9" t="inlineStr">
        <is>
          <t>PostGIS and spatial SQL</t>
        </is>
      </c>
      <c r="I124" s="4" t="n"/>
      <c r="J124" s="4" t="n"/>
      <c r="K124" s="4" t="n"/>
      <c r="L124" s="4" t="n"/>
      <c r="M124" s="4" t="n"/>
      <c r="N124" s="15" t="n"/>
      <c r="O124" s="9">
        <f>SUM(I124:M124)+IF(WEEKDAY(B124,2)&lt;=5,N124,0)</f>
        <v/>
      </c>
      <c r="P124" s="9">
        <f>IF(WEEKDAY(B124,2)&lt;=5,6,5)</f>
        <v/>
      </c>
      <c r="Q124" s="9">
        <f>IF(COUNT(I124:N124)&gt;0,1,0)</f>
        <v/>
      </c>
      <c r="R124" s="9">
        <f>P124*Q124</f>
        <v/>
      </c>
      <c r="S124" s="14">
        <f>IF(Q124=1,O124/P124,"")</f>
        <v/>
      </c>
      <c r="T124" s="4" t="n"/>
      <c r="U124" s="4" t="n"/>
      <c r="V124" s="4" t="n"/>
      <c r="W124" s="4" t="n"/>
    </row>
    <row r="125">
      <c r="A125" s="9" t="n">
        <v>124</v>
      </c>
      <c r="B125" s="13" t="n">
        <v>46419</v>
      </c>
      <c r="C125" s="9" t="inlineStr">
        <is>
          <t>Mon</t>
        </is>
      </c>
      <c r="D125" s="9" t="n">
        <v>18</v>
      </c>
      <c r="E125" s="9" t="n">
        <v>2</v>
      </c>
      <c r="F125" s="9" t="inlineStr">
        <is>
          <t>Cycle 2 block B</t>
        </is>
      </c>
      <c r="G125" s="9" t="inlineStr">
        <is>
          <t>Lower A</t>
        </is>
      </c>
      <c r="H125" s="9" t="inlineStr">
        <is>
          <t>PostGIS and spatial SQL</t>
        </is>
      </c>
      <c r="I125" s="4" t="n"/>
      <c r="J125" s="4" t="n"/>
      <c r="K125" s="4" t="n"/>
      <c r="L125" s="4" t="n"/>
      <c r="M125" s="4" t="n"/>
      <c r="N125" s="4" t="n"/>
      <c r="O125" s="9">
        <f>SUM(I125:M125)+IF(WEEKDAY(B125,2)&lt;=5,N125,0)</f>
        <v/>
      </c>
      <c r="P125" s="9">
        <f>IF(WEEKDAY(B125,2)&lt;=5,6,5)</f>
        <v/>
      </c>
      <c r="Q125" s="9">
        <f>IF(COUNT(I125:N125)&gt;0,1,0)</f>
        <v/>
      </c>
      <c r="R125" s="9">
        <f>P125*Q125</f>
        <v/>
      </c>
      <c r="S125" s="14">
        <f>IF(Q125=1,O125/P125,"")</f>
        <v/>
      </c>
      <c r="T125" s="4" t="n"/>
      <c r="U125" s="4" t="n"/>
      <c r="V125" s="4" t="n"/>
      <c r="W125" s="4" t="n"/>
    </row>
    <row r="126">
      <c r="A126" s="9" t="n">
        <v>125</v>
      </c>
      <c r="B126" s="13" t="n">
        <v>46420</v>
      </c>
      <c r="C126" s="9" t="inlineStr">
        <is>
          <t>Tue</t>
        </is>
      </c>
      <c r="D126" s="9" t="n">
        <v>18</v>
      </c>
      <c r="E126" s="9" t="n">
        <v>2</v>
      </c>
      <c r="F126" s="9" t="inlineStr">
        <is>
          <t>Cycle 2 block B</t>
        </is>
      </c>
      <c r="G126" s="9" t="inlineStr">
        <is>
          <t>Upper A</t>
        </is>
      </c>
      <c r="H126" s="9" t="inlineStr">
        <is>
          <t>PostGIS and spatial SQL</t>
        </is>
      </c>
      <c r="I126" s="4" t="n"/>
      <c r="J126" s="4" t="n"/>
      <c r="K126" s="4" t="n"/>
      <c r="L126" s="4" t="n"/>
      <c r="M126" s="4" t="n"/>
      <c r="N126" s="4" t="n"/>
      <c r="O126" s="9">
        <f>SUM(I126:M126)+IF(WEEKDAY(B126,2)&lt;=5,N126,0)</f>
        <v/>
      </c>
      <c r="P126" s="9">
        <f>IF(WEEKDAY(B126,2)&lt;=5,6,5)</f>
        <v/>
      </c>
      <c r="Q126" s="9">
        <f>IF(COUNT(I126:N126)&gt;0,1,0)</f>
        <v/>
      </c>
      <c r="R126" s="9">
        <f>P126*Q126</f>
        <v/>
      </c>
      <c r="S126" s="14">
        <f>IF(Q126=1,O126/P126,"")</f>
        <v/>
      </c>
      <c r="T126" s="4" t="n"/>
      <c r="U126" s="4" t="n"/>
      <c r="V126" s="4" t="n"/>
      <c r="W126" s="4" t="n"/>
    </row>
    <row r="127">
      <c r="A127" s="9" t="n">
        <v>126</v>
      </c>
      <c r="B127" s="13" t="n">
        <v>46421</v>
      </c>
      <c r="C127" s="9" t="inlineStr">
        <is>
          <t>Wed</t>
        </is>
      </c>
      <c r="D127" s="9" t="n">
        <v>18</v>
      </c>
      <c r="E127" s="9" t="n">
        <v>2</v>
      </c>
      <c r="F127" s="9" t="inlineStr">
        <is>
          <t>Cycle 2 block B</t>
        </is>
      </c>
      <c r="G127" s="9" t="inlineStr">
        <is>
          <t>Zone 2 cardio 40 min</t>
        </is>
      </c>
      <c r="H127" s="9" t="inlineStr">
        <is>
          <t>PostGIS and spatial SQL</t>
        </is>
      </c>
      <c r="I127" s="4" t="n"/>
      <c r="J127" s="4" t="n"/>
      <c r="K127" s="4" t="n"/>
      <c r="L127" s="4" t="n"/>
      <c r="M127" s="4" t="n"/>
      <c r="N127" s="4" t="n"/>
      <c r="O127" s="9">
        <f>SUM(I127:M127)+IF(WEEKDAY(B127,2)&lt;=5,N127,0)</f>
        <v/>
      </c>
      <c r="P127" s="9">
        <f>IF(WEEKDAY(B127,2)&lt;=5,6,5)</f>
        <v/>
      </c>
      <c r="Q127" s="9">
        <f>IF(COUNT(I127:N127)&gt;0,1,0)</f>
        <v/>
      </c>
      <c r="R127" s="9">
        <f>P127*Q127</f>
        <v/>
      </c>
      <c r="S127" s="14">
        <f>IF(Q127=1,O127/P127,"")</f>
        <v/>
      </c>
      <c r="T127" s="4" t="n"/>
      <c r="U127" s="4" t="n"/>
      <c r="V127" s="4" t="n"/>
      <c r="W127" s="4" t="n"/>
    </row>
    <row r="128">
      <c r="A128" s="9" t="n">
        <v>127</v>
      </c>
      <c r="B128" s="13" t="n">
        <v>46422</v>
      </c>
      <c r="C128" s="9" t="inlineStr">
        <is>
          <t>Thu</t>
        </is>
      </c>
      <c r="D128" s="9" t="n">
        <v>18</v>
      </c>
      <c r="E128" s="9" t="n">
        <v>2</v>
      </c>
      <c r="F128" s="9" t="inlineStr">
        <is>
          <t>Cycle 2 block B</t>
        </is>
      </c>
      <c r="G128" s="9" t="inlineStr">
        <is>
          <t>Lower B</t>
        </is>
      </c>
      <c r="H128" s="9" t="inlineStr">
        <is>
          <t>PostGIS and spatial SQL</t>
        </is>
      </c>
      <c r="I128" s="4" t="n"/>
      <c r="J128" s="4" t="n"/>
      <c r="K128" s="4" t="n"/>
      <c r="L128" s="4" t="n"/>
      <c r="M128" s="4" t="n"/>
      <c r="N128" s="4" t="n"/>
      <c r="O128" s="9">
        <f>SUM(I128:M128)+IF(WEEKDAY(B128,2)&lt;=5,N128,0)</f>
        <v/>
      </c>
      <c r="P128" s="9">
        <f>IF(WEEKDAY(B128,2)&lt;=5,6,5)</f>
        <v/>
      </c>
      <c r="Q128" s="9">
        <f>IF(COUNT(I128:N128)&gt;0,1,0)</f>
        <v/>
      </c>
      <c r="R128" s="9">
        <f>P128*Q128</f>
        <v/>
      </c>
      <c r="S128" s="14">
        <f>IF(Q128=1,O128/P128,"")</f>
        <v/>
      </c>
      <c r="T128" s="4" t="n"/>
      <c r="U128" s="4" t="n"/>
      <c r="V128" s="4" t="n"/>
      <c r="W128" s="4" t="n"/>
    </row>
    <row r="129">
      <c r="A129" s="9" t="n">
        <v>128</v>
      </c>
      <c r="B129" s="13" t="n">
        <v>46423</v>
      </c>
      <c r="C129" s="9" t="inlineStr">
        <is>
          <t>Fri</t>
        </is>
      </c>
      <c r="D129" s="9" t="n">
        <v>18</v>
      </c>
      <c r="E129" s="9" t="n">
        <v>2</v>
      </c>
      <c r="F129" s="9" t="inlineStr">
        <is>
          <t>Cycle 2 block B</t>
        </is>
      </c>
      <c r="G129" s="9" t="inlineStr">
        <is>
          <t>Upper B</t>
        </is>
      </c>
      <c r="H129" s="9" t="inlineStr">
        <is>
          <t>PostGIS and spatial SQL</t>
        </is>
      </c>
      <c r="I129" s="4" t="n"/>
      <c r="J129" s="4" t="n"/>
      <c r="K129" s="4" t="n"/>
      <c r="L129" s="4" t="n"/>
      <c r="M129" s="4" t="n"/>
      <c r="N129" s="4" t="n"/>
      <c r="O129" s="9">
        <f>SUM(I129:M129)+IF(WEEKDAY(B129,2)&lt;=5,N129,0)</f>
        <v/>
      </c>
      <c r="P129" s="9">
        <f>IF(WEEKDAY(B129,2)&lt;=5,6,5)</f>
        <v/>
      </c>
      <c r="Q129" s="9">
        <f>IF(COUNT(I129:N129)&gt;0,1,0)</f>
        <v/>
      </c>
      <c r="R129" s="9">
        <f>P129*Q129</f>
        <v/>
      </c>
      <c r="S129" s="14">
        <f>IF(Q129=1,O129/P129,"")</f>
        <v/>
      </c>
      <c r="T129" s="4" t="n"/>
      <c r="U129" s="4" t="n"/>
      <c r="V129" s="4" t="n"/>
      <c r="W129" s="4" t="n"/>
    </row>
    <row r="130">
      <c r="A130" s="9" t="n">
        <v>129</v>
      </c>
      <c r="B130" s="13" t="n">
        <v>46424</v>
      </c>
      <c r="C130" s="9" t="inlineStr">
        <is>
          <t>Sat</t>
        </is>
      </c>
      <c r="D130" s="9" t="n">
        <v>18</v>
      </c>
      <c r="E130" s="9" t="n">
        <v>2</v>
      </c>
      <c r="F130" s="9" t="inlineStr">
        <is>
          <t>Cycle 2 block B</t>
        </is>
      </c>
      <c r="G130" s="9" t="inlineStr">
        <is>
          <t>Intervals 8 x 1 min hard / 2 min easy, or sport 45-60 min</t>
        </is>
      </c>
      <c r="H130" s="9" t="inlineStr">
        <is>
          <t>PostGIS and spatial SQL</t>
        </is>
      </c>
      <c r="I130" s="4" t="n"/>
      <c r="J130" s="4" t="n"/>
      <c r="K130" s="4" t="n"/>
      <c r="L130" s="4" t="n"/>
      <c r="M130" s="4" t="n"/>
      <c r="N130" s="15" t="n"/>
      <c r="O130" s="9">
        <f>SUM(I130:M130)+IF(WEEKDAY(B130,2)&lt;=5,N130,0)</f>
        <v/>
      </c>
      <c r="P130" s="9">
        <f>IF(WEEKDAY(B130,2)&lt;=5,6,5)</f>
        <v/>
      </c>
      <c r="Q130" s="9">
        <f>IF(COUNT(I130:N130)&gt;0,1,0)</f>
        <v/>
      </c>
      <c r="R130" s="9">
        <f>P130*Q130</f>
        <v/>
      </c>
      <c r="S130" s="14">
        <f>IF(Q130=1,O130/P130,"")</f>
        <v/>
      </c>
      <c r="T130" s="4" t="n"/>
      <c r="U130" s="4" t="n"/>
      <c r="V130" s="4" t="n"/>
      <c r="W130" s="4" t="n"/>
    </row>
    <row r="131">
      <c r="A131" s="16" t="n">
        <v>130</v>
      </c>
      <c r="B131" s="17" t="n">
        <v>46425</v>
      </c>
      <c r="C131" s="16" t="inlineStr">
        <is>
          <t>Sun</t>
        </is>
      </c>
      <c r="D131" s="9" t="n">
        <v>18</v>
      </c>
      <c r="E131" s="9" t="n">
        <v>2</v>
      </c>
      <c r="F131" s="9" t="inlineStr">
        <is>
          <t>Cycle 2 block B</t>
        </is>
      </c>
      <c r="G131" s="9" t="inlineStr">
        <is>
          <t>Mobility 20 min + weekly review</t>
        </is>
      </c>
      <c r="H131" s="9" t="inlineStr">
        <is>
          <t>PostGIS and spatial SQL</t>
        </is>
      </c>
      <c r="I131" s="4" t="n"/>
      <c r="J131" s="4" t="n"/>
      <c r="K131" s="4" t="n"/>
      <c r="L131" s="4" t="n"/>
      <c r="M131" s="4" t="n"/>
      <c r="N131" s="15" t="n"/>
      <c r="O131" s="9">
        <f>SUM(I131:M131)+IF(WEEKDAY(B131,2)&lt;=5,N131,0)</f>
        <v/>
      </c>
      <c r="P131" s="9">
        <f>IF(WEEKDAY(B131,2)&lt;=5,6,5)</f>
        <v/>
      </c>
      <c r="Q131" s="9">
        <f>IF(COUNT(I131:N131)&gt;0,1,0)</f>
        <v/>
      </c>
      <c r="R131" s="9">
        <f>P131*Q131</f>
        <v/>
      </c>
      <c r="S131" s="14">
        <f>IF(Q131=1,O131/P131,"")</f>
        <v/>
      </c>
      <c r="T131" s="4" t="n"/>
      <c r="U131" s="4" t="n"/>
      <c r="V131" s="4" t="n"/>
      <c r="W131" s="4" t="n"/>
    </row>
    <row r="132">
      <c r="A132" s="9" t="n">
        <v>131</v>
      </c>
      <c r="B132" s="13" t="n">
        <v>46426</v>
      </c>
      <c r="C132" s="9" t="inlineStr">
        <is>
          <t>Mon</t>
        </is>
      </c>
      <c r="D132" s="9" t="n">
        <v>19</v>
      </c>
      <c r="E132" s="9" t="n">
        <v>2</v>
      </c>
      <c r="F132" s="9" t="inlineStr">
        <is>
          <t>Cycle 2 block B</t>
        </is>
      </c>
      <c r="G132" s="9" t="inlineStr">
        <is>
          <t>Lower A</t>
        </is>
      </c>
      <c r="H132" s="9" t="inlineStr">
        <is>
          <t>PostGIS and spatial SQL</t>
        </is>
      </c>
      <c r="I132" s="4" t="n"/>
      <c r="J132" s="4" t="n"/>
      <c r="K132" s="4" t="n"/>
      <c r="L132" s="4" t="n"/>
      <c r="M132" s="4" t="n"/>
      <c r="N132" s="4" t="n"/>
      <c r="O132" s="9">
        <f>SUM(I132:M132)+IF(WEEKDAY(B132,2)&lt;=5,N132,0)</f>
        <v/>
      </c>
      <c r="P132" s="9">
        <f>IF(WEEKDAY(B132,2)&lt;=5,6,5)</f>
        <v/>
      </c>
      <c r="Q132" s="9">
        <f>IF(COUNT(I132:N132)&gt;0,1,0)</f>
        <v/>
      </c>
      <c r="R132" s="9">
        <f>P132*Q132</f>
        <v/>
      </c>
      <c r="S132" s="14">
        <f>IF(Q132=1,O132/P132,"")</f>
        <v/>
      </c>
      <c r="T132" s="4" t="n"/>
      <c r="U132" s="4" t="n"/>
      <c r="V132" s="4" t="n"/>
      <c r="W132" s="4" t="n"/>
    </row>
    <row r="133">
      <c r="A133" s="9" t="n">
        <v>132</v>
      </c>
      <c r="B133" s="13" t="n">
        <v>46427</v>
      </c>
      <c r="C133" s="9" t="inlineStr">
        <is>
          <t>Tue</t>
        </is>
      </c>
      <c r="D133" s="9" t="n">
        <v>19</v>
      </c>
      <c r="E133" s="9" t="n">
        <v>2</v>
      </c>
      <c r="F133" s="9" t="inlineStr">
        <is>
          <t>Cycle 2 block B</t>
        </is>
      </c>
      <c r="G133" s="9" t="inlineStr">
        <is>
          <t>Upper A</t>
        </is>
      </c>
      <c r="H133" s="9" t="inlineStr">
        <is>
          <t>PostGIS and spatial SQL</t>
        </is>
      </c>
      <c r="I133" s="4" t="n"/>
      <c r="J133" s="4" t="n"/>
      <c r="K133" s="4" t="n"/>
      <c r="L133" s="4" t="n"/>
      <c r="M133" s="4" t="n"/>
      <c r="N133" s="4" t="n"/>
      <c r="O133" s="9">
        <f>SUM(I133:M133)+IF(WEEKDAY(B133,2)&lt;=5,N133,0)</f>
        <v/>
      </c>
      <c r="P133" s="9">
        <f>IF(WEEKDAY(B133,2)&lt;=5,6,5)</f>
        <v/>
      </c>
      <c r="Q133" s="9">
        <f>IF(COUNT(I133:N133)&gt;0,1,0)</f>
        <v/>
      </c>
      <c r="R133" s="9">
        <f>P133*Q133</f>
        <v/>
      </c>
      <c r="S133" s="14">
        <f>IF(Q133=1,O133/P133,"")</f>
        <v/>
      </c>
      <c r="T133" s="4" t="n"/>
      <c r="U133" s="4" t="n"/>
      <c r="V133" s="4" t="n"/>
      <c r="W133" s="4" t="n"/>
    </row>
    <row r="134">
      <c r="A134" s="9" t="n">
        <v>133</v>
      </c>
      <c r="B134" s="13" t="n">
        <v>46428</v>
      </c>
      <c r="C134" s="9" t="inlineStr">
        <is>
          <t>Wed</t>
        </is>
      </c>
      <c r="D134" s="9" t="n">
        <v>19</v>
      </c>
      <c r="E134" s="9" t="n">
        <v>2</v>
      </c>
      <c r="F134" s="9" t="inlineStr">
        <is>
          <t>Cycle 2 block B</t>
        </is>
      </c>
      <c r="G134" s="9" t="inlineStr">
        <is>
          <t>Zone 2 cardio 40 min</t>
        </is>
      </c>
      <c r="H134" s="9" t="inlineStr">
        <is>
          <t>PostGIS and spatial SQL</t>
        </is>
      </c>
      <c r="I134" s="4" t="n"/>
      <c r="J134" s="4" t="n"/>
      <c r="K134" s="4" t="n"/>
      <c r="L134" s="4" t="n"/>
      <c r="M134" s="4" t="n"/>
      <c r="N134" s="4" t="n"/>
      <c r="O134" s="9">
        <f>SUM(I134:M134)+IF(WEEKDAY(B134,2)&lt;=5,N134,0)</f>
        <v/>
      </c>
      <c r="P134" s="9">
        <f>IF(WEEKDAY(B134,2)&lt;=5,6,5)</f>
        <v/>
      </c>
      <c r="Q134" s="9">
        <f>IF(COUNT(I134:N134)&gt;0,1,0)</f>
        <v/>
      </c>
      <c r="R134" s="9">
        <f>P134*Q134</f>
        <v/>
      </c>
      <c r="S134" s="14">
        <f>IF(Q134=1,O134/P134,"")</f>
        <v/>
      </c>
      <c r="T134" s="4" t="n"/>
      <c r="U134" s="4" t="n"/>
      <c r="V134" s="4" t="n"/>
      <c r="W134" s="4" t="n"/>
    </row>
    <row r="135">
      <c r="A135" s="9" t="n">
        <v>134</v>
      </c>
      <c r="B135" s="13" t="n">
        <v>46429</v>
      </c>
      <c r="C135" s="9" t="inlineStr">
        <is>
          <t>Thu</t>
        </is>
      </c>
      <c r="D135" s="9" t="n">
        <v>19</v>
      </c>
      <c r="E135" s="9" t="n">
        <v>2</v>
      </c>
      <c r="F135" s="9" t="inlineStr">
        <is>
          <t>Cycle 2 block B</t>
        </is>
      </c>
      <c r="G135" s="9" t="inlineStr">
        <is>
          <t>Lower B</t>
        </is>
      </c>
      <c r="H135" s="9" t="inlineStr">
        <is>
          <t>PostGIS and spatial SQL</t>
        </is>
      </c>
      <c r="I135" s="4" t="n"/>
      <c r="J135" s="4" t="n"/>
      <c r="K135" s="4" t="n"/>
      <c r="L135" s="4" t="n"/>
      <c r="M135" s="4" t="n"/>
      <c r="N135" s="4" t="n"/>
      <c r="O135" s="9">
        <f>SUM(I135:M135)+IF(WEEKDAY(B135,2)&lt;=5,N135,0)</f>
        <v/>
      </c>
      <c r="P135" s="9">
        <f>IF(WEEKDAY(B135,2)&lt;=5,6,5)</f>
        <v/>
      </c>
      <c r="Q135" s="9">
        <f>IF(COUNT(I135:N135)&gt;0,1,0)</f>
        <v/>
      </c>
      <c r="R135" s="9">
        <f>P135*Q135</f>
        <v/>
      </c>
      <c r="S135" s="14">
        <f>IF(Q135=1,O135/P135,"")</f>
        <v/>
      </c>
      <c r="T135" s="4" t="n"/>
      <c r="U135" s="4" t="n"/>
      <c r="V135" s="4" t="n"/>
      <c r="W135" s="4" t="n"/>
    </row>
    <row r="136">
      <c r="A136" s="9" t="n">
        <v>135</v>
      </c>
      <c r="B136" s="13" t="n">
        <v>46430</v>
      </c>
      <c r="C136" s="9" t="inlineStr">
        <is>
          <t>Fri</t>
        </is>
      </c>
      <c r="D136" s="9" t="n">
        <v>19</v>
      </c>
      <c r="E136" s="9" t="n">
        <v>2</v>
      </c>
      <c r="F136" s="9" t="inlineStr">
        <is>
          <t>Cycle 2 block B</t>
        </is>
      </c>
      <c r="G136" s="9" t="inlineStr">
        <is>
          <t>Upper B</t>
        </is>
      </c>
      <c r="H136" s="9" t="inlineStr">
        <is>
          <t>PostGIS and spatial SQL</t>
        </is>
      </c>
      <c r="I136" s="4" t="n"/>
      <c r="J136" s="4" t="n"/>
      <c r="K136" s="4" t="n"/>
      <c r="L136" s="4" t="n"/>
      <c r="M136" s="4" t="n"/>
      <c r="N136" s="4" t="n"/>
      <c r="O136" s="9">
        <f>SUM(I136:M136)+IF(WEEKDAY(B136,2)&lt;=5,N136,0)</f>
        <v/>
      </c>
      <c r="P136" s="9">
        <f>IF(WEEKDAY(B136,2)&lt;=5,6,5)</f>
        <v/>
      </c>
      <c r="Q136" s="9">
        <f>IF(COUNT(I136:N136)&gt;0,1,0)</f>
        <v/>
      </c>
      <c r="R136" s="9">
        <f>P136*Q136</f>
        <v/>
      </c>
      <c r="S136" s="14">
        <f>IF(Q136=1,O136/P136,"")</f>
        <v/>
      </c>
      <c r="T136" s="4" t="n"/>
      <c r="U136" s="4" t="n"/>
      <c r="V136" s="4" t="n"/>
      <c r="W136" s="4" t="n"/>
    </row>
    <row r="137">
      <c r="A137" s="9" t="n">
        <v>136</v>
      </c>
      <c r="B137" s="13" t="n">
        <v>46431</v>
      </c>
      <c r="C137" s="9" t="inlineStr">
        <is>
          <t>Sat</t>
        </is>
      </c>
      <c r="D137" s="9" t="n">
        <v>19</v>
      </c>
      <c r="E137" s="9" t="n">
        <v>2</v>
      </c>
      <c r="F137" s="9" t="inlineStr">
        <is>
          <t>Cycle 2 block B</t>
        </is>
      </c>
      <c r="G137" s="9" t="inlineStr">
        <is>
          <t>Intervals 8 x 1 min hard / 2 min easy, or sport 45-60 min</t>
        </is>
      </c>
      <c r="H137" s="9" t="inlineStr">
        <is>
          <t>PostGIS and spatial SQL</t>
        </is>
      </c>
      <c r="I137" s="4" t="n"/>
      <c r="J137" s="4" t="n"/>
      <c r="K137" s="4" t="n"/>
      <c r="L137" s="4" t="n"/>
      <c r="M137" s="4" t="n"/>
      <c r="N137" s="15" t="n"/>
      <c r="O137" s="9">
        <f>SUM(I137:M137)+IF(WEEKDAY(B137,2)&lt;=5,N137,0)</f>
        <v/>
      </c>
      <c r="P137" s="9">
        <f>IF(WEEKDAY(B137,2)&lt;=5,6,5)</f>
        <v/>
      </c>
      <c r="Q137" s="9">
        <f>IF(COUNT(I137:N137)&gt;0,1,0)</f>
        <v/>
      </c>
      <c r="R137" s="9">
        <f>P137*Q137</f>
        <v/>
      </c>
      <c r="S137" s="14">
        <f>IF(Q137=1,O137/P137,"")</f>
        <v/>
      </c>
      <c r="T137" s="4" t="n"/>
      <c r="U137" s="4" t="n"/>
      <c r="V137" s="4" t="n"/>
      <c r="W137" s="4" t="n"/>
    </row>
    <row r="138">
      <c r="A138" s="16" t="n">
        <v>137</v>
      </c>
      <c r="B138" s="17" t="n">
        <v>46432</v>
      </c>
      <c r="C138" s="16" t="inlineStr">
        <is>
          <t>Sun</t>
        </is>
      </c>
      <c r="D138" s="9" t="n">
        <v>19</v>
      </c>
      <c r="E138" s="9" t="n">
        <v>2</v>
      </c>
      <c r="F138" s="9" t="inlineStr">
        <is>
          <t>Cycle 2 block B</t>
        </is>
      </c>
      <c r="G138" s="9" t="inlineStr">
        <is>
          <t>Mobility 20 min + weekly review</t>
        </is>
      </c>
      <c r="H138" s="9" t="inlineStr">
        <is>
          <t>PostGIS and spatial SQL</t>
        </is>
      </c>
      <c r="I138" s="4" t="n"/>
      <c r="J138" s="4" t="n"/>
      <c r="K138" s="4" t="n"/>
      <c r="L138" s="4" t="n"/>
      <c r="M138" s="4" t="n"/>
      <c r="N138" s="15" t="n"/>
      <c r="O138" s="9">
        <f>SUM(I138:M138)+IF(WEEKDAY(B138,2)&lt;=5,N138,0)</f>
        <v/>
      </c>
      <c r="P138" s="9">
        <f>IF(WEEKDAY(B138,2)&lt;=5,6,5)</f>
        <v/>
      </c>
      <c r="Q138" s="9">
        <f>IF(COUNT(I138:N138)&gt;0,1,0)</f>
        <v/>
      </c>
      <c r="R138" s="9">
        <f>P138*Q138</f>
        <v/>
      </c>
      <c r="S138" s="14">
        <f>IF(Q138=1,O138/P138,"")</f>
        <v/>
      </c>
      <c r="T138" s="4" t="n"/>
      <c r="U138" s="4" t="n"/>
      <c r="V138" s="4" t="n"/>
      <c r="W138" s="4" t="n"/>
    </row>
    <row r="139">
      <c r="A139" s="9" t="n">
        <v>138</v>
      </c>
      <c r="B139" s="13" t="n">
        <v>46433</v>
      </c>
      <c r="C139" s="9" t="inlineStr">
        <is>
          <t>Mon</t>
        </is>
      </c>
      <c r="D139" s="9" t="n">
        <v>20</v>
      </c>
      <c r="E139" s="9" t="n">
        <v>2</v>
      </c>
      <c r="F139" s="9" t="inlineStr">
        <is>
          <t>Cycle 2 block B</t>
        </is>
      </c>
      <c r="G139" s="9" t="inlineStr">
        <is>
          <t>Lower A</t>
        </is>
      </c>
      <c r="H139" s="9" t="inlineStr">
        <is>
          <t>Web GIS and dashboards</t>
        </is>
      </c>
      <c r="I139" s="4" t="n"/>
      <c r="J139" s="4" t="n"/>
      <c r="K139" s="4" t="n"/>
      <c r="L139" s="4" t="n"/>
      <c r="M139" s="4" t="n"/>
      <c r="N139" s="4" t="n"/>
      <c r="O139" s="9">
        <f>SUM(I139:M139)+IF(WEEKDAY(B139,2)&lt;=5,N139,0)</f>
        <v/>
      </c>
      <c r="P139" s="9">
        <f>IF(WEEKDAY(B139,2)&lt;=5,6,5)</f>
        <v/>
      </c>
      <c r="Q139" s="9">
        <f>IF(COUNT(I139:N139)&gt;0,1,0)</f>
        <v/>
      </c>
      <c r="R139" s="9">
        <f>P139*Q139</f>
        <v/>
      </c>
      <c r="S139" s="14">
        <f>IF(Q139=1,O139/P139,"")</f>
        <v/>
      </c>
      <c r="T139" s="4" t="n"/>
      <c r="U139" s="4" t="n"/>
      <c r="V139" s="4" t="n"/>
      <c r="W139" s="4" t="n"/>
    </row>
    <row r="140">
      <c r="A140" s="9" t="n">
        <v>139</v>
      </c>
      <c r="B140" s="13" t="n">
        <v>46434</v>
      </c>
      <c r="C140" s="9" t="inlineStr">
        <is>
          <t>Tue</t>
        </is>
      </c>
      <c r="D140" s="9" t="n">
        <v>20</v>
      </c>
      <c r="E140" s="9" t="n">
        <v>2</v>
      </c>
      <c r="F140" s="9" t="inlineStr">
        <is>
          <t>Cycle 2 block B</t>
        </is>
      </c>
      <c r="G140" s="9" t="inlineStr">
        <is>
          <t>Upper A</t>
        </is>
      </c>
      <c r="H140" s="9" t="inlineStr">
        <is>
          <t>Web GIS and dashboards</t>
        </is>
      </c>
      <c r="I140" s="4" t="n"/>
      <c r="J140" s="4" t="n"/>
      <c r="K140" s="4" t="n"/>
      <c r="L140" s="4" t="n"/>
      <c r="M140" s="4" t="n"/>
      <c r="N140" s="4" t="n"/>
      <c r="O140" s="9">
        <f>SUM(I140:M140)+IF(WEEKDAY(B140,2)&lt;=5,N140,0)</f>
        <v/>
      </c>
      <c r="P140" s="9">
        <f>IF(WEEKDAY(B140,2)&lt;=5,6,5)</f>
        <v/>
      </c>
      <c r="Q140" s="9">
        <f>IF(COUNT(I140:N140)&gt;0,1,0)</f>
        <v/>
      </c>
      <c r="R140" s="9">
        <f>P140*Q140</f>
        <v/>
      </c>
      <c r="S140" s="14">
        <f>IF(Q140=1,O140/P140,"")</f>
        <v/>
      </c>
      <c r="T140" s="4" t="n"/>
      <c r="U140" s="4" t="n"/>
      <c r="V140" s="4" t="n"/>
      <c r="W140" s="4" t="n"/>
    </row>
    <row r="141">
      <c r="A141" s="9" t="n">
        <v>140</v>
      </c>
      <c r="B141" s="13" t="n">
        <v>46435</v>
      </c>
      <c r="C141" s="9" t="inlineStr">
        <is>
          <t>Wed</t>
        </is>
      </c>
      <c r="D141" s="9" t="n">
        <v>20</v>
      </c>
      <c r="E141" s="9" t="n">
        <v>2</v>
      </c>
      <c r="F141" s="9" t="inlineStr">
        <is>
          <t>Cycle 2 block B</t>
        </is>
      </c>
      <c r="G141" s="9" t="inlineStr">
        <is>
          <t>Zone 2 cardio 40 min</t>
        </is>
      </c>
      <c r="H141" s="9" t="inlineStr">
        <is>
          <t>Web GIS and dashboards</t>
        </is>
      </c>
      <c r="I141" s="4" t="n"/>
      <c r="J141" s="4" t="n"/>
      <c r="K141" s="4" t="n"/>
      <c r="L141" s="4" t="n"/>
      <c r="M141" s="4" t="n"/>
      <c r="N141" s="4" t="n"/>
      <c r="O141" s="9">
        <f>SUM(I141:M141)+IF(WEEKDAY(B141,2)&lt;=5,N141,0)</f>
        <v/>
      </c>
      <c r="P141" s="9">
        <f>IF(WEEKDAY(B141,2)&lt;=5,6,5)</f>
        <v/>
      </c>
      <c r="Q141" s="9">
        <f>IF(COUNT(I141:N141)&gt;0,1,0)</f>
        <v/>
      </c>
      <c r="R141" s="9">
        <f>P141*Q141</f>
        <v/>
      </c>
      <c r="S141" s="14">
        <f>IF(Q141=1,O141/P141,"")</f>
        <v/>
      </c>
      <c r="T141" s="4" t="n"/>
      <c r="U141" s="4" t="n"/>
      <c r="V141" s="4" t="n"/>
      <c r="W141" s="4" t="n"/>
    </row>
    <row r="142">
      <c r="A142" s="9" t="n">
        <v>141</v>
      </c>
      <c r="B142" s="13" t="n">
        <v>46436</v>
      </c>
      <c r="C142" s="9" t="inlineStr">
        <is>
          <t>Thu</t>
        </is>
      </c>
      <c r="D142" s="9" t="n">
        <v>20</v>
      </c>
      <c r="E142" s="9" t="n">
        <v>2</v>
      </c>
      <c r="F142" s="9" t="inlineStr">
        <is>
          <t>Cycle 2 block B</t>
        </is>
      </c>
      <c r="G142" s="9" t="inlineStr">
        <is>
          <t>Lower B</t>
        </is>
      </c>
      <c r="H142" s="9" t="inlineStr">
        <is>
          <t>Web GIS and dashboards</t>
        </is>
      </c>
      <c r="I142" s="4" t="n"/>
      <c r="J142" s="4" t="n"/>
      <c r="K142" s="4" t="n"/>
      <c r="L142" s="4" t="n"/>
      <c r="M142" s="4" t="n"/>
      <c r="N142" s="4" t="n"/>
      <c r="O142" s="9">
        <f>SUM(I142:M142)+IF(WEEKDAY(B142,2)&lt;=5,N142,0)</f>
        <v/>
      </c>
      <c r="P142" s="9">
        <f>IF(WEEKDAY(B142,2)&lt;=5,6,5)</f>
        <v/>
      </c>
      <c r="Q142" s="9">
        <f>IF(COUNT(I142:N142)&gt;0,1,0)</f>
        <v/>
      </c>
      <c r="R142" s="9">
        <f>P142*Q142</f>
        <v/>
      </c>
      <c r="S142" s="14">
        <f>IF(Q142=1,O142/P142,"")</f>
        <v/>
      </c>
      <c r="T142" s="4" t="n"/>
      <c r="U142" s="4" t="n"/>
      <c r="V142" s="4" t="n"/>
      <c r="W142" s="4" t="n"/>
    </row>
    <row r="143">
      <c r="A143" s="9" t="n">
        <v>142</v>
      </c>
      <c r="B143" s="13" t="n">
        <v>46437</v>
      </c>
      <c r="C143" s="9" t="inlineStr">
        <is>
          <t>Fri</t>
        </is>
      </c>
      <c r="D143" s="9" t="n">
        <v>20</v>
      </c>
      <c r="E143" s="9" t="n">
        <v>2</v>
      </c>
      <c r="F143" s="9" t="inlineStr">
        <is>
          <t>Cycle 2 block B</t>
        </is>
      </c>
      <c r="G143" s="9" t="inlineStr">
        <is>
          <t>Upper B</t>
        </is>
      </c>
      <c r="H143" s="9" t="inlineStr">
        <is>
          <t>Web GIS and dashboards</t>
        </is>
      </c>
      <c r="I143" s="4" t="n"/>
      <c r="J143" s="4" t="n"/>
      <c r="K143" s="4" t="n"/>
      <c r="L143" s="4" t="n"/>
      <c r="M143" s="4" t="n"/>
      <c r="N143" s="4" t="n"/>
      <c r="O143" s="9">
        <f>SUM(I143:M143)+IF(WEEKDAY(B143,2)&lt;=5,N143,0)</f>
        <v/>
      </c>
      <c r="P143" s="9">
        <f>IF(WEEKDAY(B143,2)&lt;=5,6,5)</f>
        <v/>
      </c>
      <c r="Q143" s="9">
        <f>IF(COUNT(I143:N143)&gt;0,1,0)</f>
        <v/>
      </c>
      <c r="R143" s="9">
        <f>P143*Q143</f>
        <v/>
      </c>
      <c r="S143" s="14">
        <f>IF(Q143=1,O143/P143,"")</f>
        <v/>
      </c>
      <c r="T143" s="4" t="n"/>
      <c r="U143" s="4" t="n"/>
      <c r="V143" s="4" t="n"/>
      <c r="W143" s="4" t="n"/>
    </row>
    <row r="144">
      <c r="A144" s="9" t="n">
        <v>143</v>
      </c>
      <c r="B144" s="13" t="n">
        <v>46438</v>
      </c>
      <c r="C144" s="9" t="inlineStr">
        <is>
          <t>Sat</t>
        </is>
      </c>
      <c r="D144" s="9" t="n">
        <v>20</v>
      </c>
      <c r="E144" s="9" t="n">
        <v>2</v>
      </c>
      <c r="F144" s="9" t="inlineStr">
        <is>
          <t>Cycle 2 block B</t>
        </is>
      </c>
      <c r="G144" s="9" t="inlineStr">
        <is>
          <t>Intervals 8 x 1 min hard / 2 min easy, or sport 45-60 min</t>
        </is>
      </c>
      <c r="H144" s="9" t="inlineStr">
        <is>
          <t>Web GIS and dashboards</t>
        </is>
      </c>
      <c r="I144" s="4" t="n"/>
      <c r="J144" s="4" t="n"/>
      <c r="K144" s="4" t="n"/>
      <c r="L144" s="4" t="n"/>
      <c r="M144" s="4" t="n"/>
      <c r="N144" s="15" t="n"/>
      <c r="O144" s="9">
        <f>SUM(I144:M144)+IF(WEEKDAY(B144,2)&lt;=5,N144,0)</f>
        <v/>
      </c>
      <c r="P144" s="9">
        <f>IF(WEEKDAY(B144,2)&lt;=5,6,5)</f>
        <v/>
      </c>
      <c r="Q144" s="9">
        <f>IF(COUNT(I144:N144)&gt;0,1,0)</f>
        <v/>
      </c>
      <c r="R144" s="9">
        <f>P144*Q144</f>
        <v/>
      </c>
      <c r="S144" s="14">
        <f>IF(Q144=1,O144/P144,"")</f>
        <v/>
      </c>
      <c r="T144" s="4" t="n"/>
      <c r="U144" s="4" t="n"/>
      <c r="V144" s="4" t="n"/>
      <c r="W144" s="4" t="n"/>
    </row>
    <row r="145">
      <c r="A145" s="16" t="n">
        <v>144</v>
      </c>
      <c r="B145" s="17" t="n">
        <v>46439</v>
      </c>
      <c r="C145" s="16" t="inlineStr">
        <is>
          <t>Sun</t>
        </is>
      </c>
      <c r="D145" s="9" t="n">
        <v>20</v>
      </c>
      <c r="E145" s="9" t="n">
        <v>2</v>
      </c>
      <c r="F145" s="9" t="inlineStr">
        <is>
          <t>Cycle 2 block B</t>
        </is>
      </c>
      <c r="G145" s="9" t="inlineStr">
        <is>
          <t>Mobility 20 min + weekly review</t>
        </is>
      </c>
      <c r="H145" s="9" t="inlineStr">
        <is>
          <t>Web GIS and dashboards</t>
        </is>
      </c>
      <c r="I145" s="4" t="n"/>
      <c r="J145" s="4" t="n"/>
      <c r="K145" s="4" t="n"/>
      <c r="L145" s="4" t="n"/>
      <c r="M145" s="4" t="n"/>
      <c r="N145" s="15" t="n"/>
      <c r="O145" s="9">
        <f>SUM(I145:M145)+IF(WEEKDAY(B145,2)&lt;=5,N145,0)</f>
        <v/>
      </c>
      <c r="P145" s="9">
        <f>IF(WEEKDAY(B145,2)&lt;=5,6,5)</f>
        <v/>
      </c>
      <c r="Q145" s="9">
        <f>IF(COUNT(I145:N145)&gt;0,1,0)</f>
        <v/>
      </c>
      <c r="R145" s="9">
        <f>P145*Q145</f>
        <v/>
      </c>
      <c r="S145" s="14">
        <f>IF(Q145=1,O145/P145,"")</f>
        <v/>
      </c>
      <c r="T145" s="4" t="n"/>
      <c r="U145" s="4" t="n"/>
      <c r="V145" s="4" t="n"/>
      <c r="W145" s="4" t="n"/>
    </row>
    <row r="146">
      <c r="A146" s="9" t="n">
        <v>145</v>
      </c>
      <c r="B146" s="13" t="n">
        <v>46440</v>
      </c>
      <c r="C146" s="9" t="inlineStr">
        <is>
          <t>Mon</t>
        </is>
      </c>
      <c r="D146" s="9" t="n">
        <v>21</v>
      </c>
      <c r="E146" s="9" t="n">
        <v>2</v>
      </c>
      <c r="F146" s="9" t="inlineStr">
        <is>
          <t>Cycle 2 block B</t>
        </is>
      </c>
      <c r="G146" s="9" t="inlineStr">
        <is>
          <t>Lower A</t>
        </is>
      </c>
      <c r="H146" s="9" t="inlineStr">
        <is>
          <t>Web GIS and dashboards</t>
        </is>
      </c>
      <c r="I146" s="4" t="n"/>
      <c r="J146" s="4" t="n"/>
      <c r="K146" s="4" t="n"/>
      <c r="L146" s="4" t="n"/>
      <c r="M146" s="4" t="n"/>
      <c r="N146" s="4" t="n"/>
      <c r="O146" s="9">
        <f>SUM(I146:M146)+IF(WEEKDAY(B146,2)&lt;=5,N146,0)</f>
        <v/>
      </c>
      <c r="P146" s="9">
        <f>IF(WEEKDAY(B146,2)&lt;=5,6,5)</f>
        <v/>
      </c>
      <c r="Q146" s="9">
        <f>IF(COUNT(I146:N146)&gt;0,1,0)</f>
        <v/>
      </c>
      <c r="R146" s="9">
        <f>P146*Q146</f>
        <v/>
      </c>
      <c r="S146" s="14">
        <f>IF(Q146=1,O146/P146,"")</f>
        <v/>
      </c>
      <c r="T146" s="4" t="n"/>
      <c r="U146" s="4" t="n"/>
      <c r="V146" s="4" t="n"/>
      <c r="W146" s="4" t="n"/>
    </row>
    <row r="147">
      <c r="A147" s="9" t="n">
        <v>146</v>
      </c>
      <c r="B147" s="13" t="n">
        <v>46441</v>
      </c>
      <c r="C147" s="9" t="inlineStr">
        <is>
          <t>Tue</t>
        </is>
      </c>
      <c r="D147" s="9" t="n">
        <v>21</v>
      </c>
      <c r="E147" s="9" t="n">
        <v>2</v>
      </c>
      <c r="F147" s="9" t="inlineStr">
        <is>
          <t>Cycle 2 block B</t>
        </is>
      </c>
      <c r="G147" s="9" t="inlineStr">
        <is>
          <t>Upper A</t>
        </is>
      </c>
      <c r="H147" s="9" t="inlineStr">
        <is>
          <t>Web GIS and dashboards</t>
        </is>
      </c>
      <c r="I147" s="4" t="n"/>
      <c r="J147" s="4" t="n"/>
      <c r="K147" s="4" t="n"/>
      <c r="L147" s="4" t="n"/>
      <c r="M147" s="4" t="n"/>
      <c r="N147" s="4" t="n"/>
      <c r="O147" s="9">
        <f>SUM(I147:M147)+IF(WEEKDAY(B147,2)&lt;=5,N147,0)</f>
        <v/>
      </c>
      <c r="P147" s="9">
        <f>IF(WEEKDAY(B147,2)&lt;=5,6,5)</f>
        <v/>
      </c>
      <c r="Q147" s="9">
        <f>IF(COUNT(I147:N147)&gt;0,1,0)</f>
        <v/>
      </c>
      <c r="R147" s="9">
        <f>P147*Q147</f>
        <v/>
      </c>
      <c r="S147" s="14">
        <f>IF(Q147=1,O147/P147,"")</f>
        <v/>
      </c>
      <c r="T147" s="4" t="n"/>
      <c r="U147" s="4" t="n"/>
      <c r="V147" s="4" t="n"/>
      <c r="W147" s="4" t="n"/>
    </row>
    <row r="148">
      <c r="A148" s="9" t="n">
        <v>147</v>
      </c>
      <c r="B148" s="13" t="n">
        <v>46442</v>
      </c>
      <c r="C148" s="9" t="inlineStr">
        <is>
          <t>Wed</t>
        </is>
      </c>
      <c r="D148" s="9" t="n">
        <v>21</v>
      </c>
      <c r="E148" s="9" t="n">
        <v>2</v>
      </c>
      <c r="F148" s="9" t="inlineStr">
        <is>
          <t>Cycle 2 block B</t>
        </is>
      </c>
      <c r="G148" s="9" t="inlineStr">
        <is>
          <t>Zone 2 cardio 40 min</t>
        </is>
      </c>
      <c r="H148" s="9" t="inlineStr">
        <is>
          <t>Web GIS and dashboards</t>
        </is>
      </c>
      <c r="I148" s="4" t="n"/>
      <c r="J148" s="4" t="n"/>
      <c r="K148" s="4" t="n"/>
      <c r="L148" s="4" t="n"/>
      <c r="M148" s="4" t="n"/>
      <c r="N148" s="4" t="n"/>
      <c r="O148" s="9">
        <f>SUM(I148:M148)+IF(WEEKDAY(B148,2)&lt;=5,N148,0)</f>
        <v/>
      </c>
      <c r="P148" s="9">
        <f>IF(WEEKDAY(B148,2)&lt;=5,6,5)</f>
        <v/>
      </c>
      <c r="Q148" s="9">
        <f>IF(COUNT(I148:N148)&gt;0,1,0)</f>
        <v/>
      </c>
      <c r="R148" s="9">
        <f>P148*Q148</f>
        <v/>
      </c>
      <c r="S148" s="14">
        <f>IF(Q148=1,O148/P148,"")</f>
        <v/>
      </c>
      <c r="T148" s="4" t="n"/>
      <c r="U148" s="4" t="n"/>
      <c r="V148" s="4" t="n"/>
      <c r="W148" s="4" t="n"/>
    </row>
    <row r="149">
      <c r="A149" s="9" t="n">
        <v>148</v>
      </c>
      <c r="B149" s="13" t="n">
        <v>46443</v>
      </c>
      <c r="C149" s="9" t="inlineStr">
        <is>
          <t>Thu</t>
        </is>
      </c>
      <c r="D149" s="9" t="n">
        <v>21</v>
      </c>
      <c r="E149" s="9" t="n">
        <v>2</v>
      </c>
      <c r="F149" s="9" t="inlineStr">
        <is>
          <t>Cycle 2 block B</t>
        </is>
      </c>
      <c r="G149" s="9" t="inlineStr">
        <is>
          <t>Lower B</t>
        </is>
      </c>
      <c r="H149" s="9" t="inlineStr">
        <is>
          <t>Web GIS and dashboards</t>
        </is>
      </c>
      <c r="I149" s="4" t="n"/>
      <c r="J149" s="4" t="n"/>
      <c r="K149" s="4" t="n"/>
      <c r="L149" s="4" t="n"/>
      <c r="M149" s="4" t="n"/>
      <c r="N149" s="4" t="n"/>
      <c r="O149" s="9">
        <f>SUM(I149:M149)+IF(WEEKDAY(B149,2)&lt;=5,N149,0)</f>
        <v/>
      </c>
      <c r="P149" s="9">
        <f>IF(WEEKDAY(B149,2)&lt;=5,6,5)</f>
        <v/>
      </c>
      <c r="Q149" s="9">
        <f>IF(COUNT(I149:N149)&gt;0,1,0)</f>
        <v/>
      </c>
      <c r="R149" s="9">
        <f>P149*Q149</f>
        <v/>
      </c>
      <c r="S149" s="14">
        <f>IF(Q149=1,O149/P149,"")</f>
        <v/>
      </c>
      <c r="T149" s="4" t="n"/>
      <c r="U149" s="4" t="n"/>
      <c r="V149" s="4" t="n"/>
      <c r="W149" s="4" t="n"/>
    </row>
    <row r="150">
      <c r="A150" s="9" t="n">
        <v>149</v>
      </c>
      <c r="B150" s="13" t="n">
        <v>46444</v>
      </c>
      <c r="C150" s="9" t="inlineStr">
        <is>
          <t>Fri</t>
        </is>
      </c>
      <c r="D150" s="9" t="n">
        <v>21</v>
      </c>
      <c r="E150" s="9" t="n">
        <v>2</v>
      </c>
      <c r="F150" s="9" t="inlineStr">
        <is>
          <t>Cycle 2 block B</t>
        </is>
      </c>
      <c r="G150" s="9" t="inlineStr">
        <is>
          <t>Upper B</t>
        </is>
      </c>
      <c r="H150" s="9" t="inlineStr">
        <is>
          <t>Web GIS and dashboards</t>
        </is>
      </c>
      <c r="I150" s="4" t="n"/>
      <c r="J150" s="4" t="n"/>
      <c r="K150" s="4" t="n"/>
      <c r="L150" s="4" t="n"/>
      <c r="M150" s="4" t="n"/>
      <c r="N150" s="4" t="n"/>
      <c r="O150" s="9">
        <f>SUM(I150:M150)+IF(WEEKDAY(B150,2)&lt;=5,N150,0)</f>
        <v/>
      </c>
      <c r="P150" s="9">
        <f>IF(WEEKDAY(B150,2)&lt;=5,6,5)</f>
        <v/>
      </c>
      <c r="Q150" s="9">
        <f>IF(COUNT(I150:N150)&gt;0,1,0)</f>
        <v/>
      </c>
      <c r="R150" s="9">
        <f>P150*Q150</f>
        <v/>
      </c>
      <c r="S150" s="14">
        <f>IF(Q150=1,O150/P150,"")</f>
        <v/>
      </c>
      <c r="T150" s="4" t="n"/>
      <c r="U150" s="4" t="n"/>
      <c r="V150" s="4" t="n"/>
      <c r="W150" s="4" t="n"/>
    </row>
    <row r="151">
      <c r="A151" s="9" t="n">
        <v>150</v>
      </c>
      <c r="B151" s="13" t="n">
        <v>46445</v>
      </c>
      <c r="C151" s="9" t="inlineStr">
        <is>
          <t>Sat</t>
        </is>
      </c>
      <c r="D151" s="9" t="n">
        <v>21</v>
      </c>
      <c r="E151" s="9" t="n">
        <v>2</v>
      </c>
      <c r="F151" s="9" t="inlineStr">
        <is>
          <t>Cycle 2 block B</t>
        </is>
      </c>
      <c r="G151" s="9" t="inlineStr">
        <is>
          <t>Intervals 8 x 1 min hard / 2 min easy, or sport 45-60 min</t>
        </is>
      </c>
      <c r="H151" s="9" t="inlineStr">
        <is>
          <t>Web GIS and dashboards</t>
        </is>
      </c>
      <c r="I151" s="4" t="n"/>
      <c r="J151" s="4" t="n"/>
      <c r="K151" s="4" t="n"/>
      <c r="L151" s="4" t="n"/>
      <c r="M151" s="4" t="n"/>
      <c r="N151" s="15" t="n"/>
      <c r="O151" s="9">
        <f>SUM(I151:M151)+IF(WEEKDAY(B151,2)&lt;=5,N151,0)</f>
        <v/>
      </c>
      <c r="P151" s="9">
        <f>IF(WEEKDAY(B151,2)&lt;=5,6,5)</f>
        <v/>
      </c>
      <c r="Q151" s="9">
        <f>IF(COUNT(I151:N151)&gt;0,1,0)</f>
        <v/>
      </c>
      <c r="R151" s="9">
        <f>P151*Q151</f>
        <v/>
      </c>
      <c r="S151" s="14">
        <f>IF(Q151=1,O151/P151,"")</f>
        <v/>
      </c>
      <c r="T151" s="4" t="n"/>
      <c r="U151" s="4" t="n"/>
      <c r="V151" s="4" t="n"/>
      <c r="W151" s="4" t="n"/>
    </row>
    <row r="152">
      <c r="A152" s="16" t="n">
        <v>151</v>
      </c>
      <c r="B152" s="17" t="n">
        <v>46446</v>
      </c>
      <c r="C152" s="16" t="inlineStr">
        <is>
          <t>Sun</t>
        </is>
      </c>
      <c r="D152" s="9" t="n">
        <v>21</v>
      </c>
      <c r="E152" s="9" t="n">
        <v>2</v>
      </c>
      <c r="F152" s="9" t="inlineStr">
        <is>
          <t>Cycle 2 block B</t>
        </is>
      </c>
      <c r="G152" s="9" t="inlineStr">
        <is>
          <t>Mobility 20 min + weekly review</t>
        </is>
      </c>
      <c r="H152" s="9" t="inlineStr">
        <is>
          <t>Web GIS and dashboards</t>
        </is>
      </c>
      <c r="I152" s="4" t="n"/>
      <c r="J152" s="4" t="n"/>
      <c r="K152" s="4" t="n"/>
      <c r="L152" s="4" t="n"/>
      <c r="M152" s="4" t="n"/>
      <c r="N152" s="15" t="n"/>
      <c r="O152" s="9">
        <f>SUM(I152:M152)+IF(WEEKDAY(B152,2)&lt;=5,N152,0)</f>
        <v/>
      </c>
      <c r="P152" s="9">
        <f>IF(WEEKDAY(B152,2)&lt;=5,6,5)</f>
        <v/>
      </c>
      <c r="Q152" s="9">
        <f>IF(COUNT(I152:N152)&gt;0,1,0)</f>
        <v/>
      </c>
      <c r="R152" s="9">
        <f>P152*Q152</f>
        <v/>
      </c>
      <c r="S152" s="14">
        <f>IF(Q152=1,O152/P152,"")</f>
        <v/>
      </c>
      <c r="T152" s="4" t="n"/>
      <c r="U152" s="4" t="n"/>
      <c r="V152" s="4" t="n"/>
      <c r="W152" s="4" t="n"/>
    </row>
    <row r="153">
      <c r="A153" s="9" t="n">
        <v>152</v>
      </c>
      <c r="B153" s="13" t="n">
        <v>46447</v>
      </c>
      <c r="C153" s="9" t="inlineStr">
        <is>
          <t>Mon</t>
        </is>
      </c>
      <c r="D153" s="9" t="n">
        <v>22</v>
      </c>
      <c r="E153" s="9" t="n">
        <v>2</v>
      </c>
      <c r="F153" s="9" t="inlineStr">
        <is>
          <t>Deload + diet break</t>
        </is>
      </c>
      <c r="G153" s="9" t="inlineStr">
        <is>
          <t>Lower A (deload: 2 sets, -40% load)</t>
        </is>
      </c>
      <c r="H153" s="9" t="inlineStr">
        <is>
          <t>Web GIS (deload week: polish)</t>
        </is>
      </c>
      <c r="I153" s="4" t="n"/>
      <c r="J153" s="4" t="n"/>
      <c r="K153" s="4" t="n"/>
      <c r="L153" s="4" t="n"/>
      <c r="M153" s="4" t="n"/>
      <c r="N153" s="4" t="n"/>
      <c r="O153" s="9">
        <f>SUM(I153:M153)+IF(WEEKDAY(B153,2)&lt;=5,N153,0)</f>
        <v/>
      </c>
      <c r="P153" s="9">
        <f>IF(WEEKDAY(B153,2)&lt;=5,6,5)</f>
        <v/>
      </c>
      <c r="Q153" s="9">
        <f>IF(COUNT(I153:N153)&gt;0,1,0)</f>
        <v/>
      </c>
      <c r="R153" s="9">
        <f>P153*Q153</f>
        <v/>
      </c>
      <c r="S153" s="14">
        <f>IF(Q153=1,O153/P153,"")</f>
        <v/>
      </c>
      <c r="T153" s="4" t="n"/>
      <c r="U153" s="4" t="n"/>
      <c r="V153" s="4" t="n"/>
      <c r="W153" s="4" t="n"/>
    </row>
    <row r="154">
      <c r="A154" s="9" t="n">
        <v>153</v>
      </c>
      <c r="B154" s="13" t="n">
        <v>46448</v>
      </c>
      <c r="C154" s="9" t="inlineStr">
        <is>
          <t>Tue</t>
        </is>
      </c>
      <c r="D154" s="9" t="n">
        <v>22</v>
      </c>
      <c r="E154" s="9" t="n">
        <v>2</v>
      </c>
      <c r="F154" s="9" t="inlineStr">
        <is>
          <t>Deload + diet break</t>
        </is>
      </c>
      <c r="G154" s="9" t="inlineStr">
        <is>
          <t>Upper A (deload: 2 sets, -40% load)</t>
        </is>
      </c>
      <c r="H154" s="9" t="inlineStr">
        <is>
          <t>Web GIS (deload week: polish)</t>
        </is>
      </c>
      <c r="I154" s="4" t="n"/>
      <c r="J154" s="4" t="n"/>
      <c r="K154" s="4" t="n"/>
      <c r="L154" s="4" t="n"/>
      <c r="M154" s="4" t="n"/>
      <c r="N154" s="4" t="n"/>
      <c r="O154" s="9">
        <f>SUM(I154:M154)+IF(WEEKDAY(B154,2)&lt;=5,N154,0)</f>
        <v/>
      </c>
      <c r="P154" s="9">
        <f>IF(WEEKDAY(B154,2)&lt;=5,6,5)</f>
        <v/>
      </c>
      <c r="Q154" s="9">
        <f>IF(COUNT(I154:N154)&gt;0,1,0)</f>
        <v/>
      </c>
      <c r="R154" s="9">
        <f>P154*Q154</f>
        <v/>
      </c>
      <c r="S154" s="14">
        <f>IF(Q154=1,O154/P154,"")</f>
        <v/>
      </c>
      <c r="T154" s="4" t="n"/>
      <c r="U154" s="4" t="n"/>
      <c r="V154" s="4" t="n"/>
      <c r="W154" s="4" t="n"/>
    </row>
    <row r="155">
      <c r="A155" s="9" t="n">
        <v>154</v>
      </c>
      <c r="B155" s="13" t="n">
        <v>46449</v>
      </c>
      <c r="C155" s="9" t="inlineStr">
        <is>
          <t>Wed</t>
        </is>
      </c>
      <c r="D155" s="9" t="n">
        <v>22</v>
      </c>
      <c r="E155" s="9" t="n">
        <v>2</v>
      </c>
      <c r="F155" s="9" t="inlineStr">
        <is>
          <t>Deload + diet break</t>
        </is>
      </c>
      <c r="G155" s="9" t="inlineStr">
        <is>
          <t>Zone 2 cardio 40 min</t>
        </is>
      </c>
      <c r="H155" s="9" t="inlineStr">
        <is>
          <t>Web GIS (deload week: polish)</t>
        </is>
      </c>
      <c r="I155" s="4" t="n"/>
      <c r="J155" s="4" t="n"/>
      <c r="K155" s="4" t="n"/>
      <c r="L155" s="4" t="n"/>
      <c r="M155" s="4" t="n"/>
      <c r="N155" s="4" t="n"/>
      <c r="O155" s="9">
        <f>SUM(I155:M155)+IF(WEEKDAY(B155,2)&lt;=5,N155,0)</f>
        <v/>
      </c>
      <c r="P155" s="9">
        <f>IF(WEEKDAY(B155,2)&lt;=5,6,5)</f>
        <v/>
      </c>
      <c r="Q155" s="9">
        <f>IF(COUNT(I155:N155)&gt;0,1,0)</f>
        <v/>
      </c>
      <c r="R155" s="9">
        <f>P155*Q155</f>
        <v/>
      </c>
      <c r="S155" s="14">
        <f>IF(Q155=1,O155/P155,"")</f>
        <v/>
      </c>
      <c r="T155" s="4" t="n"/>
      <c r="U155" s="4" t="n"/>
      <c r="V155" s="4" t="n"/>
      <c r="W155" s="4" t="n"/>
    </row>
    <row r="156">
      <c r="A156" s="9" t="n">
        <v>155</v>
      </c>
      <c r="B156" s="13" t="n">
        <v>46450</v>
      </c>
      <c r="C156" s="9" t="inlineStr">
        <is>
          <t>Thu</t>
        </is>
      </c>
      <c r="D156" s="9" t="n">
        <v>22</v>
      </c>
      <c r="E156" s="9" t="n">
        <v>2</v>
      </c>
      <c r="F156" s="9" t="inlineStr">
        <is>
          <t>Deload + diet break</t>
        </is>
      </c>
      <c r="G156" s="9" t="inlineStr">
        <is>
          <t>Lower B (deload: 2 sets, -40% load)</t>
        </is>
      </c>
      <c r="H156" s="9" t="inlineStr">
        <is>
          <t>Web GIS (deload week: polish)</t>
        </is>
      </c>
      <c r="I156" s="4" t="n"/>
      <c r="J156" s="4" t="n"/>
      <c r="K156" s="4" t="n"/>
      <c r="L156" s="4" t="n"/>
      <c r="M156" s="4" t="n"/>
      <c r="N156" s="4" t="n"/>
      <c r="O156" s="9">
        <f>SUM(I156:M156)+IF(WEEKDAY(B156,2)&lt;=5,N156,0)</f>
        <v/>
      </c>
      <c r="P156" s="9">
        <f>IF(WEEKDAY(B156,2)&lt;=5,6,5)</f>
        <v/>
      </c>
      <c r="Q156" s="9">
        <f>IF(COUNT(I156:N156)&gt;0,1,0)</f>
        <v/>
      </c>
      <c r="R156" s="9">
        <f>P156*Q156</f>
        <v/>
      </c>
      <c r="S156" s="14">
        <f>IF(Q156=1,O156/P156,"")</f>
        <v/>
      </c>
      <c r="T156" s="4" t="n"/>
      <c r="U156" s="4" t="n"/>
      <c r="V156" s="4" t="n"/>
      <c r="W156" s="4" t="n"/>
    </row>
    <row r="157">
      <c r="A157" s="9" t="n">
        <v>156</v>
      </c>
      <c r="B157" s="13" t="n">
        <v>46451</v>
      </c>
      <c r="C157" s="9" t="inlineStr">
        <is>
          <t>Fri</t>
        </is>
      </c>
      <c r="D157" s="9" t="n">
        <v>22</v>
      </c>
      <c r="E157" s="9" t="n">
        <v>2</v>
      </c>
      <c r="F157" s="9" t="inlineStr">
        <is>
          <t>Deload + diet break</t>
        </is>
      </c>
      <c r="G157" s="9" t="inlineStr">
        <is>
          <t>Upper B (deload: 2 sets, -40% load)</t>
        </is>
      </c>
      <c r="H157" s="9" t="inlineStr">
        <is>
          <t>Web GIS (deload week: polish)</t>
        </is>
      </c>
      <c r="I157" s="4" t="n"/>
      <c r="J157" s="4" t="n"/>
      <c r="K157" s="4" t="n"/>
      <c r="L157" s="4" t="n"/>
      <c r="M157" s="4" t="n"/>
      <c r="N157" s="4" t="n"/>
      <c r="O157" s="9">
        <f>SUM(I157:M157)+IF(WEEKDAY(B157,2)&lt;=5,N157,0)</f>
        <v/>
      </c>
      <c r="P157" s="9">
        <f>IF(WEEKDAY(B157,2)&lt;=5,6,5)</f>
        <v/>
      </c>
      <c r="Q157" s="9">
        <f>IF(COUNT(I157:N157)&gt;0,1,0)</f>
        <v/>
      </c>
      <c r="R157" s="9">
        <f>P157*Q157</f>
        <v/>
      </c>
      <c r="S157" s="14">
        <f>IF(Q157=1,O157/P157,"")</f>
        <v/>
      </c>
      <c r="T157" s="4" t="n"/>
      <c r="U157" s="4" t="n"/>
      <c r="V157" s="4" t="n"/>
      <c r="W157" s="4" t="n"/>
    </row>
    <row r="158">
      <c r="A158" s="9" t="n">
        <v>157</v>
      </c>
      <c r="B158" s="13" t="n">
        <v>46452</v>
      </c>
      <c r="C158" s="9" t="inlineStr">
        <is>
          <t>Sat</t>
        </is>
      </c>
      <c r="D158" s="9" t="n">
        <v>22</v>
      </c>
      <c r="E158" s="9" t="n">
        <v>2</v>
      </c>
      <c r="F158" s="9" t="inlineStr">
        <is>
          <t>Deload + diet break</t>
        </is>
      </c>
      <c r="G158" s="9" t="inlineStr">
        <is>
          <t>Intervals 8 x 1 min hard / 2 min easy, or sport 45-60 min</t>
        </is>
      </c>
      <c r="H158" s="9" t="inlineStr">
        <is>
          <t>Web GIS (deload week: polish)</t>
        </is>
      </c>
      <c r="I158" s="4" t="n"/>
      <c r="J158" s="4" t="n"/>
      <c r="K158" s="4" t="n"/>
      <c r="L158" s="4" t="n"/>
      <c r="M158" s="4" t="n"/>
      <c r="N158" s="15" t="n"/>
      <c r="O158" s="9">
        <f>SUM(I158:M158)+IF(WEEKDAY(B158,2)&lt;=5,N158,0)</f>
        <v/>
      </c>
      <c r="P158" s="9">
        <f>IF(WEEKDAY(B158,2)&lt;=5,6,5)</f>
        <v/>
      </c>
      <c r="Q158" s="9">
        <f>IF(COUNT(I158:N158)&gt;0,1,0)</f>
        <v/>
      </c>
      <c r="R158" s="9">
        <f>P158*Q158</f>
        <v/>
      </c>
      <c r="S158" s="14">
        <f>IF(Q158=1,O158/P158,"")</f>
        <v/>
      </c>
      <c r="T158" s="4" t="n"/>
      <c r="U158" s="4" t="n"/>
      <c r="V158" s="4" t="n"/>
      <c r="W158" s="4" t="n"/>
    </row>
    <row r="159">
      <c r="A159" s="16" t="n">
        <v>158</v>
      </c>
      <c r="B159" s="17" t="n">
        <v>46453</v>
      </c>
      <c r="C159" s="16" t="inlineStr">
        <is>
          <t>Sun</t>
        </is>
      </c>
      <c r="D159" s="9" t="n">
        <v>22</v>
      </c>
      <c r="E159" s="9" t="n">
        <v>2</v>
      </c>
      <c r="F159" s="9" t="inlineStr">
        <is>
          <t>Deload + diet break</t>
        </is>
      </c>
      <c r="G159" s="9" t="inlineStr">
        <is>
          <t>Mobility 20 min + weekly review</t>
        </is>
      </c>
      <c r="H159" s="9" t="inlineStr">
        <is>
          <t>Web GIS (deload week: polish)</t>
        </is>
      </c>
      <c r="I159" s="4" t="n"/>
      <c r="J159" s="4" t="n"/>
      <c r="K159" s="4" t="n"/>
      <c r="L159" s="4" t="n"/>
      <c r="M159" s="4" t="n"/>
      <c r="N159" s="15" t="n"/>
      <c r="O159" s="9">
        <f>SUM(I159:M159)+IF(WEEKDAY(B159,2)&lt;=5,N159,0)</f>
        <v/>
      </c>
      <c r="P159" s="9">
        <f>IF(WEEKDAY(B159,2)&lt;=5,6,5)</f>
        <v/>
      </c>
      <c r="Q159" s="9">
        <f>IF(COUNT(I159:N159)&gt;0,1,0)</f>
        <v/>
      </c>
      <c r="R159" s="9">
        <f>P159*Q159</f>
        <v/>
      </c>
      <c r="S159" s="14">
        <f>IF(Q159=1,O159/P159,"")</f>
        <v/>
      </c>
      <c r="T159" s="4" t="n"/>
      <c r="U159" s="4" t="n"/>
      <c r="V159" s="4" t="n"/>
      <c r="W159" s="4" t="n"/>
    </row>
    <row r="160">
      <c r="A160" s="9" t="n">
        <v>159</v>
      </c>
      <c r="B160" s="13" t="n">
        <v>46454</v>
      </c>
      <c r="C160" s="9" t="inlineStr">
        <is>
          <t>Mon</t>
        </is>
      </c>
      <c r="D160" s="9" t="n">
        <v>23</v>
      </c>
      <c r="E160" s="9" t="n">
        <v>2</v>
      </c>
      <c r="F160" s="9" t="inlineStr">
        <is>
          <t>Peak</t>
        </is>
      </c>
      <c r="G160" s="9" t="inlineStr">
        <is>
          <t>Lower A (peak: main lifts 4 x 5-6)</t>
        </is>
      </c>
      <c r="H160" s="9" t="inlineStr">
        <is>
          <t>Capstone 2</t>
        </is>
      </c>
      <c r="I160" s="4" t="n"/>
      <c r="J160" s="4" t="n"/>
      <c r="K160" s="4" t="n"/>
      <c r="L160" s="4" t="n"/>
      <c r="M160" s="4" t="n"/>
      <c r="N160" s="4" t="n"/>
      <c r="O160" s="9">
        <f>SUM(I160:M160)+IF(WEEKDAY(B160,2)&lt;=5,N160,0)</f>
        <v/>
      </c>
      <c r="P160" s="9">
        <f>IF(WEEKDAY(B160,2)&lt;=5,6,5)</f>
        <v/>
      </c>
      <c r="Q160" s="9">
        <f>IF(COUNT(I160:N160)&gt;0,1,0)</f>
        <v/>
      </c>
      <c r="R160" s="9">
        <f>P160*Q160</f>
        <v/>
      </c>
      <c r="S160" s="14">
        <f>IF(Q160=1,O160/P160,"")</f>
        <v/>
      </c>
      <c r="T160" s="4" t="n"/>
      <c r="U160" s="4" t="n"/>
      <c r="V160" s="4" t="n"/>
      <c r="W160" s="4" t="n"/>
    </row>
    <row r="161">
      <c r="A161" s="9" t="n">
        <v>160</v>
      </c>
      <c r="B161" s="13" t="n">
        <v>46455</v>
      </c>
      <c r="C161" s="9" t="inlineStr">
        <is>
          <t>Tue</t>
        </is>
      </c>
      <c r="D161" s="9" t="n">
        <v>23</v>
      </c>
      <c r="E161" s="9" t="n">
        <v>2</v>
      </c>
      <c r="F161" s="9" t="inlineStr">
        <is>
          <t>Peak</t>
        </is>
      </c>
      <c r="G161" s="9" t="inlineStr">
        <is>
          <t>Upper A (peak: main lifts 4 x 5-6)</t>
        </is>
      </c>
      <c r="H161" s="9" t="inlineStr">
        <is>
          <t>Capstone 2</t>
        </is>
      </c>
      <c r="I161" s="4" t="n"/>
      <c r="J161" s="4" t="n"/>
      <c r="K161" s="4" t="n"/>
      <c r="L161" s="4" t="n"/>
      <c r="M161" s="4" t="n"/>
      <c r="N161" s="4" t="n"/>
      <c r="O161" s="9">
        <f>SUM(I161:M161)+IF(WEEKDAY(B161,2)&lt;=5,N161,0)</f>
        <v/>
      </c>
      <c r="P161" s="9">
        <f>IF(WEEKDAY(B161,2)&lt;=5,6,5)</f>
        <v/>
      </c>
      <c r="Q161" s="9">
        <f>IF(COUNT(I161:N161)&gt;0,1,0)</f>
        <v/>
      </c>
      <c r="R161" s="9">
        <f>P161*Q161</f>
        <v/>
      </c>
      <c r="S161" s="14">
        <f>IF(Q161=1,O161/P161,"")</f>
        <v/>
      </c>
      <c r="T161" s="4" t="n"/>
      <c r="U161" s="4" t="n"/>
      <c r="V161" s="4" t="n"/>
      <c r="W161" s="4" t="n"/>
    </row>
    <row r="162">
      <c r="A162" s="9" t="n">
        <v>161</v>
      </c>
      <c r="B162" s="13" t="n">
        <v>46456</v>
      </c>
      <c r="C162" s="9" t="inlineStr">
        <is>
          <t>Wed</t>
        </is>
      </c>
      <c r="D162" s="9" t="n">
        <v>23</v>
      </c>
      <c r="E162" s="9" t="n">
        <v>2</v>
      </c>
      <c r="F162" s="9" t="inlineStr">
        <is>
          <t>Peak</t>
        </is>
      </c>
      <c r="G162" s="9" t="inlineStr">
        <is>
          <t>Zone 2 cardio 40 min</t>
        </is>
      </c>
      <c r="H162" s="9" t="inlineStr">
        <is>
          <t>Capstone 2</t>
        </is>
      </c>
      <c r="I162" s="4" t="n"/>
      <c r="J162" s="4" t="n"/>
      <c r="K162" s="4" t="n"/>
      <c r="L162" s="4" t="n"/>
      <c r="M162" s="4" t="n"/>
      <c r="N162" s="4" t="n"/>
      <c r="O162" s="9">
        <f>SUM(I162:M162)+IF(WEEKDAY(B162,2)&lt;=5,N162,0)</f>
        <v/>
      </c>
      <c r="P162" s="9">
        <f>IF(WEEKDAY(B162,2)&lt;=5,6,5)</f>
        <v/>
      </c>
      <c r="Q162" s="9">
        <f>IF(COUNT(I162:N162)&gt;0,1,0)</f>
        <v/>
      </c>
      <c r="R162" s="9">
        <f>P162*Q162</f>
        <v/>
      </c>
      <c r="S162" s="14">
        <f>IF(Q162=1,O162/P162,"")</f>
        <v/>
      </c>
      <c r="T162" s="4" t="n"/>
      <c r="U162" s="4" t="n"/>
      <c r="V162" s="4" t="n"/>
      <c r="W162" s="4" t="n"/>
    </row>
    <row r="163">
      <c r="A163" s="9" t="n">
        <v>162</v>
      </c>
      <c r="B163" s="13" t="n">
        <v>46457</v>
      </c>
      <c r="C163" s="9" t="inlineStr">
        <is>
          <t>Thu</t>
        </is>
      </c>
      <c r="D163" s="9" t="n">
        <v>23</v>
      </c>
      <c r="E163" s="9" t="n">
        <v>2</v>
      </c>
      <c r="F163" s="9" t="inlineStr">
        <is>
          <t>Peak</t>
        </is>
      </c>
      <c r="G163" s="9" t="inlineStr">
        <is>
          <t>Lower B (peak: main lifts 4 x 5-6)</t>
        </is>
      </c>
      <c r="H163" s="9" t="inlineStr">
        <is>
          <t>Capstone 2</t>
        </is>
      </c>
      <c r="I163" s="4" t="n"/>
      <c r="J163" s="4" t="n"/>
      <c r="K163" s="4" t="n"/>
      <c r="L163" s="4" t="n"/>
      <c r="M163" s="4" t="n"/>
      <c r="N163" s="4" t="n"/>
      <c r="O163" s="9">
        <f>SUM(I163:M163)+IF(WEEKDAY(B163,2)&lt;=5,N163,0)</f>
        <v/>
      </c>
      <c r="P163" s="9">
        <f>IF(WEEKDAY(B163,2)&lt;=5,6,5)</f>
        <v/>
      </c>
      <c r="Q163" s="9">
        <f>IF(COUNT(I163:N163)&gt;0,1,0)</f>
        <v/>
      </c>
      <c r="R163" s="9">
        <f>P163*Q163</f>
        <v/>
      </c>
      <c r="S163" s="14">
        <f>IF(Q163=1,O163/P163,"")</f>
        <v/>
      </c>
      <c r="T163" s="4" t="n"/>
      <c r="U163" s="4" t="n"/>
      <c r="V163" s="4" t="n"/>
      <c r="W163" s="4" t="n"/>
    </row>
    <row r="164">
      <c r="A164" s="9" t="n">
        <v>163</v>
      </c>
      <c r="B164" s="13" t="n">
        <v>46458</v>
      </c>
      <c r="C164" s="9" t="inlineStr">
        <is>
          <t>Fri</t>
        </is>
      </c>
      <c r="D164" s="9" t="n">
        <v>23</v>
      </c>
      <c r="E164" s="9" t="n">
        <v>2</v>
      </c>
      <c r="F164" s="9" t="inlineStr">
        <is>
          <t>Peak</t>
        </is>
      </c>
      <c r="G164" s="9" t="inlineStr">
        <is>
          <t>Upper B (peak: main lifts 4 x 5-6)</t>
        </is>
      </c>
      <c r="H164" s="9" t="inlineStr">
        <is>
          <t>Capstone 2</t>
        </is>
      </c>
      <c r="I164" s="4" t="n"/>
      <c r="J164" s="4" t="n"/>
      <c r="K164" s="4" t="n"/>
      <c r="L164" s="4" t="n"/>
      <c r="M164" s="4" t="n"/>
      <c r="N164" s="4" t="n"/>
      <c r="O164" s="9">
        <f>SUM(I164:M164)+IF(WEEKDAY(B164,2)&lt;=5,N164,0)</f>
        <v/>
      </c>
      <c r="P164" s="9">
        <f>IF(WEEKDAY(B164,2)&lt;=5,6,5)</f>
        <v/>
      </c>
      <c r="Q164" s="9">
        <f>IF(COUNT(I164:N164)&gt;0,1,0)</f>
        <v/>
      </c>
      <c r="R164" s="9">
        <f>P164*Q164</f>
        <v/>
      </c>
      <c r="S164" s="14">
        <f>IF(Q164=1,O164/P164,"")</f>
        <v/>
      </c>
      <c r="T164" s="4" t="n"/>
      <c r="U164" s="4" t="n"/>
      <c r="V164" s="4" t="n"/>
      <c r="W164" s="4" t="n"/>
    </row>
    <row r="165">
      <c r="A165" s="9" t="n">
        <v>164</v>
      </c>
      <c r="B165" s="13" t="n">
        <v>46459</v>
      </c>
      <c r="C165" s="9" t="inlineStr">
        <is>
          <t>Sat</t>
        </is>
      </c>
      <c r="D165" s="9" t="n">
        <v>23</v>
      </c>
      <c r="E165" s="9" t="n">
        <v>2</v>
      </c>
      <c r="F165" s="9" t="inlineStr">
        <is>
          <t>Peak</t>
        </is>
      </c>
      <c r="G165" s="9" t="inlineStr">
        <is>
          <t>Intervals 8 x 1 min hard / 2 min easy, or sport 45-60 min</t>
        </is>
      </c>
      <c r="H165" s="9" t="inlineStr">
        <is>
          <t>Capstone 2</t>
        </is>
      </c>
      <c r="I165" s="4" t="n"/>
      <c r="J165" s="4" t="n"/>
      <c r="K165" s="4" t="n"/>
      <c r="L165" s="4" t="n"/>
      <c r="M165" s="4" t="n"/>
      <c r="N165" s="15" t="n"/>
      <c r="O165" s="9">
        <f>SUM(I165:M165)+IF(WEEKDAY(B165,2)&lt;=5,N165,0)</f>
        <v/>
      </c>
      <c r="P165" s="9">
        <f>IF(WEEKDAY(B165,2)&lt;=5,6,5)</f>
        <v/>
      </c>
      <c r="Q165" s="9">
        <f>IF(COUNT(I165:N165)&gt;0,1,0)</f>
        <v/>
      </c>
      <c r="R165" s="9">
        <f>P165*Q165</f>
        <v/>
      </c>
      <c r="S165" s="14">
        <f>IF(Q165=1,O165/P165,"")</f>
        <v/>
      </c>
      <c r="T165" s="4" t="n"/>
      <c r="U165" s="4" t="n"/>
      <c r="V165" s="4" t="n"/>
      <c r="W165" s="4" t="n"/>
    </row>
    <row r="166">
      <c r="A166" s="16" t="n">
        <v>165</v>
      </c>
      <c r="B166" s="17" t="n">
        <v>46460</v>
      </c>
      <c r="C166" s="16" t="inlineStr">
        <is>
          <t>Sun</t>
        </is>
      </c>
      <c r="D166" s="9" t="n">
        <v>23</v>
      </c>
      <c r="E166" s="9" t="n">
        <v>2</v>
      </c>
      <c r="F166" s="9" t="inlineStr">
        <is>
          <t>Peak</t>
        </is>
      </c>
      <c r="G166" s="9" t="inlineStr">
        <is>
          <t>Mobility 20 min + weekly review</t>
        </is>
      </c>
      <c r="H166" s="9" t="inlineStr">
        <is>
          <t>Capstone 2</t>
        </is>
      </c>
      <c r="I166" s="4" t="n"/>
      <c r="J166" s="4" t="n"/>
      <c r="K166" s="4" t="n"/>
      <c r="L166" s="4" t="n"/>
      <c r="M166" s="4" t="n"/>
      <c r="N166" s="15" t="n"/>
      <c r="O166" s="9">
        <f>SUM(I166:M166)+IF(WEEKDAY(B166,2)&lt;=5,N166,0)</f>
        <v/>
      </c>
      <c r="P166" s="9">
        <f>IF(WEEKDAY(B166,2)&lt;=5,6,5)</f>
        <v/>
      </c>
      <c r="Q166" s="9">
        <f>IF(COUNT(I166:N166)&gt;0,1,0)</f>
        <v/>
      </c>
      <c r="R166" s="9">
        <f>P166*Q166</f>
        <v/>
      </c>
      <c r="S166" s="14">
        <f>IF(Q166=1,O166/P166,"")</f>
        <v/>
      </c>
      <c r="T166" s="4" t="n"/>
      <c r="U166" s="4" t="n"/>
      <c r="V166" s="4" t="n"/>
      <c r="W166" s="4" t="n"/>
    </row>
    <row r="167">
      <c r="A167" s="9" t="n">
        <v>166</v>
      </c>
      <c r="B167" s="13" t="n">
        <v>46461</v>
      </c>
      <c r="C167" s="9" t="inlineStr">
        <is>
          <t>Mon</t>
        </is>
      </c>
      <c r="D167" s="9" t="n">
        <v>24</v>
      </c>
      <c r="E167" s="9" t="n">
        <v>2</v>
      </c>
      <c r="F167" s="9" t="inlineStr">
        <is>
          <t>Peak</t>
        </is>
      </c>
      <c r="G167" s="9" t="inlineStr">
        <is>
          <t>Lower A (peak: main lifts 4 x 5-6)</t>
        </is>
      </c>
      <c r="H167" s="9" t="inlineStr">
        <is>
          <t>Capstone 2</t>
        </is>
      </c>
      <c r="I167" s="4" t="n"/>
      <c r="J167" s="4" t="n"/>
      <c r="K167" s="4" t="n"/>
      <c r="L167" s="4" t="n"/>
      <c r="M167" s="4" t="n"/>
      <c r="N167" s="4" t="n"/>
      <c r="O167" s="9">
        <f>SUM(I167:M167)+IF(WEEKDAY(B167,2)&lt;=5,N167,0)</f>
        <v/>
      </c>
      <c r="P167" s="9">
        <f>IF(WEEKDAY(B167,2)&lt;=5,6,5)</f>
        <v/>
      </c>
      <c r="Q167" s="9">
        <f>IF(COUNT(I167:N167)&gt;0,1,0)</f>
        <v/>
      </c>
      <c r="R167" s="9">
        <f>P167*Q167</f>
        <v/>
      </c>
      <c r="S167" s="14">
        <f>IF(Q167=1,O167/P167,"")</f>
        <v/>
      </c>
      <c r="T167" s="4" t="n"/>
      <c r="U167" s="4" t="n"/>
      <c r="V167" s="4" t="n"/>
      <c r="W167" s="4" t="n"/>
    </row>
    <row r="168">
      <c r="A168" s="9" t="n">
        <v>167</v>
      </c>
      <c r="B168" s="13" t="n">
        <v>46462</v>
      </c>
      <c r="C168" s="9" t="inlineStr">
        <is>
          <t>Tue</t>
        </is>
      </c>
      <c r="D168" s="9" t="n">
        <v>24</v>
      </c>
      <c r="E168" s="9" t="n">
        <v>2</v>
      </c>
      <c r="F168" s="9" t="inlineStr">
        <is>
          <t>Peak</t>
        </is>
      </c>
      <c r="G168" s="9" t="inlineStr">
        <is>
          <t>Upper A (peak: main lifts 4 x 5-6)</t>
        </is>
      </c>
      <c r="H168" s="9" t="inlineStr">
        <is>
          <t>Capstone 2</t>
        </is>
      </c>
      <c r="I168" s="4" t="n"/>
      <c r="J168" s="4" t="n"/>
      <c r="K168" s="4" t="n"/>
      <c r="L168" s="4" t="n"/>
      <c r="M168" s="4" t="n"/>
      <c r="N168" s="4" t="n"/>
      <c r="O168" s="9">
        <f>SUM(I168:M168)+IF(WEEKDAY(B168,2)&lt;=5,N168,0)</f>
        <v/>
      </c>
      <c r="P168" s="9">
        <f>IF(WEEKDAY(B168,2)&lt;=5,6,5)</f>
        <v/>
      </c>
      <c r="Q168" s="9">
        <f>IF(COUNT(I168:N168)&gt;0,1,0)</f>
        <v/>
      </c>
      <c r="R168" s="9">
        <f>P168*Q168</f>
        <v/>
      </c>
      <c r="S168" s="14">
        <f>IF(Q168=1,O168/P168,"")</f>
        <v/>
      </c>
      <c r="T168" s="4" t="n"/>
      <c r="U168" s="4" t="n"/>
      <c r="V168" s="4" t="n"/>
      <c r="W168" s="4" t="n"/>
    </row>
    <row r="169">
      <c r="A169" s="9" t="n">
        <v>168</v>
      </c>
      <c r="B169" s="13" t="n">
        <v>46463</v>
      </c>
      <c r="C169" s="9" t="inlineStr">
        <is>
          <t>Wed</t>
        </is>
      </c>
      <c r="D169" s="9" t="n">
        <v>24</v>
      </c>
      <c r="E169" s="9" t="n">
        <v>2</v>
      </c>
      <c r="F169" s="9" t="inlineStr">
        <is>
          <t>Peak</t>
        </is>
      </c>
      <c r="G169" s="9" t="inlineStr">
        <is>
          <t>Zone 2 cardio 40 min</t>
        </is>
      </c>
      <c r="H169" s="9" t="inlineStr">
        <is>
          <t>Capstone 2</t>
        </is>
      </c>
      <c r="I169" s="4" t="n"/>
      <c r="J169" s="4" t="n"/>
      <c r="K169" s="4" t="n"/>
      <c r="L169" s="4" t="n"/>
      <c r="M169" s="4" t="n"/>
      <c r="N169" s="4" t="n"/>
      <c r="O169" s="9">
        <f>SUM(I169:M169)+IF(WEEKDAY(B169,2)&lt;=5,N169,0)</f>
        <v/>
      </c>
      <c r="P169" s="9">
        <f>IF(WEEKDAY(B169,2)&lt;=5,6,5)</f>
        <v/>
      </c>
      <c r="Q169" s="9">
        <f>IF(COUNT(I169:N169)&gt;0,1,0)</f>
        <v/>
      </c>
      <c r="R169" s="9">
        <f>P169*Q169</f>
        <v/>
      </c>
      <c r="S169" s="14">
        <f>IF(Q169=1,O169/P169,"")</f>
        <v/>
      </c>
      <c r="T169" s="4" t="n"/>
      <c r="U169" s="4" t="n"/>
      <c r="V169" s="4" t="n"/>
      <c r="W169" s="4" t="n"/>
    </row>
    <row r="170">
      <c r="A170" s="9" t="n">
        <v>169</v>
      </c>
      <c r="B170" s="13" t="n">
        <v>46464</v>
      </c>
      <c r="C170" s="9" t="inlineStr">
        <is>
          <t>Thu</t>
        </is>
      </c>
      <c r="D170" s="9" t="n">
        <v>24</v>
      </c>
      <c r="E170" s="9" t="n">
        <v>2</v>
      </c>
      <c r="F170" s="9" t="inlineStr">
        <is>
          <t>Peak</t>
        </is>
      </c>
      <c r="G170" s="9" t="inlineStr">
        <is>
          <t>Lower B (peak: main lifts 4 x 5-6)</t>
        </is>
      </c>
      <c r="H170" s="9" t="inlineStr">
        <is>
          <t>Capstone 2</t>
        </is>
      </c>
      <c r="I170" s="4" t="n"/>
      <c r="J170" s="4" t="n"/>
      <c r="K170" s="4" t="n"/>
      <c r="L170" s="4" t="n"/>
      <c r="M170" s="4" t="n"/>
      <c r="N170" s="4" t="n"/>
      <c r="O170" s="9">
        <f>SUM(I170:M170)+IF(WEEKDAY(B170,2)&lt;=5,N170,0)</f>
        <v/>
      </c>
      <c r="P170" s="9">
        <f>IF(WEEKDAY(B170,2)&lt;=5,6,5)</f>
        <v/>
      </c>
      <c r="Q170" s="9">
        <f>IF(COUNT(I170:N170)&gt;0,1,0)</f>
        <v/>
      </c>
      <c r="R170" s="9">
        <f>P170*Q170</f>
        <v/>
      </c>
      <c r="S170" s="14">
        <f>IF(Q170=1,O170/P170,"")</f>
        <v/>
      </c>
      <c r="T170" s="4" t="n"/>
      <c r="U170" s="4" t="n"/>
      <c r="V170" s="4" t="n"/>
      <c r="W170" s="4" t="n"/>
    </row>
    <row r="171">
      <c r="A171" s="9" t="n">
        <v>170</v>
      </c>
      <c r="B171" s="13" t="n">
        <v>46465</v>
      </c>
      <c r="C171" s="9" t="inlineStr">
        <is>
          <t>Fri</t>
        </is>
      </c>
      <c r="D171" s="9" t="n">
        <v>24</v>
      </c>
      <c r="E171" s="9" t="n">
        <v>2</v>
      </c>
      <c r="F171" s="9" t="inlineStr">
        <is>
          <t>Peak</t>
        </is>
      </c>
      <c r="G171" s="9" t="inlineStr">
        <is>
          <t>Upper B (peak: main lifts 4 x 5-6)</t>
        </is>
      </c>
      <c r="H171" s="9" t="inlineStr">
        <is>
          <t>Capstone 2</t>
        </is>
      </c>
      <c r="I171" s="4" t="n"/>
      <c r="J171" s="4" t="n"/>
      <c r="K171" s="4" t="n"/>
      <c r="L171" s="4" t="n"/>
      <c r="M171" s="4" t="n"/>
      <c r="N171" s="4" t="n"/>
      <c r="O171" s="9">
        <f>SUM(I171:M171)+IF(WEEKDAY(B171,2)&lt;=5,N171,0)</f>
        <v/>
      </c>
      <c r="P171" s="9">
        <f>IF(WEEKDAY(B171,2)&lt;=5,6,5)</f>
        <v/>
      </c>
      <c r="Q171" s="9">
        <f>IF(COUNT(I171:N171)&gt;0,1,0)</f>
        <v/>
      </c>
      <c r="R171" s="9">
        <f>P171*Q171</f>
        <v/>
      </c>
      <c r="S171" s="14">
        <f>IF(Q171=1,O171/P171,"")</f>
        <v/>
      </c>
      <c r="T171" s="4" t="n"/>
      <c r="U171" s="4" t="n"/>
      <c r="V171" s="4" t="n"/>
      <c r="W171" s="4" t="n"/>
    </row>
    <row r="172">
      <c r="A172" s="9" t="n">
        <v>171</v>
      </c>
      <c r="B172" s="13" t="n">
        <v>46466</v>
      </c>
      <c r="C172" s="9" t="inlineStr">
        <is>
          <t>Sat</t>
        </is>
      </c>
      <c r="D172" s="9" t="n">
        <v>24</v>
      </c>
      <c r="E172" s="9" t="n">
        <v>2</v>
      </c>
      <c r="F172" s="9" t="inlineStr">
        <is>
          <t>Peak</t>
        </is>
      </c>
      <c r="G172" s="9" t="inlineStr">
        <is>
          <t>Intervals 8 x 1 min hard / 2 min easy, or sport 45-60 min</t>
        </is>
      </c>
      <c r="H172" s="9" t="inlineStr">
        <is>
          <t>Capstone 2</t>
        </is>
      </c>
      <c r="I172" s="4" t="n"/>
      <c r="J172" s="4" t="n"/>
      <c r="K172" s="4" t="n"/>
      <c r="L172" s="4" t="n"/>
      <c r="M172" s="4" t="n"/>
      <c r="N172" s="15" t="n"/>
      <c r="O172" s="9">
        <f>SUM(I172:M172)+IF(WEEKDAY(B172,2)&lt;=5,N172,0)</f>
        <v/>
      </c>
      <c r="P172" s="9">
        <f>IF(WEEKDAY(B172,2)&lt;=5,6,5)</f>
        <v/>
      </c>
      <c r="Q172" s="9">
        <f>IF(COUNT(I172:N172)&gt;0,1,0)</f>
        <v/>
      </c>
      <c r="R172" s="9">
        <f>P172*Q172</f>
        <v/>
      </c>
      <c r="S172" s="14">
        <f>IF(Q172=1,O172/P172,"")</f>
        <v/>
      </c>
      <c r="T172" s="4" t="n"/>
      <c r="U172" s="4" t="n"/>
      <c r="V172" s="4" t="n"/>
      <c r="W172" s="4" t="n"/>
    </row>
    <row r="173">
      <c r="A173" s="16" t="n">
        <v>172</v>
      </c>
      <c r="B173" s="17" t="n">
        <v>46467</v>
      </c>
      <c r="C173" s="16" t="inlineStr">
        <is>
          <t>Sun</t>
        </is>
      </c>
      <c r="D173" s="9" t="n">
        <v>24</v>
      </c>
      <c r="E173" s="9" t="n">
        <v>2</v>
      </c>
      <c r="F173" s="9" t="inlineStr">
        <is>
          <t>Peak</t>
        </is>
      </c>
      <c r="G173" s="9" t="inlineStr">
        <is>
          <t>Mobility 20 min + weekly review</t>
        </is>
      </c>
      <c r="H173" s="9" t="inlineStr">
        <is>
          <t>Capstone 2</t>
        </is>
      </c>
      <c r="I173" s="4" t="n"/>
      <c r="J173" s="4" t="n"/>
      <c r="K173" s="4" t="n"/>
      <c r="L173" s="4" t="n"/>
      <c r="M173" s="4" t="n"/>
      <c r="N173" s="15" t="n"/>
      <c r="O173" s="9">
        <f>SUM(I173:M173)+IF(WEEKDAY(B173,2)&lt;=5,N173,0)</f>
        <v/>
      </c>
      <c r="P173" s="9">
        <f>IF(WEEKDAY(B173,2)&lt;=5,6,5)</f>
        <v/>
      </c>
      <c r="Q173" s="9">
        <f>IF(COUNT(I173:N173)&gt;0,1,0)</f>
        <v/>
      </c>
      <c r="R173" s="9">
        <f>P173*Q173</f>
        <v/>
      </c>
      <c r="S173" s="14">
        <f>IF(Q173=1,O173/P173,"")</f>
        <v/>
      </c>
      <c r="T173" s="4" t="n"/>
      <c r="U173" s="4" t="n"/>
      <c r="V173" s="4" t="n"/>
      <c r="W173" s="4" t="n"/>
    </row>
    <row r="174">
      <c r="A174" s="9" t="n">
        <v>173</v>
      </c>
      <c r="B174" s="13" t="n">
        <v>46468</v>
      </c>
      <c r="C174" s="9" t="inlineStr">
        <is>
          <t>Mon</t>
        </is>
      </c>
      <c r="D174" s="9" t="n">
        <v>25</v>
      </c>
      <c r="E174" s="9" t="n">
        <v>2</v>
      </c>
      <c r="F174" s="9" t="inlineStr">
        <is>
          <t>Peak</t>
        </is>
      </c>
      <c r="G174" s="9" t="inlineStr">
        <is>
          <t>Lower A (peak: main lifts 4 x 5-6)</t>
        </is>
      </c>
      <c r="H174" s="9" t="inlineStr">
        <is>
          <t>Certification prep</t>
        </is>
      </c>
      <c r="I174" s="4" t="n"/>
      <c r="J174" s="4" t="n"/>
      <c r="K174" s="4" t="n"/>
      <c r="L174" s="4" t="n"/>
      <c r="M174" s="4" t="n"/>
      <c r="N174" s="4" t="n"/>
      <c r="O174" s="9">
        <f>SUM(I174:M174)+IF(WEEKDAY(B174,2)&lt;=5,N174,0)</f>
        <v/>
      </c>
      <c r="P174" s="9">
        <f>IF(WEEKDAY(B174,2)&lt;=5,6,5)</f>
        <v/>
      </c>
      <c r="Q174" s="9">
        <f>IF(COUNT(I174:N174)&gt;0,1,0)</f>
        <v/>
      </c>
      <c r="R174" s="9">
        <f>P174*Q174</f>
        <v/>
      </c>
      <c r="S174" s="14">
        <f>IF(Q174=1,O174/P174,"")</f>
        <v/>
      </c>
      <c r="T174" s="4" t="n"/>
      <c r="U174" s="4" t="n"/>
      <c r="V174" s="4" t="n"/>
      <c r="W174" s="4" t="n"/>
    </row>
    <row r="175">
      <c r="A175" s="9" t="n">
        <v>174</v>
      </c>
      <c r="B175" s="13" t="n">
        <v>46469</v>
      </c>
      <c r="C175" s="9" t="inlineStr">
        <is>
          <t>Tue</t>
        </is>
      </c>
      <c r="D175" s="9" t="n">
        <v>25</v>
      </c>
      <c r="E175" s="9" t="n">
        <v>2</v>
      </c>
      <c r="F175" s="9" t="inlineStr">
        <is>
          <t>Peak</t>
        </is>
      </c>
      <c r="G175" s="9" t="inlineStr">
        <is>
          <t>Upper A (peak: main lifts 4 x 5-6)</t>
        </is>
      </c>
      <c r="H175" s="9" t="inlineStr">
        <is>
          <t>Certification prep</t>
        </is>
      </c>
      <c r="I175" s="4" t="n"/>
      <c r="J175" s="4" t="n"/>
      <c r="K175" s="4" t="n"/>
      <c r="L175" s="4" t="n"/>
      <c r="M175" s="4" t="n"/>
      <c r="N175" s="4" t="n"/>
      <c r="O175" s="9">
        <f>SUM(I175:M175)+IF(WEEKDAY(B175,2)&lt;=5,N175,0)</f>
        <v/>
      </c>
      <c r="P175" s="9">
        <f>IF(WEEKDAY(B175,2)&lt;=5,6,5)</f>
        <v/>
      </c>
      <c r="Q175" s="9">
        <f>IF(COUNT(I175:N175)&gt;0,1,0)</f>
        <v/>
      </c>
      <c r="R175" s="9">
        <f>P175*Q175</f>
        <v/>
      </c>
      <c r="S175" s="14">
        <f>IF(Q175=1,O175/P175,"")</f>
        <v/>
      </c>
      <c r="T175" s="4" t="n"/>
      <c r="U175" s="4" t="n"/>
      <c r="V175" s="4" t="n"/>
      <c r="W175" s="4" t="n"/>
    </row>
    <row r="176">
      <c r="A176" s="9" t="n">
        <v>175</v>
      </c>
      <c r="B176" s="13" t="n">
        <v>46470</v>
      </c>
      <c r="C176" s="9" t="inlineStr">
        <is>
          <t>Wed</t>
        </is>
      </c>
      <c r="D176" s="9" t="n">
        <v>25</v>
      </c>
      <c r="E176" s="9" t="n">
        <v>2</v>
      </c>
      <c r="F176" s="9" t="inlineStr">
        <is>
          <t>Peak</t>
        </is>
      </c>
      <c r="G176" s="9" t="inlineStr">
        <is>
          <t>Zone 2 cardio 40 min</t>
        </is>
      </c>
      <c r="H176" s="9" t="inlineStr">
        <is>
          <t>Certification prep</t>
        </is>
      </c>
      <c r="I176" s="4" t="n"/>
      <c r="J176" s="4" t="n"/>
      <c r="K176" s="4" t="n"/>
      <c r="L176" s="4" t="n"/>
      <c r="M176" s="4" t="n"/>
      <c r="N176" s="4" t="n"/>
      <c r="O176" s="9">
        <f>SUM(I176:M176)+IF(WEEKDAY(B176,2)&lt;=5,N176,0)</f>
        <v/>
      </c>
      <c r="P176" s="9">
        <f>IF(WEEKDAY(B176,2)&lt;=5,6,5)</f>
        <v/>
      </c>
      <c r="Q176" s="9">
        <f>IF(COUNT(I176:N176)&gt;0,1,0)</f>
        <v/>
      </c>
      <c r="R176" s="9">
        <f>P176*Q176</f>
        <v/>
      </c>
      <c r="S176" s="14">
        <f>IF(Q176=1,O176/P176,"")</f>
        <v/>
      </c>
      <c r="T176" s="4" t="n"/>
      <c r="U176" s="4" t="n"/>
      <c r="V176" s="4" t="n"/>
      <c r="W176" s="4" t="n"/>
    </row>
    <row r="177">
      <c r="A177" s="9" t="n">
        <v>176</v>
      </c>
      <c r="B177" s="13" t="n">
        <v>46471</v>
      </c>
      <c r="C177" s="9" t="inlineStr">
        <is>
          <t>Thu</t>
        </is>
      </c>
      <c r="D177" s="9" t="n">
        <v>25</v>
      </c>
      <c r="E177" s="9" t="n">
        <v>2</v>
      </c>
      <c r="F177" s="9" t="inlineStr">
        <is>
          <t>Peak</t>
        </is>
      </c>
      <c r="G177" s="9" t="inlineStr">
        <is>
          <t>Lower B (peak: main lifts 4 x 5-6)</t>
        </is>
      </c>
      <c r="H177" s="9" t="inlineStr">
        <is>
          <t>Certification prep</t>
        </is>
      </c>
      <c r="I177" s="4" t="n"/>
      <c r="J177" s="4" t="n"/>
      <c r="K177" s="4" t="n"/>
      <c r="L177" s="4" t="n"/>
      <c r="M177" s="4" t="n"/>
      <c r="N177" s="4" t="n"/>
      <c r="O177" s="9">
        <f>SUM(I177:M177)+IF(WEEKDAY(B177,2)&lt;=5,N177,0)</f>
        <v/>
      </c>
      <c r="P177" s="9">
        <f>IF(WEEKDAY(B177,2)&lt;=5,6,5)</f>
        <v/>
      </c>
      <c r="Q177" s="9">
        <f>IF(COUNT(I177:N177)&gt;0,1,0)</f>
        <v/>
      </c>
      <c r="R177" s="9">
        <f>P177*Q177</f>
        <v/>
      </c>
      <c r="S177" s="14">
        <f>IF(Q177=1,O177/P177,"")</f>
        <v/>
      </c>
      <c r="T177" s="4" t="n"/>
      <c r="U177" s="4" t="n"/>
      <c r="V177" s="4" t="n"/>
      <c r="W177" s="4" t="n"/>
    </row>
    <row r="178">
      <c r="A178" s="9" t="n">
        <v>177</v>
      </c>
      <c r="B178" s="13" t="n">
        <v>46472</v>
      </c>
      <c r="C178" s="9" t="inlineStr">
        <is>
          <t>Fri</t>
        </is>
      </c>
      <c r="D178" s="9" t="n">
        <v>25</v>
      </c>
      <c r="E178" s="9" t="n">
        <v>2</v>
      </c>
      <c r="F178" s="9" t="inlineStr">
        <is>
          <t>Peak</t>
        </is>
      </c>
      <c r="G178" s="9" t="inlineStr">
        <is>
          <t>Upper B (peak: main lifts 4 x 5-6)</t>
        </is>
      </c>
      <c r="H178" s="9" t="inlineStr">
        <is>
          <t>Certification prep</t>
        </is>
      </c>
      <c r="I178" s="4" t="n"/>
      <c r="J178" s="4" t="n"/>
      <c r="K178" s="4" t="n"/>
      <c r="L178" s="4" t="n"/>
      <c r="M178" s="4" t="n"/>
      <c r="N178" s="4" t="n"/>
      <c r="O178" s="9">
        <f>SUM(I178:M178)+IF(WEEKDAY(B178,2)&lt;=5,N178,0)</f>
        <v/>
      </c>
      <c r="P178" s="9">
        <f>IF(WEEKDAY(B178,2)&lt;=5,6,5)</f>
        <v/>
      </c>
      <c r="Q178" s="9">
        <f>IF(COUNT(I178:N178)&gt;0,1,0)</f>
        <v/>
      </c>
      <c r="R178" s="9">
        <f>P178*Q178</f>
        <v/>
      </c>
      <c r="S178" s="14">
        <f>IF(Q178=1,O178/P178,"")</f>
        <v/>
      </c>
      <c r="T178" s="4" t="n"/>
      <c r="U178" s="4" t="n"/>
      <c r="V178" s="4" t="n"/>
      <c r="W178" s="4" t="n"/>
    </row>
    <row r="179">
      <c r="A179" s="9" t="n">
        <v>178</v>
      </c>
      <c r="B179" s="13" t="n">
        <v>46473</v>
      </c>
      <c r="C179" s="9" t="inlineStr">
        <is>
          <t>Sat</t>
        </is>
      </c>
      <c r="D179" s="9" t="n">
        <v>25</v>
      </c>
      <c r="E179" s="9" t="n">
        <v>2</v>
      </c>
      <c r="F179" s="9" t="inlineStr">
        <is>
          <t>Peak</t>
        </is>
      </c>
      <c r="G179" s="9" t="inlineStr">
        <is>
          <t>Intervals 8 x 1 min hard / 2 min easy, or sport 45-60 min</t>
        </is>
      </c>
      <c r="H179" s="9" t="inlineStr">
        <is>
          <t>Certification prep</t>
        </is>
      </c>
      <c r="I179" s="4" t="n"/>
      <c r="J179" s="4" t="n"/>
      <c r="K179" s="4" t="n"/>
      <c r="L179" s="4" t="n"/>
      <c r="M179" s="4" t="n"/>
      <c r="N179" s="15" t="n"/>
      <c r="O179" s="9">
        <f>SUM(I179:M179)+IF(WEEKDAY(B179,2)&lt;=5,N179,0)</f>
        <v/>
      </c>
      <c r="P179" s="9">
        <f>IF(WEEKDAY(B179,2)&lt;=5,6,5)</f>
        <v/>
      </c>
      <c r="Q179" s="9">
        <f>IF(COUNT(I179:N179)&gt;0,1,0)</f>
        <v/>
      </c>
      <c r="R179" s="9">
        <f>P179*Q179</f>
        <v/>
      </c>
      <c r="S179" s="14">
        <f>IF(Q179=1,O179/P179,"")</f>
        <v/>
      </c>
      <c r="T179" s="4" t="n"/>
      <c r="U179" s="4" t="n"/>
      <c r="V179" s="4" t="n"/>
      <c r="W179" s="4" t="n"/>
    </row>
    <row r="180">
      <c r="A180" s="16" t="n">
        <v>179</v>
      </c>
      <c r="B180" s="17" t="n">
        <v>46474</v>
      </c>
      <c r="C180" s="16" t="inlineStr">
        <is>
          <t>Sun</t>
        </is>
      </c>
      <c r="D180" s="9" t="n">
        <v>25</v>
      </c>
      <c r="E180" s="9" t="n">
        <v>2</v>
      </c>
      <c r="F180" s="9" t="inlineStr">
        <is>
          <t>Peak</t>
        </is>
      </c>
      <c r="G180" s="9" t="inlineStr">
        <is>
          <t>Mobility 20 min + weekly review</t>
        </is>
      </c>
      <c r="H180" s="9" t="inlineStr">
        <is>
          <t>Certification prep</t>
        </is>
      </c>
      <c r="I180" s="4" t="n"/>
      <c r="J180" s="4" t="n"/>
      <c r="K180" s="4" t="n"/>
      <c r="L180" s="4" t="n"/>
      <c r="M180" s="4" t="n"/>
      <c r="N180" s="15" t="n"/>
      <c r="O180" s="9">
        <f>SUM(I180:M180)+IF(WEEKDAY(B180,2)&lt;=5,N180,0)</f>
        <v/>
      </c>
      <c r="P180" s="9">
        <f>IF(WEEKDAY(B180,2)&lt;=5,6,5)</f>
        <v/>
      </c>
      <c r="Q180" s="9">
        <f>IF(COUNT(I180:N180)&gt;0,1,0)</f>
        <v/>
      </c>
      <c r="R180" s="9">
        <f>P180*Q180</f>
        <v/>
      </c>
      <c r="S180" s="14">
        <f>IF(Q180=1,O180/P180,"")</f>
        <v/>
      </c>
      <c r="T180" s="4" t="n"/>
      <c r="U180" s="4" t="n"/>
      <c r="V180" s="4" t="n"/>
      <c r="W180" s="4" t="n"/>
    </row>
    <row r="181">
      <c r="A181" s="9" t="n">
        <v>180</v>
      </c>
      <c r="B181" s="13" t="n">
        <v>46475</v>
      </c>
      <c r="C181" s="9" t="inlineStr">
        <is>
          <t>Mon</t>
        </is>
      </c>
      <c r="D181" s="9" t="n">
        <v>26</v>
      </c>
      <c r="E181" s="9" t="n">
        <v>2</v>
      </c>
      <c r="F181" s="9" t="inlineStr">
        <is>
          <t>Final benchmarks + review</t>
        </is>
      </c>
      <c r="G181" s="9" t="inlineStr">
        <is>
          <t>Final benchmarks 1: back squat 5RM, bench press 5RM, push-ups to failure</t>
        </is>
      </c>
      <c r="H181" s="9" t="inlineStr">
        <is>
          <t>Exam + review</t>
        </is>
      </c>
      <c r="I181" s="4" t="n"/>
      <c r="J181" s="4" t="n"/>
      <c r="K181" s="4" t="n"/>
      <c r="L181" s="4" t="n"/>
      <c r="M181" s="4" t="n"/>
      <c r="N181" s="4" t="n"/>
      <c r="O181" s="9">
        <f>SUM(I181:M181)+IF(WEEKDAY(B181,2)&lt;=5,N181,0)</f>
        <v/>
      </c>
      <c r="P181" s="9">
        <f>IF(WEEKDAY(B181,2)&lt;=5,6,5)</f>
        <v/>
      </c>
      <c r="Q181" s="9">
        <f>IF(COUNT(I181:N181)&gt;0,1,0)</f>
        <v/>
      </c>
      <c r="R181" s="9">
        <f>P181*Q181</f>
        <v/>
      </c>
      <c r="S181" s="14">
        <f>IF(Q181=1,O181/P181,"")</f>
        <v/>
      </c>
      <c r="T181" s="4" t="n"/>
      <c r="U181" s="4" t="n"/>
      <c r="V181" s="4" t="n"/>
      <c r="W181" s="4" t="n"/>
    </row>
    <row r="182">
      <c r="A182" s="9" t="n">
        <v>181</v>
      </c>
      <c r="B182" s="13" t="n">
        <v>46476</v>
      </c>
      <c r="C182" s="9" t="inlineStr">
        <is>
          <t>Tue</t>
        </is>
      </c>
      <c r="D182" s="9" t="n">
        <v>26</v>
      </c>
      <c r="E182" s="9" t="n">
        <v>2</v>
      </c>
      <c r="F182" s="9" t="inlineStr">
        <is>
          <t>Final benchmarks + review</t>
        </is>
      </c>
      <c r="G182" s="9" t="inlineStr">
        <is>
          <t>Upper A (light)</t>
        </is>
      </c>
      <c r="H182" s="9" t="inlineStr">
        <is>
          <t>Exam + review</t>
        </is>
      </c>
      <c r="I182" s="4" t="n"/>
      <c r="J182" s="4" t="n"/>
      <c r="K182" s="4" t="n"/>
      <c r="L182" s="4" t="n"/>
      <c r="M182" s="4" t="n"/>
      <c r="N182" s="4" t="n"/>
      <c r="O182" s="9">
        <f>SUM(I182:M182)+IF(WEEKDAY(B182,2)&lt;=5,N182,0)</f>
        <v/>
      </c>
      <c r="P182" s="9">
        <f>IF(WEEKDAY(B182,2)&lt;=5,6,5)</f>
        <v/>
      </c>
      <c r="Q182" s="9">
        <f>IF(COUNT(I182:N182)&gt;0,1,0)</f>
        <v/>
      </c>
      <c r="R182" s="9">
        <f>P182*Q182</f>
        <v/>
      </c>
      <c r="S182" s="14">
        <f>IF(Q182=1,O182/P182,"")</f>
        <v/>
      </c>
      <c r="T182" s="4" t="n"/>
      <c r="U182" s="4" t="n"/>
      <c r="V182" s="4" t="n"/>
      <c r="W182" s="4" t="n"/>
    </row>
    <row r="183">
      <c r="A183" s="9" t="n">
        <v>182</v>
      </c>
      <c r="B183" s="13" t="n">
        <v>46477</v>
      </c>
      <c r="C183" s="9" t="inlineStr">
        <is>
          <t>Wed</t>
        </is>
      </c>
      <c r="D183" s="9" t="n">
        <v>26</v>
      </c>
      <c r="E183" s="9" t="n">
        <v>2</v>
      </c>
      <c r="F183" s="9" t="inlineStr">
        <is>
          <t>Final benchmarks + review</t>
        </is>
      </c>
      <c r="G183" s="9" t="inlineStr">
        <is>
          <t>Zone 2 + 12-min Cooper test</t>
        </is>
      </c>
      <c r="H183" s="9" t="inlineStr">
        <is>
          <t>Exam + review</t>
        </is>
      </c>
      <c r="I183" s="4" t="n"/>
      <c r="J183" s="4" t="n"/>
      <c r="K183" s="4" t="n"/>
      <c r="L183" s="4" t="n"/>
      <c r="M183" s="4" t="n"/>
      <c r="N183" s="4" t="n"/>
      <c r="O183" s="9">
        <f>SUM(I183:M183)+IF(WEEKDAY(B183,2)&lt;=5,N183,0)</f>
        <v/>
      </c>
      <c r="P183" s="9">
        <f>IF(WEEKDAY(B183,2)&lt;=5,6,5)</f>
        <v/>
      </c>
      <c r="Q183" s="9">
        <f>IF(COUNT(I183:N183)&gt;0,1,0)</f>
        <v/>
      </c>
      <c r="R183" s="9">
        <f>P183*Q183</f>
        <v/>
      </c>
      <c r="S183" s="14">
        <f>IF(Q183=1,O183/P183,"")</f>
        <v/>
      </c>
      <c r="T183" s="4" t="n"/>
      <c r="U183" s="4" t="n"/>
      <c r="V183" s="4" t="n"/>
      <c r="W183" s="4" t="n"/>
    </row>
    <row r="184">
      <c r="A184" s="9" t="n">
        <v>183</v>
      </c>
      <c r="B184" s="13" t="n">
        <v>46478</v>
      </c>
      <c r="C184" s="9" t="inlineStr">
        <is>
          <t>Thu</t>
        </is>
      </c>
      <c r="D184" s="9" t="n">
        <v>26</v>
      </c>
      <c r="E184" s="9" t="n">
        <v>2</v>
      </c>
      <c r="F184" s="9" t="inlineStr">
        <is>
          <t>Final benchmarks + review</t>
        </is>
      </c>
      <c r="G184" s="9" t="inlineStr">
        <is>
          <t>Final benchmarks 2: deadlift 5RM, strict chin-ups, dead hang, plank</t>
        </is>
      </c>
      <c r="H184" s="9" t="inlineStr">
        <is>
          <t>Exam + review</t>
        </is>
      </c>
      <c r="I184" s="4" t="n"/>
      <c r="J184" s="4" t="n"/>
      <c r="K184" s="4" t="n"/>
      <c r="L184" s="4" t="n"/>
      <c r="M184" s="4" t="n"/>
      <c r="N184" s="4" t="n"/>
      <c r="O184" s="9">
        <f>SUM(I184:M184)+IF(WEEKDAY(B184,2)&lt;=5,N184,0)</f>
        <v/>
      </c>
      <c r="P184" s="9">
        <f>IF(WEEKDAY(B184,2)&lt;=5,6,5)</f>
        <v/>
      </c>
      <c r="Q184" s="9">
        <f>IF(COUNT(I184:N184)&gt;0,1,0)</f>
        <v/>
      </c>
      <c r="R184" s="9">
        <f>P184*Q184</f>
        <v/>
      </c>
      <c r="S184" s="14">
        <f>IF(Q184=1,O184/P184,"")</f>
        <v/>
      </c>
      <c r="T184" s="4" t="n"/>
      <c r="U184" s="4" t="n"/>
      <c r="V184" s="4" t="n"/>
      <c r="W184" s="4" t="n"/>
    </row>
    <row r="185">
      <c r="A185" s="9" t="n">
        <v>184</v>
      </c>
      <c r="B185" s="13" t="n">
        <v>46479</v>
      </c>
      <c r="C185" s="9" t="inlineStr">
        <is>
          <t>Fri</t>
        </is>
      </c>
      <c r="D185" s="9" t="n">
        <v>26</v>
      </c>
      <c r="E185" s="9" t="n">
        <v>2</v>
      </c>
      <c r="F185" s="9" t="inlineStr">
        <is>
          <t>Final benchmarks + review</t>
        </is>
      </c>
      <c r="G185" s="9" t="inlineStr">
        <is>
          <t>Upper B (light)</t>
        </is>
      </c>
      <c r="H185" s="9" t="inlineStr">
        <is>
          <t>Exam + review</t>
        </is>
      </c>
      <c r="I185" s="4" t="n"/>
      <c r="J185" s="4" t="n"/>
      <c r="K185" s="4" t="n"/>
      <c r="L185" s="4" t="n"/>
      <c r="M185" s="4" t="n"/>
      <c r="N185" s="4" t="n"/>
      <c r="O185" s="9">
        <f>SUM(I185:M185)+IF(WEEKDAY(B185,2)&lt;=5,N185,0)</f>
        <v/>
      </c>
      <c r="P185" s="9">
        <f>IF(WEEKDAY(B185,2)&lt;=5,6,5)</f>
        <v/>
      </c>
      <c r="Q185" s="9">
        <f>IF(COUNT(I185:N185)&gt;0,1,0)</f>
        <v/>
      </c>
      <c r="R185" s="9">
        <f>P185*Q185</f>
        <v/>
      </c>
      <c r="S185" s="14">
        <f>IF(Q185=1,O185/P185,"")</f>
        <v/>
      </c>
      <c r="T185" s="4" t="n"/>
      <c r="U185" s="4" t="n"/>
      <c r="V185" s="4" t="n"/>
      <c r="W185" s="4" t="n"/>
    </row>
    <row r="186">
      <c r="A186" s="9" t="n">
        <v>185</v>
      </c>
      <c r="B186" s="13" t="n">
        <v>46480</v>
      </c>
      <c r="C186" s="9" t="inlineStr">
        <is>
          <t>Sat</t>
        </is>
      </c>
      <c r="D186" s="9" t="n">
        <v>26</v>
      </c>
      <c r="E186" s="9" t="n">
        <v>2</v>
      </c>
      <c r="F186" s="9" t="inlineStr">
        <is>
          <t>Final benchmarks + review</t>
        </is>
      </c>
      <c r="G186" s="9" t="inlineStr">
        <is>
          <t>Activity 45-60 min</t>
        </is>
      </c>
      <c r="H186" s="9" t="inlineStr">
        <is>
          <t>Exam + review</t>
        </is>
      </c>
      <c r="I186" s="4" t="n"/>
      <c r="J186" s="4" t="n"/>
      <c r="K186" s="4" t="n"/>
      <c r="L186" s="4" t="n"/>
      <c r="M186" s="4" t="n"/>
      <c r="N186" s="15" t="n"/>
      <c r="O186" s="9">
        <f>SUM(I186:M186)+IF(WEEKDAY(B186,2)&lt;=5,N186,0)</f>
        <v/>
      </c>
      <c r="P186" s="9">
        <f>IF(WEEKDAY(B186,2)&lt;=5,6,5)</f>
        <v/>
      </c>
      <c r="Q186" s="9">
        <f>IF(COUNT(I186:N186)&gt;0,1,0)</f>
        <v/>
      </c>
      <c r="R186" s="9">
        <f>P186*Q186</f>
        <v/>
      </c>
      <c r="S186" s="14">
        <f>IF(Q186=1,O186/P186,"")</f>
        <v/>
      </c>
      <c r="T186" s="4" t="n"/>
      <c r="U186" s="4" t="n"/>
      <c r="V186" s="4" t="n"/>
      <c r="W186" s="4" t="n"/>
    </row>
    <row r="187">
      <c r="A187" s="16" t="n">
        <v>186</v>
      </c>
      <c r="B187" s="17" t="n">
        <v>46481</v>
      </c>
      <c r="C187" s="16" t="inlineStr">
        <is>
          <t>Sun</t>
        </is>
      </c>
      <c r="D187" s="9" t="n">
        <v>26</v>
      </c>
      <c r="E187" s="9" t="n">
        <v>2</v>
      </c>
      <c r="F187" s="9" t="inlineStr">
        <is>
          <t>Final benchmarks + review</t>
        </is>
      </c>
      <c r="G187" s="9" t="inlineStr">
        <is>
          <t>Final review + measurements + photos + next 6-month plan</t>
        </is>
      </c>
      <c r="H187" s="9" t="inlineStr">
        <is>
          <t>Exam + review</t>
        </is>
      </c>
      <c r="I187" s="4" t="n"/>
      <c r="J187" s="4" t="n"/>
      <c r="K187" s="4" t="n"/>
      <c r="L187" s="4" t="n"/>
      <c r="M187" s="4" t="n"/>
      <c r="N187" s="15" t="n"/>
      <c r="O187" s="9">
        <f>SUM(I187:M187)+IF(WEEKDAY(B187,2)&lt;=5,N187,0)</f>
        <v/>
      </c>
      <c r="P187" s="9">
        <f>IF(WEEKDAY(B187,2)&lt;=5,6,5)</f>
        <v/>
      </c>
      <c r="Q187" s="9">
        <f>IF(COUNT(I187:N187)&gt;0,1,0)</f>
        <v/>
      </c>
      <c r="R187" s="9">
        <f>P187*Q187</f>
        <v/>
      </c>
      <c r="S187" s="14">
        <f>IF(Q187=1,O187/P187,"")</f>
        <v/>
      </c>
      <c r="T187" s="4" t="n"/>
      <c r="U187" s="4" t="n"/>
      <c r="V187" s="4" t="n"/>
      <c r="W187" s="4" t="n"/>
    </row>
  </sheetData>
  <conditionalFormatting sqref="I2:N187">
    <cfRule type="cellIs" priority="1" operator="equal" dxfId="0">
      <formula>1</formula>
    </cfRule>
    <cfRule type="cellIs" priority="2" operator="equal" dxfId="1">
      <formula>0</formula>
    </cfRule>
  </conditionalFormatting>
  <conditionalFormatting sqref="S2:S187">
    <cfRule type="expression" priority="3" dxfId="0">
      <formula>AND(ISNUMBER(S2),S2&gt;=0.8)</formula>
    </cfRule>
    <cfRule type="expression" priority="4" dxfId="2">
      <formula>AND(ISNUMBER(S2),S2&lt;0.8,S2&gt;=0.6)</formula>
    </cfRule>
    <cfRule type="expression" priority="5" dxfId="1">
      <formula>AND(ISNUMBER(S2),S2&lt;0.6)</formula>
    </cfRule>
  </conditionalFormatting>
  <dataValidations count="1">
    <dataValidation sqref="I2:N187" showDropDown="0" showInputMessage="0" showErrorMessage="0" allowBlank="1" type="list">
      <formula1>"1,0"</formula1>
    </dataValidation>
  </dataValidations>
  <pageMargins left="0.4" right="0.4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6" customWidth="1" min="4" max="4"/>
    <col width="28" customWidth="1" min="5" max="5"/>
    <col width="7" customWidth="1" min="6" max="6"/>
    <col width="10" customWidth="1" min="7" max="7"/>
    <col width="11" customWidth="1" min="8" max="8"/>
    <col width="18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34" customWidth="1" min="19" max="19"/>
  </cols>
  <sheetData>
    <row r="1">
      <c r="A1" s="1" t="inlineStr">
        <is>
          <t>Weekly review (Sundays, 15 minutes)</t>
        </is>
      </c>
    </row>
    <row r="2">
      <c r="A2" s="3" t="inlineStr">
        <is>
          <t>Days logged</t>
        </is>
      </c>
      <c r="B2" s="18">
        <f>SUM(DailyLog!Q2:Q187)</f>
        <v/>
      </c>
    </row>
    <row r="3">
      <c r="A3" s="3" t="inlineStr">
        <is>
          <t>Overall completion to date</t>
        </is>
      </c>
      <c r="B3" s="19">
        <f>IFERROR(SUM(DailyLog!O2:O187)/SUM(DailyLog!R2:R187),"")</f>
        <v/>
      </c>
    </row>
    <row r="4">
      <c r="A4" s="3" t="inlineStr">
        <is>
          <t>Current week (by today's date)</t>
        </is>
      </c>
      <c r="B4" s="18">
        <f>IF(TODAY()&lt;DATE(2026,10,5),0,MIN(26,INT((TODAY()-DATE(2026,10,5))/7)+1))</f>
        <v/>
      </c>
    </row>
    <row r="5">
      <c r="A5" s="3" t="inlineStr">
        <is>
          <t>Weeks at or above 80%</t>
        </is>
      </c>
      <c r="B5" s="18">
        <f>COUNTIF(H8:H34,"&gt;=0.8")</f>
        <v/>
      </c>
    </row>
    <row r="7" ht="45" customHeight="1">
      <c r="A7" s="6" t="inlineStr">
        <is>
          <t>Week</t>
        </is>
      </c>
      <c r="B7" s="6" t="inlineStr">
        <is>
          <t>Start</t>
        </is>
      </c>
      <c r="C7" s="6" t="inlineStr">
        <is>
          <t>End</t>
        </is>
      </c>
      <c r="D7" s="6" t="inlineStr">
        <is>
          <t>Cycle</t>
        </is>
      </c>
      <c r="E7" s="6" t="inlineStr">
        <is>
          <t>Phase</t>
        </is>
      </c>
      <c r="F7" s="6" t="inlineStr">
        <is>
          <t>Done</t>
        </is>
      </c>
      <c r="G7" s="6" t="inlineStr">
        <is>
          <t>Required (logged days)</t>
        </is>
      </c>
      <c r="H7" s="6" t="inlineStr">
        <is>
          <t>Completion %</t>
        </is>
      </c>
      <c r="I7" s="6" t="inlineStr">
        <is>
          <t>Status</t>
        </is>
      </c>
      <c r="J7" s="6" t="inlineStr">
        <is>
          <t>Training sessions (R1 ticks)</t>
        </is>
      </c>
      <c r="K7" s="6" t="inlineStr">
        <is>
          <t>Skill days (R6 ticks)</t>
        </is>
      </c>
      <c r="L7" s="6" t="inlineStr">
        <is>
          <t>Avg sleep (h)</t>
        </is>
      </c>
      <c r="M7" s="6" t="inlineStr">
        <is>
          <t>Avg steps</t>
        </is>
      </c>
      <c r="N7" s="6" t="inlineStr">
        <is>
          <t>Weight (kg)</t>
        </is>
      </c>
      <c r="O7" s="6" t="inlineStr">
        <is>
          <t>Waist (cm)</t>
        </is>
      </c>
      <c r="P7" s="6" t="inlineStr">
        <is>
          <t>Friday commit pushed (Y/N)</t>
        </is>
      </c>
      <c r="Q7" s="6" t="inlineStr">
        <is>
          <t>Energy (1-5)</t>
        </is>
      </c>
      <c r="R7" s="6" t="inlineStr">
        <is>
          <t>Biggest friction</t>
        </is>
      </c>
      <c r="S7" s="6" t="inlineStr">
        <is>
          <t>Adjustment for next week</t>
        </is>
      </c>
    </row>
    <row r="8">
      <c r="A8" s="9" t="n">
        <v>0</v>
      </c>
      <c r="B8" s="13" t="n">
        <v>46296</v>
      </c>
      <c r="C8" s="13" t="n">
        <v>46299</v>
      </c>
      <c r="D8" s="9" t="n">
        <v>1</v>
      </c>
      <c r="E8" s="9" t="inlineStr">
        <is>
          <t>Launch</t>
        </is>
      </c>
      <c r="F8" s="9">
        <f>SUMIFS(DailyLog!$O$2:$O$187,DailyLog!$D$2:$D$187,$A8)</f>
        <v/>
      </c>
      <c r="G8" s="9">
        <f>SUMIFS(DailyLog!$R$2:$R$187,DailyLog!$D$2:$D$187,$A8)</f>
        <v/>
      </c>
      <c r="H8" s="14">
        <f>IF(G8=0,"",F8/G8)</f>
        <v/>
      </c>
      <c r="I8" s="9">
        <f>IF(H8="","",IF(H8&gt;=0.95,"Raise the bar",IF(H8&gt;=0.8,"On track",IF(H8&gt;=0.7,"Watch","Shrink to minimums"))))</f>
        <v/>
      </c>
      <c r="J8" s="9">
        <f>COUNTIFS(DailyLog!$D$2:$D$187,$A8,DailyLog!$I$2:$I$187,1)</f>
        <v/>
      </c>
      <c r="K8" s="9">
        <f>COUNTIFS(DailyLog!$D$2:$D$187,$A8,DailyLog!$N$2:$N$187,1)</f>
        <v/>
      </c>
      <c r="L8" s="20">
        <f>IFERROR(AVERAGEIFS(DailyLog!$U$2:$U$187,DailyLog!$D$2:$D$187,$A8),"")</f>
        <v/>
      </c>
      <c r="M8" s="21">
        <f>IFERROR(AVERAGEIFS(DailyLog!$T$2:$T$187,DailyLog!$D$2:$D$187,$A8),"")</f>
        <v/>
      </c>
      <c r="N8" s="4" t="n"/>
      <c r="O8" s="4" t="n"/>
      <c r="P8" s="4" t="n"/>
      <c r="Q8" s="4" t="n"/>
      <c r="R8" s="22" t="n"/>
      <c r="S8" s="22" t="n"/>
    </row>
    <row r="9">
      <c r="A9" s="9" t="n">
        <v>1</v>
      </c>
      <c r="B9" s="13" t="n">
        <v>46300</v>
      </c>
      <c r="C9" s="13" t="n">
        <v>46306</v>
      </c>
      <c r="D9" s="9" t="n">
        <v>1</v>
      </c>
      <c r="E9" s="9" t="inlineStr">
        <is>
          <t>Foundation (technique)</t>
        </is>
      </c>
      <c r="F9" s="9">
        <f>SUMIFS(DailyLog!$O$2:$O$187,DailyLog!$D$2:$D$187,$A9)</f>
        <v/>
      </c>
      <c r="G9" s="9">
        <f>SUMIFS(DailyLog!$R$2:$R$187,DailyLog!$D$2:$D$187,$A9)</f>
        <v/>
      </c>
      <c r="H9" s="14">
        <f>IF(G9=0,"",F9/G9)</f>
        <v/>
      </c>
      <c r="I9" s="9">
        <f>IF(H9="","",IF(H9&gt;=0.95,"Raise the bar",IF(H9&gt;=0.8,"On track",IF(H9&gt;=0.7,"Watch","Shrink to minimums"))))</f>
        <v/>
      </c>
      <c r="J9" s="9">
        <f>COUNTIFS(DailyLog!$D$2:$D$187,$A9,DailyLog!$I$2:$I$187,1)</f>
        <v/>
      </c>
      <c r="K9" s="9">
        <f>COUNTIFS(DailyLog!$D$2:$D$187,$A9,DailyLog!$N$2:$N$187,1)</f>
        <v/>
      </c>
      <c r="L9" s="20">
        <f>IFERROR(AVERAGEIFS(DailyLog!$U$2:$U$187,DailyLog!$D$2:$D$187,$A9),"")</f>
        <v/>
      </c>
      <c r="M9" s="21">
        <f>IFERROR(AVERAGEIFS(DailyLog!$T$2:$T$187,DailyLog!$D$2:$D$187,$A9),"")</f>
        <v/>
      </c>
      <c r="N9" s="4" t="n"/>
      <c r="O9" s="4" t="n"/>
      <c r="P9" s="4" t="n"/>
      <c r="Q9" s="4" t="n"/>
      <c r="R9" s="22" t="n"/>
      <c r="S9" s="22" t="n"/>
    </row>
    <row r="10">
      <c r="A10" s="9" t="n">
        <v>2</v>
      </c>
      <c r="B10" s="13" t="n">
        <v>46307</v>
      </c>
      <c r="C10" s="13" t="n">
        <v>46313</v>
      </c>
      <c r="D10" s="9" t="n">
        <v>1</v>
      </c>
      <c r="E10" s="9" t="inlineStr">
        <is>
          <t>Foundation (technique)</t>
        </is>
      </c>
      <c r="F10" s="9">
        <f>SUMIFS(DailyLog!$O$2:$O$187,DailyLog!$D$2:$D$187,$A10)</f>
        <v/>
      </c>
      <c r="G10" s="9">
        <f>SUMIFS(DailyLog!$R$2:$R$187,DailyLog!$D$2:$D$187,$A10)</f>
        <v/>
      </c>
      <c r="H10" s="14">
        <f>IF(G10=0,"",F10/G10)</f>
        <v/>
      </c>
      <c r="I10" s="9">
        <f>IF(H10="","",IF(H10&gt;=0.95,"Raise the bar",IF(H10&gt;=0.8,"On track",IF(H10&gt;=0.7,"Watch","Shrink to minimums"))))</f>
        <v/>
      </c>
      <c r="J10" s="9">
        <f>COUNTIFS(DailyLog!$D$2:$D$187,$A10,DailyLog!$I$2:$I$187,1)</f>
        <v/>
      </c>
      <c r="K10" s="9">
        <f>COUNTIFS(DailyLog!$D$2:$D$187,$A10,DailyLog!$N$2:$N$187,1)</f>
        <v/>
      </c>
      <c r="L10" s="20">
        <f>IFERROR(AVERAGEIFS(DailyLog!$U$2:$U$187,DailyLog!$D$2:$D$187,$A10),"")</f>
        <v/>
      </c>
      <c r="M10" s="21">
        <f>IFERROR(AVERAGEIFS(DailyLog!$T$2:$T$187,DailyLog!$D$2:$D$187,$A10),"")</f>
        <v/>
      </c>
      <c r="N10" s="4" t="n"/>
      <c r="O10" s="4" t="n"/>
      <c r="P10" s="4" t="n"/>
      <c r="Q10" s="4" t="n"/>
      <c r="R10" s="22" t="n"/>
      <c r="S10" s="22" t="n"/>
    </row>
    <row r="11">
      <c r="A11" s="9" t="n">
        <v>3</v>
      </c>
      <c r="B11" s="13" t="n">
        <v>46314</v>
      </c>
      <c r="C11" s="13" t="n">
        <v>46320</v>
      </c>
      <c r="D11" s="9" t="n">
        <v>1</v>
      </c>
      <c r="E11" s="9" t="inlineStr">
        <is>
          <t>Build 1</t>
        </is>
      </c>
      <c r="F11" s="9">
        <f>SUMIFS(DailyLog!$O$2:$O$187,DailyLog!$D$2:$D$187,$A11)</f>
        <v/>
      </c>
      <c r="G11" s="9">
        <f>SUMIFS(DailyLog!$R$2:$R$187,DailyLog!$D$2:$D$187,$A11)</f>
        <v/>
      </c>
      <c r="H11" s="14">
        <f>IF(G11=0,"",F11/G11)</f>
        <v/>
      </c>
      <c r="I11" s="9">
        <f>IF(H11="","",IF(H11&gt;=0.95,"Raise the bar",IF(H11&gt;=0.8,"On track",IF(H11&gt;=0.7,"Watch","Shrink to minimums"))))</f>
        <v/>
      </c>
      <c r="J11" s="9">
        <f>COUNTIFS(DailyLog!$D$2:$D$187,$A11,DailyLog!$I$2:$I$187,1)</f>
        <v/>
      </c>
      <c r="K11" s="9">
        <f>COUNTIFS(DailyLog!$D$2:$D$187,$A11,DailyLog!$N$2:$N$187,1)</f>
        <v/>
      </c>
      <c r="L11" s="20">
        <f>IFERROR(AVERAGEIFS(DailyLog!$U$2:$U$187,DailyLog!$D$2:$D$187,$A11),"")</f>
        <v/>
      </c>
      <c r="M11" s="21">
        <f>IFERROR(AVERAGEIFS(DailyLog!$T$2:$T$187,DailyLog!$D$2:$D$187,$A11),"")</f>
        <v/>
      </c>
      <c r="N11" s="4" t="n"/>
      <c r="O11" s="4" t="n"/>
      <c r="P11" s="4" t="n"/>
      <c r="Q11" s="4" t="n"/>
      <c r="R11" s="22" t="n"/>
      <c r="S11" s="22" t="n"/>
    </row>
    <row r="12">
      <c r="A12" s="9" t="n">
        <v>4</v>
      </c>
      <c r="B12" s="13" t="n">
        <v>46321</v>
      </c>
      <c r="C12" s="13" t="n">
        <v>46327</v>
      </c>
      <c r="D12" s="9" t="n">
        <v>1</v>
      </c>
      <c r="E12" s="9" t="inlineStr">
        <is>
          <t>Build 1</t>
        </is>
      </c>
      <c r="F12" s="9">
        <f>SUMIFS(DailyLog!$O$2:$O$187,DailyLog!$D$2:$D$187,$A12)</f>
        <v/>
      </c>
      <c r="G12" s="9">
        <f>SUMIFS(DailyLog!$R$2:$R$187,DailyLog!$D$2:$D$187,$A12)</f>
        <v/>
      </c>
      <c r="H12" s="14">
        <f>IF(G12=0,"",F12/G12)</f>
        <v/>
      </c>
      <c r="I12" s="9">
        <f>IF(H12="","",IF(H12&gt;=0.95,"Raise the bar",IF(H12&gt;=0.8,"On track",IF(H12&gt;=0.7,"Watch","Shrink to minimums"))))</f>
        <v/>
      </c>
      <c r="J12" s="9">
        <f>COUNTIFS(DailyLog!$D$2:$D$187,$A12,DailyLog!$I$2:$I$187,1)</f>
        <v/>
      </c>
      <c r="K12" s="9">
        <f>COUNTIFS(DailyLog!$D$2:$D$187,$A12,DailyLog!$N$2:$N$187,1)</f>
        <v/>
      </c>
      <c r="L12" s="20">
        <f>IFERROR(AVERAGEIFS(DailyLog!$U$2:$U$187,DailyLog!$D$2:$D$187,$A12),"")</f>
        <v/>
      </c>
      <c r="M12" s="21">
        <f>IFERROR(AVERAGEIFS(DailyLog!$T$2:$T$187,DailyLog!$D$2:$D$187,$A12),"")</f>
        <v/>
      </c>
      <c r="N12" s="4" t="n"/>
      <c r="O12" s="4" t="n"/>
      <c r="P12" s="4" t="n"/>
      <c r="Q12" s="4" t="n"/>
      <c r="R12" s="22" t="n"/>
      <c r="S12" s="22" t="n"/>
    </row>
    <row r="13">
      <c r="A13" s="9" t="n">
        <v>5</v>
      </c>
      <c r="B13" s="13" t="n">
        <v>46328</v>
      </c>
      <c r="C13" s="13" t="n">
        <v>46334</v>
      </c>
      <c r="D13" s="9" t="n">
        <v>1</v>
      </c>
      <c r="E13" s="9" t="inlineStr">
        <is>
          <t>Build 1</t>
        </is>
      </c>
      <c r="F13" s="9">
        <f>SUMIFS(DailyLog!$O$2:$O$187,DailyLog!$D$2:$D$187,$A13)</f>
        <v/>
      </c>
      <c r="G13" s="9">
        <f>SUMIFS(DailyLog!$R$2:$R$187,DailyLog!$D$2:$D$187,$A13)</f>
        <v/>
      </c>
      <c r="H13" s="14">
        <f>IF(G13=0,"",F13/G13)</f>
        <v/>
      </c>
      <c r="I13" s="9">
        <f>IF(H13="","",IF(H13&gt;=0.95,"Raise the bar",IF(H13&gt;=0.8,"On track",IF(H13&gt;=0.7,"Watch","Shrink to minimums"))))</f>
        <v/>
      </c>
      <c r="J13" s="9">
        <f>COUNTIFS(DailyLog!$D$2:$D$187,$A13,DailyLog!$I$2:$I$187,1)</f>
        <v/>
      </c>
      <c r="K13" s="9">
        <f>COUNTIFS(DailyLog!$D$2:$D$187,$A13,DailyLog!$N$2:$N$187,1)</f>
        <v/>
      </c>
      <c r="L13" s="20">
        <f>IFERROR(AVERAGEIFS(DailyLog!$U$2:$U$187,DailyLog!$D$2:$D$187,$A13),"")</f>
        <v/>
      </c>
      <c r="M13" s="21">
        <f>IFERROR(AVERAGEIFS(DailyLog!$T$2:$T$187,DailyLog!$D$2:$D$187,$A13),"")</f>
        <v/>
      </c>
      <c r="N13" s="4" t="n"/>
      <c r="O13" s="4" t="n"/>
      <c r="P13" s="4" t="n"/>
      <c r="Q13" s="4" t="n"/>
      <c r="R13" s="22" t="n"/>
      <c r="S13" s="22" t="n"/>
    </row>
    <row r="14">
      <c r="A14" s="9" t="n">
        <v>6</v>
      </c>
      <c r="B14" s="13" t="n">
        <v>46335</v>
      </c>
      <c r="C14" s="13" t="n">
        <v>46341</v>
      </c>
      <c r="D14" s="9" t="n">
        <v>1</v>
      </c>
      <c r="E14" s="9" t="inlineStr">
        <is>
          <t>Build 1</t>
        </is>
      </c>
      <c r="F14" s="9">
        <f>SUMIFS(DailyLog!$O$2:$O$187,DailyLog!$D$2:$D$187,$A14)</f>
        <v/>
      </c>
      <c r="G14" s="9">
        <f>SUMIFS(DailyLog!$R$2:$R$187,DailyLog!$D$2:$D$187,$A14)</f>
        <v/>
      </c>
      <c r="H14" s="14">
        <f>IF(G14=0,"",F14/G14)</f>
        <v/>
      </c>
      <c r="I14" s="9">
        <f>IF(H14="","",IF(H14&gt;=0.95,"Raise the bar",IF(H14&gt;=0.8,"On track",IF(H14&gt;=0.7,"Watch","Shrink to minimums"))))</f>
        <v/>
      </c>
      <c r="J14" s="9">
        <f>COUNTIFS(DailyLog!$D$2:$D$187,$A14,DailyLog!$I$2:$I$187,1)</f>
        <v/>
      </c>
      <c r="K14" s="9">
        <f>COUNTIFS(DailyLog!$D$2:$D$187,$A14,DailyLog!$N$2:$N$187,1)</f>
        <v/>
      </c>
      <c r="L14" s="20">
        <f>IFERROR(AVERAGEIFS(DailyLog!$U$2:$U$187,DailyLog!$D$2:$D$187,$A14),"")</f>
        <v/>
      </c>
      <c r="M14" s="21">
        <f>IFERROR(AVERAGEIFS(DailyLog!$T$2:$T$187,DailyLog!$D$2:$D$187,$A14),"")</f>
        <v/>
      </c>
      <c r="N14" s="4" t="n"/>
      <c r="O14" s="4" t="n"/>
      <c r="P14" s="4" t="n"/>
      <c r="Q14" s="4" t="n"/>
      <c r="R14" s="22" t="n"/>
      <c r="S14" s="22" t="n"/>
    </row>
    <row r="15">
      <c r="A15" s="9" t="n">
        <v>7</v>
      </c>
      <c r="B15" s="13" t="n">
        <v>46342</v>
      </c>
      <c r="C15" s="13" t="n">
        <v>46348</v>
      </c>
      <c r="D15" s="9" t="n">
        <v>1</v>
      </c>
      <c r="E15" s="9" t="inlineStr">
        <is>
          <t>Build 1</t>
        </is>
      </c>
      <c r="F15" s="9">
        <f>SUMIFS(DailyLog!$O$2:$O$187,DailyLog!$D$2:$D$187,$A15)</f>
        <v/>
      </c>
      <c r="G15" s="9">
        <f>SUMIFS(DailyLog!$R$2:$R$187,DailyLog!$D$2:$D$187,$A15)</f>
        <v/>
      </c>
      <c r="H15" s="14">
        <f>IF(G15=0,"",F15/G15)</f>
        <v/>
      </c>
      <c r="I15" s="9">
        <f>IF(H15="","",IF(H15&gt;=0.95,"Raise the bar",IF(H15&gt;=0.8,"On track",IF(H15&gt;=0.7,"Watch","Shrink to minimums"))))</f>
        <v/>
      </c>
      <c r="J15" s="9">
        <f>COUNTIFS(DailyLog!$D$2:$D$187,$A15,DailyLog!$I$2:$I$187,1)</f>
        <v/>
      </c>
      <c r="K15" s="9">
        <f>COUNTIFS(DailyLog!$D$2:$D$187,$A15,DailyLog!$N$2:$N$187,1)</f>
        <v/>
      </c>
      <c r="L15" s="20">
        <f>IFERROR(AVERAGEIFS(DailyLog!$U$2:$U$187,DailyLog!$D$2:$D$187,$A15),"")</f>
        <v/>
      </c>
      <c r="M15" s="21">
        <f>IFERROR(AVERAGEIFS(DailyLog!$T$2:$T$187,DailyLog!$D$2:$D$187,$A15),"")</f>
        <v/>
      </c>
      <c r="N15" s="4" t="n"/>
      <c r="O15" s="4" t="n"/>
      <c r="P15" s="4" t="n"/>
      <c r="Q15" s="4" t="n"/>
      <c r="R15" s="22" t="n"/>
      <c r="S15" s="22" t="n"/>
    </row>
    <row r="16">
      <c r="A16" s="9" t="n">
        <v>8</v>
      </c>
      <c r="B16" s="13" t="n">
        <v>46349</v>
      </c>
      <c r="C16" s="13" t="n">
        <v>46355</v>
      </c>
      <c r="D16" s="9" t="n">
        <v>1</v>
      </c>
      <c r="E16" s="9" t="inlineStr">
        <is>
          <t>Build 1</t>
        </is>
      </c>
      <c r="F16" s="9">
        <f>SUMIFS(DailyLog!$O$2:$O$187,DailyLog!$D$2:$D$187,$A16)</f>
        <v/>
      </c>
      <c r="G16" s="9">
        <f>SUMIFS(DailyLog!$R$2:$R$187,DailyLog!$D$2:$D$187,$A16)</f>
        <v/>
      </c>
      <c r="H16" s="14">
        <f>IF(G16=0,"",F16/G16)</f>
        <v/>
      </c>
      <c r="I16" s="9">
        <f>IF(H16="","",IF(H16&gt;=0.95,"Raise the bar",IF(H16&gt;=0.8,"On track",IF(H16&gt;=0.7,"Watch","Shrink to minimums"))))</f>
        <v/>
      </c>
      <c r="J16" s="9">
        <f>COUNTIFS(DailyLog!$D$2:$D$187,$A16,DailyLog!$I$2:$I$187,1)</f>
        <v/>
      </c>
      <c r="K16" s="9">
        <f>COUNTIFS(DailyLog!$D$2:$D$187,$A16,DailyLog!$N$2:$N$187,1)</f>
        <v/>
      </c>
      <c r="L16" s="20">
        <f>IFERROR(AVERAGEIFS(DailyLog!$U$2:$U$187,DailyLog!$D$2:$D$187,$A16),"")</f>
        <v/>
      </c>
      <c r="M16" s="21">
        <f>IFERROR(AVERAGEIFS(DailyLog!$T$2:$T$187,DailyLog!$D$2:$D$187,$A16),"")</f>
        <v/>
      </c>
      <c r="N16" s="4" t="n"/>
      <c r="O16" s="4" t="n"/>
      <c r="P16" s="4" t="n"/>
      <c r="Q16" s="4" t="n"/>
      <c r="R16" s="22" t="n"/>
      <c r="S16" s="22" t="n"/>
    </row>
    <row r="17">
      <c r="A17" s="9" t="n">
        <v>9</v>
      </c>
      <c r="B17" s="13" t="n">
        <v>46356</v>
      </c>
      <c r="C17" s="13" t="n">
        <v>46362</v>
      </c>
      <c r="D17" s="9" t="n">
        <v>1</v>
      </c>
      <c r="E17" s="9" t="inlineStr">
        <is>
          <t>Deload</t>
        </is>
      </c>
      <c r="F17" s="9">
        <f>SUMIFS(DailyLog!$O$2:$O$187,DailyLog!$D$2:$D$187,$A17)</f>
        <v/>
      </c>
      <c r="G17" s="9">
        <f>SUMIFS(DailyLog!$R$2:$R$187,DailyLog!$D$2:$D$187,$A17)</f>
        <v/>
      </c>
      <c r="H17" s="14">
        <f>IF(G17=0,"",F17/G17)</f>
        <v/>
      </c>
      <c r="I17" s="9">
        <f>IF(H17="","",IF(H17&gt;=0.95,"Raise the bar",IF(H17&gt;=0.8,"On track",IF(H17&gt;=0.7,"Watch","Shrink to minimums"))))</f>
        <v/>
      </c>
      <c r="J17" s="9">
        <f>COUNTIFS(DailyLog!$D$2:$D$187,$A17,DailyLog!$I$2:$I$187,1)</f>
        <v/>
      </c>
      <c r="K17" s="9">
        <f>COUNTIFS(DailyLog!$D$2:$D$187,$A17,DailyLog!$N$2:$N$187,1)</f>
        <v/>
      </c>
      <c r="L17" s="20">
        <f>IFERROR(AVERAGEIFS(DailyLog!$U$2:$U$187,DailyLog!$D$2:$D$187,$A17),"")</f>
        <v/>
      </c>
      <c r="M17" s="21">
        <f>IFERROR(AVERAGEIFS(DailyLog!$T$2:$T$187,DailyLog!$D$2:$D$187,$A17),"")</f>
        <v/>
      </c>
      <c r="N17" s="4" t="n"/>
      <c r="O17" s="4" t="n"/>
      <c r="P17" s="4" t="n"/>
      <c r="Q17" s="4" t="n"/>
      <c r="R17" s="22" t="n"/>
      <c r="S17" s="22" t="n"/>
    </row>
    <row r="18">
      <c r="A18" s="9" t="n">
        <v>10</v>
      </c>
      <c r="B18" s="13" t="n">
        <v>46363</v>
      </c>
      <c r="C18" s="13" t="n">
        <v>46369</v>
      </c>
      <c r="D18" s="9" t="n">
        <v>1</v>
      </c>
      <c r="E18" s="9" t="inlineStr">
        <is>
          <t>Build 2 (holiday stress test)</t>
        </is>
      </c>
      <c r="F18" s="9">
        <f>SUMIFS(DailyLog!$O$2:$O$187,DailyLog!$D$2:$D$187,$A18)</f>
        <v/>
      </c>
      <c r="G18" s="9">
        <f>SUMIFS(DailyLog!$R$2:$R$187,DailyLog!$D$2:$D$187,$A18)</f>
        <v/>
      </c>
      <c r="H18" s="14">
        <f>IF(G18=0,"",F18/G18)</f>
        <v/>
      </c>
      <c r="I18" s="9">
        <f>IF(H18="","",IF(H18&gt;=0.95,"Raise the bar",IF(H18&gt;=0.8,"On track",IF(H18&gt;=0.7,"Watch","Shrink to minimums"))))</f>
        <v/>
      </c>
      <c r="J18" s="9">
        <f>COUNTIFS(DailyLog!$D$2:$D$187,$A18,DailyLog!$I$2:$I$187,1)</f>
        <v/>
      </c>
      <c r="K18" s="9">
        <f>COUNTIFS(DailyLog!$D$2:$D$187,$A18,DailyLog!$N$2:$N$187,1)</f>
        <v/>
      </c>
      <c r="L18" s="20">
        <f>IFERROR(AVERAGEIFS(DailyLog!$U$2:$U$187,DailyLog!$D$2:$D$187,$A18),"")</f>
        <v/>
      </c>
      <c r="M18" s="21">
        <f>IFERROR(AVERAGEIFS(DailyLog!$T$2:$T$187,DailyLog!$D$2:$D$187,$A18),"")</f>
        <v/>
      </c>
      <c r="N18" s="4" t="n"/>
      <c r="O18" s="4" t="n"/>
      <c r="P18" s="4" t="n"/>
      <c r="Q18" s="4" t="n"/>
      <c r="R18" s="22" t="n"/>
      <c r="S18" s="22" t="n"/>
    </row>
    <row r="19">
      <c r="A19" s="9" t="n">
        <v>11</v>
      </c>
      <c r="B19" s="13" t="n">
        <v>46370</v>
      </c>
      <c r="C19" s="13" t="n">
        <v>46376</v>
      </c>
      <c r="D19" s="9" t="n">
        <v>1</v>
      </c>
      <c r="E19" s="9" t="inlineStr">
        <is>
          <t>Build 2 (holiday stress test)</t>
        </is>
      </c>
      <c r="F19" s="9">
        <f>SUMIFS(DailyLog!$O$2:$O$187,DailyLog!$D$2:$D$187,$A19)</f>
        <v/>
      </c>
      <c r="G19" s="9">
        <f>SUMIFS(DailyLog!$R$2:$R$187,DailyLog!$D$2:$D$187,$A19)</f>
        <v/>
      </c>
      <c r="H19" s="14">
        <f>IF(G19=0,"",F19/G19)</f>
        <v/>
      </c>
      <c r="I19" s="9">
        <f>IF(H19="","",IF(H19&gt;=0.95,"Raise the bar",IF(H19&gt;=0.8,"On track",IF(H19&gt;=0.7,"Watch","Shrink to minimums"))))</f>
        <v/>
      </c>
      <c r="J19" s="9">
        <f>COUNTIFS(DailyLog!$D$2:$D$187,$A19,DailyLog!$I$2:$I$187,1)</f>
        <v/>
      </c>
      <c r="K19" s="9">
        <f>COUNTIFS(DailyLog!$D$2:$D$187,$A19,DailyLog!$N$2:$N$187,1)</f>
        <v/>
      </c>
      <c r="L19" s="20">
        <f>IFERROR(AVERAGEIFS(DailyLog!$U$2:$U$187,DailyLog!$D$2:$D$187,$A19),"")</f>
        <v/>
      </c>
      <c r="M19" s="21">
        <f>IFERROR(AVERAGEIFS(DailyLog!$T$2:$T$187,DailyLog!$D$2:$D$187,$A19),"")</f>
        <v/>
      </c>
      <c r="N19" s="4" t="n"/>
      <c r="O19" s="4" t="n"/>
      <c r="P19" s="4" t="n"/>
      <c r="Q19" s="4" t="n"/>
      <c r="R19" s="22" t="n"/>
      <c r="S19" s="22" t="n"/>
    </row>
    <row r="20">
      <c r="A20" s="9" t="n">
        <v>12</v>
      </c>
      <c r="B20" s="13" t="n">
        <v>46377</v>
      </c>
      <c r="C20" s="13" t="n">
        <v>46383</v>
      </c>
      <c r="D20" s="9" t="n">
        <v>1</v>
      </c>
      <c r="E20" s="9" t="inlineStr">
        <is>
          <t>Build 2 (holiday stress test)</t>
        </is>
      </c>
      <c r="F20" s="9">
        <f>SUMIFS(DailyLog!$O$2:$O$187,DailyLog!$D$2:$D$187,$A20)</f>
        <v/>
      </c>
      <c r="G20" s="9">
        <f>SUMIFS(DailyLog!$R$2:$R$187,DailyLog!$D$2:$D$187,$A20)</f>
        <v/>
      </c>
      <c r="H20" s="14">
        <f>IF(G20=0,"",F20/G20)</f>
        <v/>
      </c>
      <c r="I20" s="9">
        <f>IF(H20="","",IF(H20&gt;=0.95,"Raise the bar",IF(H20&gt;=0.8,"On track",IF(H20&gt;=0.7,"Watch","Shrink to minimums"))))</f>
        <v/>
      </c>
      <c r="J20" s="9">
        <f>COUNTIFS(DailyLog!$D$2:$D$187,$A20,DailyLog!$I$2:$I$187,1)</f>
        <v/>
      </c>
      <c r="K20" s="9">
        <f>COUNTIFS(DailyLog!$D$2:$D$187,$A20,DailyLog!$N$2:$N$187,1)</f>
        <v/>
      </c>
      <c r="L20" s="20">
        <f>IFERROR(AVERAGEIFS(DailyLog!$U$2:$U$187,DailyLog!$D$2:$D$187,$A20),"")</f>
        <v/>
      </c>
      <c r="M20" s="21">
        <f>IFERROR(AVERAGEIFS(DailyLog!$T$2:$T$187,DailyLog!$D$2:$D$187,$A20),"")</f>
        <v/>
      </c>
      <c r="N20" s="4" t="n"/>
      <c r="O20" s="4" t="n"/>
      <c r="P20" s="4" t="n"/>
      <c r="Q20" s="4" t="n"/>
      <c r="R20" s="22" t="n"/>
      <c r="S20" s="22" t="n"/>
    </row>
    <row r="21">
      <c r="A21" s="9" t="n">
        <v>13</v>
      </c>
      <c r="B21" s="13" t="n">
        <v>46384</v>
      </c>
      <c r="C21" s="13" t="n">
        <v>46390</v>
      </c>
      <c r="D21" s="9" t="n">
        <v>1</v>
      </c>
      <c r="E21" s="9" t="inlineStr">
        <is>
          <t>Benchmarks + Cycle 1 review</t>
        </is>
      </c>
      <c r="F21" s="9">
        <f>SUMIFS(DailyLog!$O$2:$O$187,DailyLog!$D$2:$D$187,$A21)</f>
        <v/>
      </c>
      <c r="G21" s="9">
        <f>SUMIFS(DailyLog!$R$2:$R$187,DailyLog!$D$2:$D$187,$A21)</f>
        <v/>
      </c>
      <c r="H21" s="14">
        <f>IF(G21=0,"",F21/G21)</f>
        <v/>
      </c>
      <c r="I21" s="9">
        <f>IF(H21="","",IF(H21&gt;=0.95,"Raise the bar",IF(H21&gt;=0.8,"On track",IF(H21&gt;=0.7,"Watch","Shrink to minimums"))))</f>
        <v/>
      </c>
      <c r="J21" s="9">
        <f>COUNTIFS(DailyLog!$D$2:$D$187,$A21,DailyLog!$I$2:$I$187,1)</f>
        <v/>
      </c>
      <c r="K21" s="9">
        <f>COUNTIFS(DailyLog!$D$2:$D$187,$A21,DailyLog!$N$2:$N$187,1)</f>
        <v/>
      </c>
      <c r="L21" s="20">
        <f>IFERROR(AVERAGEIFS(DailyLog!$U$2:$U$187,DailyLog!$D$2:$D$187,$A21),"")</f>
        <v/>
      </c>
      <c r="M21" s="21">
        <f>IFERROR(AVERAGEIFS(DailyLog!$T$2:$T$187,DailyLog!$D$2:$D$187,$A21),"")</f>
        <v/>
      </c>
      <c r="N21" s="4" t="n"/>
      <c r="O21" s="4" t="n"/>
      <c r="P21" s="4" t="n"/>
      <c r="Q21" s="4" t="n"/>
      <c r="R21" s="22" t="n"/>
      <c r="S21" s="22" t="n"/>
    </row>
    <row r="22">
      <c r="A22" s="9" t="n">
        <v>14</v>
      </c>
      <c r="B22" s="13" t="n">
        <v>46391</v>
      </c>
      <c r="C22" s="13" t="n">
        <v>46397</v>
      </c>
      <c r="D22" s="9" t="n">
        <v>2</v>
      </c>
      <c r="E22" s="9" t="inlineStr">
        <is>
          <t>Cycle 2 block A</t>
        </is>
      </c>
      <c r="F22" s="9">
        <f>SUMIFS(DailyLog!$O$2:$O$187,DailyLog!$D$2:$D$187,$A22)</f>
        <v/>
      </c>
      <c r="G22" s="9">
        <f>SUMIFS(DailyLog!$R$2:$R$187,DailyLog!$D$2:$D$187,$A22)</f>
        <v/>
      </c>
      <c r="H22" s="14">
        <f>IF(G22=0,"",F22/G22)</f>
        <v/>
      </c>
      <c r="I22" s="9">
        <f>IF(H22="","",IF(H22&gt;=0.95,"Raise the bar",IF(H22&gt;=0.8,"On track",IF(H22&gt;=0.7,"Watch","Shrink to minimums"))))</f>
        <v/>
      </c>
      <c r="J22" s="9">
        <f>COUNTIFS(DailyLog!$D$2:$D$187,$A22,DailyLog!$I$2:$I$187,1)</f>
        <v/>
      </c>
      <c r="K22" s="9">
        <f>COUNTIFS(DailyLog!$D$2:$D$187,$A22,DailyLog!$N$2:$N$187,1)</f>
        <v/>
      </c>
      <c r="L22" s="20">
        <f>IFERROR(AVERAGEIFS(DailyLog!$U$2:$U$187,DailyLog!$D$2:$D$187,$A22),"")</f>
        <v/>
      </c>
      <c r="M22" s="21">
        <f>IFERROR(AVERAGEIFS(DailyLog!$T$2:$T$187,DailyLog!$D$2:$D$187,$A22),"")</f>
        <v/>
      </c>
      <c r="N22" s="4" t="n"/>
      <c r="O22" s="4" t="n"/>
      <c r="P22" s="4" t="n"/>
      <c r="Q22" s="4" t="n"/>
      <c r="R22" s="22" t="n"/>
      <c r="S22" s="22" t="n"/>
    </row>
    <row r="23">
      <c r="A23" s="9" t="n">
        <v>15</v>
      </c>
      <c r="B23" s="13" t="n">
        <v>46398</v>
      </c>
      <c r="C23" s="13" t="n">
        <v>46404</v>
      </c>
      <c r="D23" s="9" t="n">
        <v>2</v>
      </c>
      <c r="E23" s="9" t="inlineStr">
        <is>
          <t>Cycle 2 block A</t>
        </is>
      </c>
      <c r="F23" s="9">
        <f>SUMIFS(DailyLog!$O$2:$O$187,DailyLog!$D$2:$D$187,$A23)</f>
        <v/>
      </c>
      <c r="G23" s="9">
        <f>SUMIFS(DailyLog!$R$2:$R$187,DailyLog!$D$2:$D$187,$A23)</f>
        <v/>
      </c>
      <c r="H23" s="14">
        <f>IF(G23=0,"",F23/G23)</f>
        <v/>
      </c>
      <c r="I23" s="9">
        <f>IF(H23="","",IF(H23&gt;=0.95,"Raise the bar",IF(H23&gt;=0.8,"On track",IF(H23&gt;=0.7,"Watch","Shrink to minimums"))))</f>
        <v/>
      </c>
      <c r="J23" s="9">
        <f>COUNTIFS(DailyLog!$D$2:$D$187,$A23,DailyLog!$I$2:$I$187,1)</f>
        <v/>
      </c>
      <c r="K23" s="9">
        <f>COUNTIFS(DailyLog!$D$2:$D$187,$A23,DailyLog!$N$2:$N$187,1)</f>
        <v/>
      </c>
      <c r="L23" s="20">
        <f>IFERROR(AVERAGEIFS(DailyLog!$U$2:$U$187,DailyLog!$D$2:$D$187,$A23),"")</f>
        <v/>
      </c>
      <c r="M23" s="21">
        <f>IFERROR(AVERAGEIFS(DailyLog!$T$2:$T$187,DailyLog!$D$2:$D$187,$A23),"")</f>
        <v/>
      </c>
      <c r="N23" s="4" t="n"/>
      <c r="O23" s="4" t="n"/>
      <c r="P23" s="4" t="n"/>
      <c r="Q23" s="4" t="n"/>
      <c r="R23" s="22" t="n"/>
      <c r="S23" s="22" t="n"/>
    </row>
    <row r="24">
      <c r="A24" s="9" t="n">
        <v>16</v>
      </c>
      <c r="B24" s="13" t="n">
        <v>46405</v>
      </c>
      <c r="C24" s="13" t="n">
        <v>46411</v>
      </c>
      <c r="D24" s="9" t="n">
        <v>2</v>
      </c>
      <c r="E24" s="9" t="inlineStr">
        <is>
          <t>Cycle 2 block A</t>
        </is>
      </c>
      <c r="F24" s="9">
        <f>SUMIFS(DailyLog!$O$2:$O$187,DailyLog!$D$2:$D$187,$A24)</f>
        <v/>
      </c>
      <c r="G24" s="9">
        <f>SUMIFS(DailyLog!$R$2:$R$187,DailyLog!$D$2:$D$187,$A24)</f>
        <v/>
      </c>
      <c r="H24" s="14">
        <f>IF(G24=0,"",F24/G24)</f>
        <v/>
      </c>
      <c r="I24" s="9">
        <f>IF(H24="","",IF(H24&gt;=0.95,"Raise the bar",IF(H24&gt;=0.8,"On track",IF(H24&gt;=0.7,"Watch","Shrink to minimums"))))</f>
        <v/>
      </c>
      <c r="J24" s="9">
        <f>COUNTIFS(DailyLog!$D$2:$D$187,$A24,DailyLog!$I$2:$I$187,1)</f>
        <v/>
      </c>
      <c r="K24" s="9">
        <f>COUNTIFS(DailyLog!$D$2:$D$187,$A24,DailyLog!$N$2:$N$187,1)</f>
        <v/>
      </c>
      <c r="L24" s="20">
        <f>IFERROR(AVERAGEIFS(DailyLog!$U$2:$U$187,DailyLog!$D$2:$D$187,$A24),"")</f>
        <v/>
      </c>
      <c r="M24" s="21">
        <f>IFERROR(AVERAGEIFS(DailyLog!$T$2:$T$187,DailyLog!$D$2:$D$187,$A24),"")</f>
        <v/>
      </c>
      <c r="N24" s="4" t="n"/>
      <c r="O24" s="4" t="n"/>
      <c r="P24" s="4" t="n"/>
      <c r="Q24" s="4" t="n"/>
      <c r="R24" s="22" t="n"/>
      <c r="S24" s="22" t="n"/>
    </row>
    <row r="25">
      <c r="A25" s="9" t="n">
        <v>17</v>
      </c>
      <c r="B25" s="13" t="n">
        <v>46412</v>
      </c>
      <c r="C25" s="13" t="n">
        <v>46418</v>
      </c>
      <c r="D25" s="9" t="n">
        <v>2</v>
      </c>
      <c r="E25" s="9" t="inlineStr">
        <is>
          <t>Cycle 2 block A</t>
        </is>
      </c>
      <c r="F25" s="9">
        <f>SUMIFS(DailyLog!$O$2:$O$187,DailyLog!$D$2:$D$187,$A25)</f>
        <v/>
      </c>
      <c r="G25" s="9">
        <f>SUMIFS(DailyLog!$R$2:$R$187,DailyLog!$D$2:$D$187,$A25)</f>
        <v/>
      </c>
      <c r="H25" s="14">
        <f>IF(G25=0,"",F25/G25)</f>
        <v/>
      </c>
      <c r="I25" s="9">
        <f>IF(H25="","",IF(H25&gt;=0.95,"Raise the bar",IF(H25&gt;=0.8,"On track",IF(H25&gt;=0.7,"Watch","Shrink to minimums"))))</f>
        <v/>
      </c>
      <c r="J25" s="9">
        <f>COUNTIFS(DailyLog!$D$2:$D$187,$A25,DailyLog!$I$2:$I$187,1)</f>
        <v/>
      </c>
      <c r="K25" s="9">
        <f>COUNTIFS(DailyLog!$D$2:$D$187,$A25,DailyLog!$N$2:$N$187,1)</f>
        <v/>
      </c>
      <c r="L25" s="20">
        <f>IFERROR(AVERAGEIFS(DailyLog!$U$2:$U$187,DailyLog!$D$2:$D$187,$A25),"")</f>
        <v/>
      </c>
      <c r="M25" s="21">
        <f>IFERROR(AVERAGEIFS(DailyLog!$T$2:$T$187,DailyLog!$D$2:$D$187,$A25),"")</f>
        <v/>
      </c>
      <c r="N25" s="4" t="n"/>
      <c r="O25" s="4" t="n"/>
      <c r="P25" s="4" t="n"/>
      <c r="Q25" s="4" t="n"/>
      <c r="R25" s="22" t="n"/>
      <c r="S25" s="22" t="n"/>
    </row>
    <row r="26">
      <c r="A26" s="9" t="n">
        <v>18</v>
      </c>
      <c r="B26" s="13" t="n">
        <v>46419</v>
      </c>
      <c r="C26" s="13" t="n">
        <v>46425</v>
      </c>
      <c r="D26" s="9" t="n">
        <v>2</v>
      </c>
      <c r="E26" s="9" t="inlineStr">
        <is>
          <t>Cycle 2 block B</t>
        </is>
      </c>
      <c r="F26" s="9">
        <f>SUMIFS(DailyLog!$O$2:$O$187,DailyLog!$D$2:$D$187,$A26)</f>
        <v/>
      </c>
      <c r="G26" s="9">
        <f>SUMIFS(DailyLog!$R$2:$R$187,DailyLog!$D$2:$D$187,$A26)</f>
        <v/>
      </c>
      <c r="H26" s="14">
        <f>IF(G26=0,"",F26/G26)</f>
        <v/>
      </c>
      <c r="I26" s="9">
        <f>IF(H26="","",IF(H26&gt;=0.95,"Raise the bar",IF(H26&gt;=0.8,"On track",IF(H26&gt;=0.7,"Watch","Shrink to minimums"))))</f>
        <v/>
      </c>
      <c r="J26" s="9">
        <f>COUNTIFS(DailyLog!$D$2:$D$187,$A26,DailyLog!$I$2:$I$187,1)</f>
        <v/>
      </c>
      <c r="K26" s="9">
        <f>COUNTIFS(DailyLog!$D$2:$D$187,$A26,DailyLog!$N$2:$N$187,1)</f>
        <v/>
      </c>
      <c r="L26" s="20">
        <f>IFERROR(AVERAGEIFS(DailyLog!$U$2:$U$187,DailyLog!$D$2:$D$187,$A26),"")</f>
        <v/>
      </c>
      <c r="M26" s="21">
        <f>IFERROR(AVERAGEIFS(DailyLog!$T$2:$T$187,DailyLog!$D$2:$D$187,$A26),"")</f>
        <v/>
      </c>
      <c r="N26" s="4" t="n"/>
      <c r="O26" s="4" t="n"/>
      <c r="P26" s="4" t="n"/>
      <c r="Q26" s="4" t="n"/>
      <c r="R26" s="22" t="n"/>
      <c r="S26" s="22" t="n"/>
    </row>
    <row r="27">
      <c r="A27" s="9" t="n">
        <v>19</v>
      </c>
      <c r="B27" s="13" t="n">
        <v>46426</v>
      </c>
      <c r="C27" s="13" t="n">
        <v>46432</v>
      </c>
      <c r="D27" s="9" t="n">
        <v>2</v>
      </c>
      <c r="E27" s="9" t="inlineStr">
        <is>
          <t>Cycle 2 block B</t>
        </is>
      </c>
      <c r="F27" s="9">
        <f>SUMIFS(DailyLog!$O$2:$O$187,DailyLog!$D$2:$D$187,$A27)</f>
        <v/>
      </c>
      <c r="G27" s="9">
        <f>SUMIFS(DailyLog!$R$2:$R$187,DailyLog!$D$2:$D$187,$A27)</f>
        <v/>
      </c>
      <c r="H27" s="14">
        <f>IF(G27=0,"",F27/G27)</f>
        <v/>
      </c>
      <c r="I27" s="9">
        <f>IF(H27="","",IF(H27&gt;=0.95,"Raise the bar",IF(H27&gt;=0.8,"On track",IF(H27&gt;=0.7,"Watch","Shrink to minimums"))))</f>
        <v/>
      </c>
      <c r="J27" s="9">
        <f>COUNTIFS(DailyLog!$D$2:$D$187,$A27,DailyLog!$I$2:$I$187,1)</f>
        <v/>
      </c>
      <c r="K27" s="9">
        <f>COUNTIFS(DailyLog!$D$2:$D$187,$A27,DailyLog!$N$2:$N$187,1)</f>
        <v/>
      </c>
      <c r="L27" s="20">
        <f>IFERROR(AVERAGEIFS(DailyLog!$U$2:$U$187,DailyLog!$D$2:$D$187,$A27),"")</f>
        <v/>
      </c>
      <c r="M27" s="21">
        <f>IFERROR(AVERAGEIFS(DailyLog!$T$2:$T$187,DailyLog!$D$2:$D$187,$A27),"")</f>
        <v/>
      </c>
      <c r="N27" s="4" t="n"/>
      <c r="O27" s="4" t="n"/>
      <c r="P27" s="4" t="n"/>
      <c r="Q27" s="4" t="n"/>
      <c r="R27" s="22" t="n"/>
      <c r="S27" s="22" t="n"/>
    </row>
    <row r="28">
      <c r="A28" s="9" t="n">
        <v>20</v>
      </c>
      <c r="B28" s="13" t="n">
        <v>46433</v>
      </c>
      <c r="C28" s="13" t="n">
        <v>46439</v>
      </c>
      <c r="D28" s="9" t="n">
        <v>2</v>
      </c>
      <c r="E28" s="9" t="inlineStr">
        <is>
          <t>Cycle 2 block B</t>
        </is>
      </c>
      <c r="F28" s="9">
        <f>SUMIFS(DailyLog!$O$2:$O$187,DailyLog!$D$2:$D$187,$A28)</f>
        <v/>
      </c>
      <c r="G28" s="9">
        <f>SUMIFS(DailyLog!$R$2:$R$187,DailyLog!$D$2:$D$187,$A28)</f>
        <v/>
      </c>
      <c r="H28" s="14">
        <f>IF(G28=0,"",F28/G28)</f>
        <v/>
      </c>
      <c r="I28" s="9">
        <f>IF(H28="","",IF(H28&gt;=0.95,"Raise the bar",IF(H28&gt;=0.8,"On track",IF(H28&gt;=0.7,"Watch","Shrink to minimums"))))</f>
        <v/>
      </c>
      <c r="J28" s="9">
        <f>COUNTIFS(DailyLog!$D$2:$D$187,$A28,DailyLog!$I$2:$I$187,1)</f>
        <v/>
      </c>
      <c r="K28" s="9">
        <f>COUNTIFS(DailyLog!$D$2:$D$187,$A28,DailyLog!$N$2:$N$187,1)</f>
        <v/>
      </c>
      <c r="L28" s="20">
        <f>IFERROR(AVERAGEIFS(DailyLog!$U$2:$U$187,DailyLog!$D$2:$D$187,$A28),"")</f>
        <v/>
      </c>
      <c r="M28" s="21">
        <f>IFERROR(AVERAGEIFS(DailyLog!$T$2:$T$187,DailyLog!$D$2:$D$187,$A28),"")</f>
        <v/>
      </c>
      <c r="N28" s="4" t="n"/>
      <c r="O28" s="4" t="n"/>
      <c r="P28" s="4" t="n"/>
      <c r="Q28" s="4" t="n"/>
      <c r="R28" s="22" t="n"/>
      <c r="S28" s="22" t="n"/>
    </row>
    <row r="29">
      <c r="A29" s="9" t="n">
        <v>21</v>
      </c>
      <c r="B29" s="13" t="n">
        <v>46440</v>
      </c>
      <c r="C29" s="13" t="n">
        <v>46446</v>
      </c>
      <c r="D29" s="9" t="n">
        <v>2</v>
      </c>
      <c r="E29" s="9" t="inlineStr">
        <is>
          <t>Cycle 2 block B</t>
        </is>
      </c>
      <c r="F29" s="9">
        <f>SUMIFS(DailyLog!$O$2:$O$187,DailyLog!$D$2:$D$187,$A29)</f>
        <v/>
      </c>
      <c r="G29" s="9">
        <f>SUMIFS(DailyLog!$R$2:$R$187,DailyLog!$D$2:$D$187,$A29)</f>
        <v/>
      </c>
      <c r="H29" s="14">
        <f>IF(G29=0,"",F29/G29)</f>
        <v/>
      </c>
      <c r="I29" s="9">
        <f>IF(H29="","",IF(H29&gt;=0.95,"Raise the bar",IF(H29&gt;=0.8,"On track",IF(H29&gt;=0.7,"Watch","Shrink to minimums"))))</f>
        <v/>
      </c>
      <c r="J29" s="9">
        <f>COUNTIFS(DailyLog!$D$2:$D$187,$A29,DailyLog!$I$2:$I$187,1)</f>
        <v/>
      </c>
      <c r="K29" s="9">
        <f>COUNTIFS(DailyLog!$D$2:$D$187,$A29,DailyLog!$N$2:$N$187,1)</f>
        <v/>
      </c>
      <c r="L29" s="20">
        <f>IFERROR(AVERAGEIFS(DailyLog!$U$2:$U$187,DailyLog!$D$2:$D$187,$A29),"")</f>
        <v/>
      </c>
      <c r="M29" s="21">
        <f>IFERROR(AVERAGEIFS(DailyLog!$T$2:$T$187,DailyLog!$D$2:$D$187,$A29),"")</f>
        <v/>
      </c>
      <c r="N29" s="4" t="n"/>
      <c r="O29" s="4" t="n"/>
      <c r="P29" s="4" t="n"/>
      <c r="Q29" s="4" t="n"/>
      <c r="R29" s="22" t="n"/>
      <c r="S29" s="22" t="n"/>
    </row>
    <row r="30">
      <c r="A30" s="9" t="n">
        <v>22</v>
      </c>
      <c r="B30" s="13" t="n">
        <v>46447</v>
      </c>
      <c r="C30" s="13" t="n">
        <v>46453</v>
      </c>
      <c r="D30" s="9" t="n">
        <v>2</v>
      </c>
      <c r="E30" s="9" t="inlineStr">
        <is>
          <t>Deload + diet break</t>
        </is>
      </c>
      <c r="F30" s="9">
        <f>SUMIFS(DailyLog!$O$2:$O$187,DailyLog!$D$2:$D$187,$A30)</f>
        <v/>
      </c>
      <c r="G30" s="9">
        <f>SUMIFS(DailyLog!$R$2:$R$187,DailyLog!$D$2:$D$187,$A30)</f>
        <v/>
      </c>
      <c r="H30" s="14">
        <f>IF(G30=0,"",F30/G30)</f>
        <v/>
      </c>
      <c r="I30" s="9">
        <f>IF(H30="","",IF(H30&gt;=0.95,"Raise the bar",IF(H30&gt;=0.8,"On track",IF(H30&gt;=0.7,"Watch","Shrink to minimums"))))</f>
        <v/>
      </c>
      <c r="J30" s="9">
        <f>COUNTIFS(DailyLog!$D$2:$D$187,$A30,DailyLog!$I$2:$I$187,1)</f>
        <v/>
      </c>
      <c r="K30" s="9">
        <f>COUNTIFS(DailyLog!$D$2:$D$187,$A30,DailyLog!$N$2:$N$187,1)</f>
        <v/>
      </c>
      <c r="L30" s="20">
        <f>IFERROR(AVERAGEIFS(DailyLog!$U$2:$U$187,DailyLog!$D$2:$D$187,$A30),"")</f>
        <v/>
      </c>
      <c r="M30" s="21">
        <f>IFERROR(AVERAGEIFS(DailyLog!$T$2:$T$187,DailyLog!$D$2:$D$187,$A30),"")</f>
        <v/>
      </c>
      <c r="N30" s="4" t="n"/>
      <c r="O30" s="4" t="n"/>
      <c r="P30" s="4" t="n"/>
      <c r="Q30" s="4" t="n"/>
      <c r="R30" s="22" t="n"/>
      <c r="S30" s="22" t="n"/>
    </row>
    <row r="31">
      <c r="A31" s="9" t="n">
        <v>23</v>
      </c>
      <c r="B31" s="13" t="n">
        <v>46454</v>
      </c>
      <c r="C31" s="13" t="n">
        <v>46460</v>
      </c>
      <c r="D31" s="9" t="n">
        <v>2</v>
      </c>
      <c r="E31" s="9" t="inlineStr">
        <is>
          <t>Peak</t>
        </is>
      </c>
      <c r="F31" s="9">
        <f>SUMIFS(DailyLog!$O$2:$O$187,DailyLog!$D$2:$D$187,$A31)</f>
        <v/>
      </c>
      <c r="G31" s="9">
        <f>SUMIFS(DailyLog!$R$2:$R$187,DailyLog!$D$2:$D$187,$A31)</f>
        <v/>
      </c>
      <c r="H31" s="14">
        <f>IF(G31=0,"",F31/G31)</f>
        <v/>
      </c>
      <c r="I31" s="9">
        <f>IF(H31="","",IF(H31&gt;=0.95,"Raise the bar",IF(H31&gt;=0.8,"On track",IF(H31&gt;=0.7,"Watch","Shrink to minimums"))))</f>
        <v/>
      </c>
      <c r="J31" s="9">
        <f>COUNTIFS(DailyLog!$D$2:$D$187,$A31,DailyLog!$I$2:$I$187,1)</f>
        <v/>
      </c>
      <c r="K31" s="9">
        <f>COUNTIFS(DailyLog!$D$2:$D$187,$A31,DailyLog!$N$2:$N$187,1)</f>
        <v/>
      </c>
      <c r="L31" s="20">
        <f>IFERROR(AVERAGEIFS(DailyLog!$U$2:$U$187,DailyLog!$D$2:$D$187,$A31),"")</f>
        <v/>
      </c>
      <c r="M31" s="21">
        <f>IFERROR(AVERAGEIFS(DailyLog!$T$2:$T$187,DailyLog!$D$2:$D$187,$A31),"")</f>
        <v/>
      </c>
      <c r="N31" s="4" t="n"/>
      <c r="O31" s="4" t="n"/>
      <c r="P31" s="4" t="n"/>
      <c r="Q31" s="4" t="n"/>
      <c r="R31" s="22" t="n"/>
      <c r="S31" s="22" t="n"/>
    </row>
    <row r="32">
      <c r="A32" s="9" t="n">
        <v>24</v>
      </c>
      <c r="B32" s="13" t="n">
        <v>46461</v>
      </c>
      <c r="C32" s="13" t="n">
        <v>46467</v>
      </c>
      <c r="D32" s="9" t="n">
        <v>2</v>
      </c>
      <c r="E32" s="9" t="inlineStr">
        <is>
          <t>Peak</t>
        </is>
      </c>
      <c r="F32" s="9">
        <f>SUMIFS(DailyLog!$O$2:$O$187,DailyLog!$D$2:$D$187,$A32)</f>
        <v/>
      </c>
      <c r="G32" s="9">
        <f>SUMIFS(DailyLog!$R$2:$R$187,DailyLog!$D$2:$D$187,$A32)</f>
        <v/>
      </c>
      <c r="H32" s="14">
        <f>IF(G32=0,"",F32/G32)</f>
        <v/>
      </c>
      <c r="I32" s="9">
        <f>IF(H32="","",IF(H32&gt;=0.95,"Raise the bar",IF(H32&gt;=0.8,"On track",IF(H32&gt;=0.7,"Watch","Shrink to minimums"))))</f>
        <v/>
      </c>
      <c r="J32" s="9">
        <f>COUNTIFS(DailyLog!$D$2:$D$187,$A32,DailyLog!$I$2:$I$187,1)</f>
        <v/>
      </c>
      <c r="K32" s="9">
        <f>COUNTIFS(DailyLog!$D$2:$D$187,$A32,DailyLog!$N$2:$N$187,1)</f>
        <v/>
      </c>
      <c r="L32" s="20">
        <f>IFERROR(AVERAGEIFS(DailyLog!$U$2:$U$187,DailyLog!$D$2:$D$187,$A32),"")</f>
        <v/>
      </c>
      <c r="M32" s="21">
        <f>IFERROR(AVERAGEIFS(DailyLog!$T$2:$T$187,DailyLog!$D$2:$D$187,$A32),"")</f>
        <v/>
      </c>
      <c r="N32" s="4" t="n"/>
      <c r="O32" s="4" t="n"/>
      <c r="P32" s="4" t="n"/>
      <c r="Q32" s="4" t="n"/>
      <c r="R32" s="22" t="n"/>
      <c r="S32" s="22" t="n"/>
    </row>
    <row r="33">
      <c r="A33" s="9" t="n">
        <v>25</v>
      </c>
      <c r="B33" s="13" t="n">
        <v>46468</v>
      </c>
      <c r="C33" s="13" t="n">
        <v>46474</v>
      </c>
      <c r="D33" s="9" t="n">
        <v>2</v>
      </c>
      <c r="E33" s="9" t="inlineStr">
        <is>
          <t>Peak</t>
        </is>
      </c>
      <c r="F33" s="9">
        <f>SUMIFS(DailyLog!$O$2:$O$187,DailyLog!$D$2:$D$187,$A33)</f>
        <v/>
      </c>
      <c r="G33" s="9">
        <f>SUMIFS(DailyLog!$R$2:$R$187,DailyLog!$D$2:$D$187,$A33)</f>
        <v/>
      </c>
      <c r="H33" s="14">
        <f>IF(G33=0,"",F33/G33)</f>
        <v/>
      </c>
      <c r="I33" s="9">
        <f>IF(H33="","",IF(H33&gt;=0.95,"Raise the bar",IF(H33&gt;=0.8,"On track",IF(H33&gt;=0.7,"Watch","Shrink to minimums"))))</f>
        <v/>
      </c>
      <c r="J33" s="9">
        <f>COUNTIFS(DailyLog!$D$2:$D$187,$A33,DailyLog!$I$2:$I$187,1)</f>
        <v/>
      </c>
      <c r="K33" s="9">
        <f>COUNTIFS(DailyLog!$D$2:$D$187,$A33,DailyLog!$N$2:$N$187,1)</f>
        <v/>
      </c>
      <c r="L33" s="20">
        <f>IFERROR(AVERAGEIFS(DailyLog!$U$2:$U$187,DailyLog!$D$2:$D$187,$A33),"")</f>
        <v/>
      </c>
      <c r="M33" s="21">
        <f>IFERROR(AVERAGEIFS(DailyLog!$T$2:$T$187,DailyLog!$D$2:$D$187,$A33),"")</f>
        <v/>
      </c>
      <c r="N33" s="4" t="n"/>
      <c r="O33" s="4" t="n"/>
      <c r="P33" s="4" t="n"/>
      <c r="Q33" s="4" t="n"/>
      <c r="R33" s="22" t="n"/>
      <c r="S33" s="22" t="n"/>
    </row>
    <row r="34">
      <c r="A34" s="9" t="n">
        <v>26</v>
      </c>
      <c r="B34" s="13" t="n">
        <v>46475</v>
      </c>
      <c r="C34" s="13" t="n">
        <v>46481</v>
      </c>
      <c r="D34" s="9" t="n">
        <v>2</v>
      </c>
      <c r="E34" s="9" t="inlineStr">
        <is>
          <t>Final benchmarks + review</t>
        </is>
      </c>
      <c r="F34" s="9">
        <f>SUMIFS(DailyLog!$O$2:$O$187,DailyLog!$D$2:$D$187,$A34)</f>
        <v/>
      </c>
      <c r="G34" s="9">
        <f>SUMIFS(DailyLog!$R$2:$R$187,DailyLog!$D$2:$D$187,$A34)</f>
        <v/>
      </c>
      <c r="H34" s="14">
        <f>IF(G34=0,"",F34/G34)</f>
        <v/>
      </c>
      <c r="I34" s="9">
        <f>IF(H34="","",IF(H34&gt;=0.95,"Raise the bar",IF(H34&gt;=0.8,"On track",IF(H34&gt;=0.7,"Watch","Shrink to minimums"))))</f>
        <v/>
      </c>
      <c r="J34" s="9">
        <f>COUNTIFS(DailyLog!$D$2:$D$187,$A34,DailyLog!$I$2:$I$187,1)</f>
        <v/>
      </c>
      <c r="K34" s="9">
        <f>COUNTIFS(DailyLog!$D$2:$D$187,$A34,DailyLog!$N$2:$N$187,1)</f>
        <v/>
      </c>
      <c r="L34" s="20">
        <f>IFERROR(AVERAGEIFS(DailyLog!$U$2:$U$187,DailyLog!$D$2:$D$187,$A34),"")</f>
        <v/>
      </c>
      <c r="M34" s="21">
        <f>IFERROR(AVERAGEIFS(DailyLog!$T$2:$T$187,DailyLog!$D$2:$D$187,$A34),"")</f>
        <v/>
      </c>
      <c r="N34" s="4" t="n"/>
      <c r="O34" s="4" t="n"/>
      <c r="P34" s="4" t="n"/>
      <c r="Q34" s="4" t="n"/>
      <c r="R34" s="22" t="n"/>
      <c r="S34" s="22" t="n"/>
    </row>
  </sheetData>
  <conditionalFormatting sqref="H8:H34">
    <cfRule type="expression" priority="1" dxfId="0">
      <formula>AND(ISNUMBER(H8),H8&gt;=0.8)</formula>
    </cfRule>
    <cfRule type="expression" priority="2" dxfId="2">
      <formula>AND(ISNUMBER(H8),H8&lt;0.8,H8&gt;=0.7)</formula>
    </cfRule>
    <cfRule type="expression" priority="3" dxfId="1">
      <formula>AND(ISNUMBER(H8),H8&lt;0.7)</formula>
    </cfRule>
  </conditionalFormatting>
  <dataValidations count="2">
    <dataValidation sqref="P8:P34" showDropDown="0" showInputMessage="0" showErrorMessage="0" allowBlank="1" type="list">
      <formula1>"Y,N"</formula1>
    </dataValidation>
    <dataValidation sqref="Q8:Q34" showDropDown="0" showInputMessage="0" showErrorMessage="0" allowBlank="1" type="list">
      <formula1>"1,2,3,4,5"</formula1>
    </dataValidation>
  </dataValidations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0" customWidth="1" min="10" max="10"/>
    <col width="20" customWidth="1" min="11" max="11"/>
  </cols>
  <sheetData>
    <row r="1">
      <c r="A1" s="1" t="inlineStr">
        <is>
          <t>Benchmarks and measurements</t>
        </is>
      </c>
    </row>
    <row r="2">
      <c r="A2" s="2" t="inlineStr">
        <is>
          <t>Same conditions each time: morning, before breakfast, waist relaxed at the navel. Photos front/side/back in the same light and clothing.</t>
        </is>
      </c>
    </row>
    <row r="4" ht="34" customHeight="1">
      <c r="A4" s="6" t="inlineStr">
        <is>
          <t>Metric</t>
        </is>
      </c>
      <c r="B4" s="6" t="inlineStr">
        <is>
          <t>Unit</t>
        </is>
      </c>
      <c r="C4" s="6" t="inlineStr">
        <is>
          <t>Day 1-4 (1-4 Oct)</t>
        </is>
      </c>
      <c r="D4" s="6" t="inlineStr">
        <is>
          <t>Wk 4 (1 Nov)</t>
        </is>
      </c>
      <c r="E4" s="6" t="inlineStr">
        <is>
          <t>Wk 8 (29 Nov)</t>
        </is>
      </c>
      <c r="F4" s="6" t="inlineStr">
        <is>
          <t>Wk 13 (3 Jan)</t>
        </is>
      </c>
      <c r="G4" s="6" t="inlineStr">
        <is>
          <t>Wk 17 (31 Jan)</t>
        </is>
      </c>
      <c r="H4" s="6" t="inlineStr">
        <is>
          <t>Wk 21 (28 Feb)</t>
        </is>
      </c>
      <c r="I4" s="6" t="inlineStr">
        <is>
          <t>Wk 26 (4 Apr)</t>
        </is>
      </c>
      <c r="J4" s="6" t="inlineStr">
        <is>
          <t>Target Wk 26</t>
        </is>
      </c>
      <c r="K4" s="6" t="inlineStr">
        <is>
          <t>Change (Wk 26 - Day 1)</t>
        </is>
      </c>
    </row>
    <row r="5">
      <c r="A5" s="9" t="inlineStr">
        <is>
          <t>Body weight</t>
        </is>
      </c>
      <c r="B5" s="9" t="inlineStr">
        <is>
          <t>kg</t>
        </is>
      </c>
      <c r="C5" s="4" t="n"/>
      <c r="D5" s="4" t="n"/>
      <c r="E5" s="4" t="n"/>
      <c r="F5" s="4" t="n"/>
      <c r="G5" s="4" t="n"/>
      <c r="H5" s="4" t="n"/>
      <c r="I5" s="4" t="n"/>
      <c r="J5" s="9" t="inlineStr">
        <is>
          <t>67-70</t>
        </is>
      </c>
      <c r="K5" s="9">
        <f>IF(OR(C5="",I5=""),"",I5-C5)</f>
        <v/>
      </c>
    </row>
    <row r="6">
      <c r="A6" s="9" t="inlineStr">
        <is>
          <t>Waist at navel</t>
        </is>
      </c>
      <c r="B6" s="9" t="inlineStr">
        <is>
          <t>cm</t>
        </is>
      </c>
      <c r="C6" s="4" t="n"/>
      <c r="D6" s="4" t="n"/>
      <c r="E6" s="4" t="n"/>
      <c r="F6" s="4" t="n"/>
      <c r="G6" s="4" t="n"/>
      <c r="H6" s="4" t="n"/>
      <c r="I6" s="4" t="n"/>
      <c r="J6" s="9" t="inlineStr">
        <is>
          <t>-8 to -10 and &lt; 87</t>
        </is>
      </c>
      <c r="K6" s="9">
        <f>IF(OR(C6="",I6=""),"",I6-C6)</f>
        <v/>
      </c>
    </row>
    <row r="7">
      <c r="A7" s="9" t="inlineStr">
        <is>
          <t>Chest</t>
        </is>
      </c>
      <c r="B7" s="9" t="inlineStr">
        <is>
          <t>cm</t>
        </is>
      </c>
      <c r="C7" s="4" t="n"/>
      <c r="D7" s="4" t="n"/>
      <c r="E7" s="4" t="n"/>
      <c r="F7" s="4" t="n"/>
      <c r="G7" s="4" t="n"/>
      <c r="H7" s="4" t="n"/>
      <c r="I7" s="4" t="n"/>
      <c r="J7" s="9" t="inlineStr">
        <is>
          <t>-</t>
        </is>
      </c>
      <c r="K7" s="9">
        <f>IF(OR(C7="",I7=""),"",I7-C7)</f>
        <v/>
      </c>
    </row>
    <row r="8">
      <c r="A8" s="9" t="inlineStr">
        <is>
          <t>Hips</t>
        </is>
      </c>
      <c r="B8" s="9" t="inlineStr">
        <is>
          <t>cm</t>
        </is>
      </c>
      <c r="C8" s="4" t="n"/>
      <c r="D8" s="4" t="n"/>
      <c r="E8" s="4" t="n"/>
      <c r="F8" s="4" t="n"/>
      <c r="G8" s="4" t="n"/>
      <c r="H8" s="4" t="n"/>
      <c r="I8" s="4" t="n"/>
      <c r="J8" s="9" t="inlineStr">
        <is>
          <t>-</t>
        </is>
      </c>
      <c r="K8" s="9">
        <f>IF(OR(C8="",I8=""),"",I8-C8)</f>
        <v/>
      </c>
    </row>
    <row r="9">
      <c r="A9" s="9" t="inlineStr">
        <is>
          <t>Resting heart rate</t>
        </is>
      </c>
      <c r="B9" s="9" t="inlineStr">
        <is>
          <t>bpm</t>
        </is>
      </c>
      <c r="C9" s="4" t="n"/>
      <c r="D9" s="4" t="n"/>
      <c r="E9" s="4" t="n"/>
      <c r="F9" s="4" t="n"/>
      <c r="G9" s="4" t="n"/>
      <c r="H9" s="4" t="n"/>
      <c r="I9" s="4" t="n"/>
      <c r="J9" s="9" t="inlineStr">
        <is>
          <t>-5 to -8</t>
        </is>
      </c>
      <c r="K9" s="9">
        <f>IF(OR(C9="",I9=""),"",I9-C9)</f>
        <v/>
      </c>
    </row>
    <row r="10">
      <c r="A10" s="9" t="inlineStr">
        <is>
          <t>Push-ups to failure</t>
        </is>
      </c>
      <c r="B10" s="9" t="inlineStr">
        <is>
          <t>reps</t>
        </is>
      </c>
      <c r="C10" s="4" t="n"/>
      <c r="D10" s="4" t="n"/>
      <c r="E10" s="4" t="n"/>
      <c r="F10" s="4" t="n"/>
      <c r="G10" s="4" t="n"/>
      <c r="H10" s="4" t="n"/>
      <c r="I10" s="4" t="n"/>
      <c r="J10" s="9" t="inlineStr">
        <is>
          <t>+15 (min 25)</t>
        </is>
      </c>
      <c r="K10" s="9">
        <f>IF(OR(C10="",I10=""),"",I10-C10)</f>
        <v/>
      </c>
    </row>
    <row r="11">
      <c r="A11" s="9" t="inlineStr">
        <is>
          <t>Dead hang</t>
        </is>
      </c>
      <c r="B11" s="9" t="inlineStr">
        <is>
          <t>s</t>
        </is>
      </c>
      <c r="C11" s="4" t="n"/>
      <c r="D11" s="4" t="n"/>
      <c r="E11" s="4" t="n"/>
      <c r="F11" s="4" t="n"/>
      <c r="G11" s="4" t="n"/>
      <c r="H11" s="4" t="n"/>
      <c r="I11" s="4" t="n"/>
      <c r="J11" s="9" t="inlineStr">
        <is>
          <t>60-90</t>
        </is>
      </c>
      <c r="K11" s="9">
        <f>IF(OR(C11="",I11=""),"",I11-C11)</f>
        <v/>
      </c>
    </row>
    <row r="12">
      <c r="A12" s="9" t="inlineStr">
        <is>
          <t>Plank</t>
        </is>
      </c>
      <c r="B12" s="9" t="inlineStr">
        <is>
          <t>s</t>
        </is>
      </c>
      <c r="C12" s="4" t="n"/>
      <c r="D12" s="4" t="n"/>
      <c r="E12" s="4" t="n"/>
      <c r="F12" s="4" t="n"/>
      <c r="G12" s="4" t="n"/>
      <c r="H12" s="4" t="n"/>
      <c r="I12" s="4" t="n"/>
      <c r="J12" s="9" t="inlineStr">
        <is>
          <t>90+</t>
        </is>
      </c>
      <c r="K12" s="9">
        <f>IF(OR(C12="",I12=""),"",I12-C12)</f>
        <v/>
      </c>
    </row>
    <row r="13">
      <c r="A13" s="9" t="inlineStr">
        <is>
          <t>Strict chin-ups</t>
        </is>
      </c>
      <c r="B13" s="9" t="inlineStr">
        <is>
          <t>reps</t>
        </is>
      </c>
      <c r="C13" s="4" t="n"/>
      <c r="D13" s="4" t="n"/>
      <c r="E13" s="4" t="n"/>
      <c r="F13" s="4" t="n"/>
      <c r="G13" s="4" t="n"/>
      <c r="H13" s="4" t="n"/>
      <c r="I13" s="4" t="n"/>
      <c r="J13" s="9" t="inlineStr">
        <is>
          <t>5</t>
        </is>
      </c>
      <c r="K13" s="9">
        <f>IF(OR(C13="",I13=""),"",I13-C13)</f>
        <v/>
      </c>
    </row>
    <row r="14">
      <c r="A14" s="9" t="inlineStr">
        <is>
          <t>Goblet squat 10RM (Day 1 only)</t>
        </is>
      </c>
      <c r="B14" s="9" t="inlineStr">
        <is>
          <t>kg</t>
        </is>
      </c>
      <c r="C14" s="4" t="n"/>
      <c r="D14" s="4" t="n"/>
      <c r="E14" s="4" t="n"/>
      <c r="F14" s="4" t="n"/>
      <c r="G14" s="4" t="n"/>
      <c r="H14" s="4" t="n"/>
      <c r="I14" s="4" t="n"/>
      <c r="J14" s="9" t="inlineStr">
        <is>
          <t>-</t>
        </is>
      </c>
      <c r="K14" s="9">
        <f>IF(OR(C14="",I14=""),"",I14-C14)</f>
        <v/>
      </c>
    </row>
    <row r="15">
      <c r="A15" s="9" t="inlineStr">
        <is>
          <t>Back squat 5RM</t>
        </is>
      </c>
      <c r="B15" s="9" t="inlineStr">
        <is>
          <t>kg</t>
        </is>
      </c>
      <c r="C15" s="4" t="n"/>
      <c r="D15" s="4" t="n"/>
      <c r="E15" s="4" t="n"/>
      <c r="F15" s="4" t="n"/>
      <c r="G15" s="4" t="n"/>
      <c r="H15" s="4" t="n"/>
      <c r="I15" s="4" t="n"/>
      <c r="J15" s="9" t="inlineStr">
        <is>
          <t>~70 (1.0 x BW)</t>
        </is>
      </c>
      <c r="K15" s="9">
        <f>IF(OR(C15="",I15=""),"",I15-C15)</f>
        <v/>
      </c>
    </row>
    <row r="16">
      <c r="A16" s="9" t="inlineStr">
        <is>
          <t>Deadlift 5RM</t>
        </is>
      </c>
      <c r="B16" s="9" t="inlineStr">
        <is>
          <t>kg</t>
        </is>
      </c>
      <c r="C16" s="4" t="n"/>
      <c r="D16" s="4" t="n"/>
      <c r="E16" s="4" t="n"/>
      <c r="F16" s="4" t="n"/>
      <c r="G16" s="4" t="n"/>
      <c r="H16" s="4" t="n"/>
      <c r="I16" s="4" t="n"/>
      <c r="J16" s="9" t="inlineStr">
        <is>
          <t>~90 (1.25 x BW)</t>
        </is>
      </c>
      <c r="K16" s="9">
        <f>IF(OR(C16="",I16=""),"",I16-C16)</f>
        <v/>
      </c>
    </row>
    <row r="17">
      <c r="A17" s="9" t="inlineStr">
        <is>
          <t>Bench press 5RM</t>
        </is>
      </c>
      <c r="B17" s="9" t="inlineStr">
        <is>
          <t>kg</t>
        </is>
      </c>
      <c r="C17" s="4" t="n"/>
      <c r="D17" s="4" t="n"/>
      <c r="E17" s="4" t="n"/>
      <c r="F17" s="4" t="n"/>
      <c r="G17" s="4" t="n"/>
      <c r="H17" s="4" t="n"/>
      <c r="I17" s="4" t="n"/>
      <c r="J17" s="9" t="inlineStr">
        <is>
          <t>~52 (0.75 x BW)</t>
        </is>
      </c>
      <c r="K17" s="9">
        <f>IF(OR(C17="",I17=""),"",I17-C17)</f>
        <v/>
      </c>
    </row>
    <row r="18">
      <c r="A18" s="9" t="inlineStr">
        <is>
          <t>12-min Cooper test distance</t>
        </is>
      </c>
      <c r="B18" s="9" t="inlineStr">
        <is>
          <t>m</t>
        </is>
      </c>
      <c r="C18" s="4" t="n"/>
      <c r="D18" s="4" t="n"/>
      <c r="E18" s="4" t="n"/>
      <c r="F18" s="4" t="n"/>
      <c r="G18" s="4" t="n"/>
      <c r="H18" s="4" t="n"/>
      <c r="I18" s="4" t="n"/>
      <c r="J18" s="9" t="inlineStr">
        <is>
          <t>+300 vs Day 1</t>
        </is>
      </c>
      <c r="K18" s="9">
        <f>IF(OR(C18="",I18=""),"",I18-C18)</f>
        <v/>
      </c>
    </row>
    <row r="19">
      <c r="A19" s="9" t="inlineStr">
        <is>
          <t>Average daily steps (last 2 weeks)</t>
        </is>
      </c>
      <c r="B19" s="9" t="inlineStr">
        <is>
          <t>steps</t>
        </is>
      </c>
      <c r="C19" s="4" t="n"/>
      <c r="D19" s="4" t="n"/>
      <c r="E19" s="4" t="n"/>
      <c r="F19" s="4" t="n"/>
      <c r="G19" s="4" t="n"/>
      <c r="H19" s="4" t="n"/>
      <c r="I19" s="4" t="n"/>
      <c r="J19" s="9" t="inlineStr">
        <is>
          <t>10,000</t>
        </is>
      </c>
      <c r="K19" s="9">
        <f>IF(OR(C19="",I19=""),"",I19-C19)</f>
        <v/>
      </c>
    </row>
    <row r="20">
      <c r="A20" s="9" t="inlineStr">
        <is>
          <t>Average sleep (last 2 weeks)</t>
        </is>
      </c>
      <c r="B20" s="9" t="inlineStr">
        <is>
          <t>h</t>
        </is>
      </c>
      <c r="C20" s="4" t="n"/>
      <c r="D20" s="4" t="n"/>
      <c r="E20" s="4" t="n"/>
      <c r="F20" s="4" t="n"/>
      <c r="G20" s="4" t="n"/>
      <c r="H20" s="4" t="n"/>
      <c r="I20" s="4" t="n"/>
      <c r="J20" s="9" t="inlineStr">
        <is>
          <t>7.5</t>
        </is>
      </c>
      <c r="K20" s="9">
        <f>IF(OR(C20="",I20=""),"",I20-C20)</f>
        <v/>
      </c>
    </row>
    <row r="21">
      <c r="A21" s="9" t="inlineStr">
        <is>
          <t>Books finished (cumulative)</t>
        </is>
      </c>
      <c r="B21" s="9" t="inlineStr">
        <is>
          <t>count</t>
        </is>
      </c>
      <c r="C21" s="4" t="n"/>
      <c r="D21" s="4" t="n"/>
      <c r="E21" s="4" t="n"/>
      <c r="F21" s="4" t="n"/>
      <c r="G21" s="4" t="n"/>
      <c r="H21" s="4" t="n"/>
      <c r="I21" s="4" t="n"/>
      <c r="J21" s="9" t="inlineStr">
        <is>
          <t>6</t>
        </is>
      </c>
      <c r="K21" s="9">
        <f>IF(OR(C21="",I21=""),"",I21-C21)</f>
        <v/>
      </c>
    </row>
    <row r="22">
      <c r="A22" s="9" t="inlineStr">
        <is>
          <t>Skill deliverables shipped (cumulative)</t>
        </is>
      </c>
      <c r="B22" s="9" t="inlineStr">
        <is>
          <t>count</t>
        </is>
      </c>
      <c r="C22" s="4" t="n"/>
      <c r="D22" s="4" t="n"/>
      <c r="E22" s="4" t="n"/>
      <c r="F22" s="4" t="n"/>
      <c r="G22" s="4" t="n"/>
      <c r="H22" s="4" t="n"/>
      <c r="I22" s="4" t="n"/>
      <c r="J22" s="9" t="inlineStr">
        <is>
          <t>26</t>
        </is>
      </c>
      <c r="K22" s="9">
        <f>IF(OR(C22="",I22=""),"",I22-C22)</f>
        <v/>
      </c>
    </row>
    <row r="23">
      <c r="A23" s="9" t="inlineStr">
        <is>
          <t>Photos taken (Y/N)</t>
        </is>
      </c>
      <c r="B23" s="9" t="inlineStr">
        <is>
          <t>Y/N</t>
        </is>
      </c>
      <c r="C23" s="4" t="n"/>
      <c r="D23" s="4" t="n"/>
      <c r="E23" s="4" t="n"/>
      <c r="F23" s="4" t="n"/>
      <c r="G23" s="4" t="n"/>
      <c r="H23" s="4" t="n"/>
      <c r="I23" s="4" t="n"/>
      <c r="J23" s="9" t="inlineStr">
        <is>
          <t>Y</t>
        </is>
      </c>
      <c r="K23" s="9" t="n"/>
    </row>
  </sheetData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14" customWidth="1" min="4" max="4"/>
    <col width="44" customWidth="1" min="5" max="5"/>
  </cols>
  <sheetData>
    <row r="1">
      <c r="A1" s="1" t="inlineStr">
        <is>
          <t>Training programme (proposal for the trainer)</t>
        </is>
      </c>
    </row>
    <row r="2">
      <c r="A2" s="2" t="inlineStr">
        <is>
          <t>Structure, progression and grip strategy are what matter; the trainer chooses exact exercises and loads.</t>
        </is>
      </c>
    </row>
    <row r="4" ht="33" customHeight="1">
      <c r="A4" s="23" t="inlineStr">
        <is>
          <t>Cycle 1 (Weeks 1-13): three full-body sessions Mon/Wed/Fri, alternating A/B (W1 = A,B,A; W2 = B,A,B ...). Warm-up 8 min: bike/rower, wrist circles + light wrist flexion/extension, band pull-aparts, 10 bodyweight squats.</t>
        </is>
      </c>
    </row>
    <row r="6">
      <c r="A6" s="3" t="inlineStr">
        <is>
          <t>Session A</t>
        </is>
      </c>
    </row>
    <row r="7">
      <c r="A7" s="6" t="inlineStr">
        <is>
          <t>Slot</t>
        </is>
      </c>
      <c r="B7" s="6" t="inlineStr">
        <is>
          <t>Weeks 1-4</t>
        </is>
      </c>
      <c r="C7" s="6" t="inlineStr">
        <is>
          <t>Weeks 5-13</t>
        </is>
      </c>
      <c r="D7" s="6" t="inlineStr">
        <is>
          <t>Sets x reps</t>
        </is>
      </c>
      <c r="E7" s="6" t="inlineStr">
        <is>
          <t>Notes</t>
        </is>
      </c>
    </row>
    <row r="8" ht="18" customHeight="1">
      <c r="A8" s="7" t="inlineStr">
        <is>
          <t>Squat pattern</t>
        </is>
      </c>
      <c r="B8" s="7" t="inlineStr">
        <is>
          <t>Goblet squat</t>
        </is>
      </c>
      <c r="C8" s="7" t="inlineStr">
        <is>
          <t>Barbell back squat (or leg press)</t>
        </is>
      </c>
      <c r="D8" s="7" t="inlineStr">
        <is>
          <t>3 x 8-12</t>
        </is>
      </c>
      <c r="E8" s="7" t="inlineStr">
        <is>
          <t>Main lower-body driver</t>
        </is>
      </c>
    </row>
    <row r="9" ht="33" customHeight="1">
      <c r="A9" s="7" t="inlineStr">
        <is>
          <t>Horizontal push</t>
        </is>
      </c>
      <c r="B9" s="7" t="inlineStr">
        <is>
          <t>Dumbbell bench press, neutral grip</t>
        </is>
      </c>
      <c r="C9" s="7" t="inlineStr">
        <is>
          <t>Barbell bench from week 9 if wrists are comfortable; stacked wrists</t>
        </is>
      </c>
      <c r="D9" s="7" t="inlineStr">
        <is>
          <t>3 x 8-12</t>
        </is>
      </c>
      <c r="E9" s="7" t="inlineStr">
        <is>
          <t>Neutral grip protects small wrists early</t>
        </is>
      </c>
    </row>
    <row r="10" ht="33" customHeight="1">
      <c r="A10" s="7" t="inlineStr">
        <is>
          <t>Hip hinge</t>
        </is>
      </c>
      <c r="B10" s="7" t="inlineStr">
        <is>
          <t>Dumbbell Romanian deadlift</t>
        </is>
      </c>
      <c r="C10" s="7" t="inlineStr">
        <is>
          <t>Barbell RDL or trap-bar deadlift; straps allowed from week 8</t>
        </is>
      </c>
      <c r="D10" s="7" t="inlineStr">
        <is>
          <t>3 x 8-12</t>
        </is>
      </c>
      <c r="E10" s="7" t="inlineStr">
        <is>
          <t>Grip must never limit the hinge</t>
        </is>
      </c>
    </row>
    <row r="11" ht="18" customHeight="1">
      <c r="A11" s="7" t="inlineStr">
        <is>
          <t>Horizontal pull</t>
        </is>
      </c>
      <c r="B11" s="7" t="inlineStr">
        <is>
          <t>Chest-supported dumbbell row</t>
        </is>
      </c>
      <c r="C11" s="7" t="inlineStr">
        <is>
          <t>Seated cable row</t>
        </is>
      </c>
      <c r="D11" s="7" t="inlineStr">
        <is>
          <t>3 x 10-12</t>
        </is>
      </c>
      <c r="E11" s="7" t="inlineStr">
        <is>
          <t>Posture</t>
        </is>
      </c>
    </row>
    <row r="12" ht="18" customHeight="1">
      <c r="A12" s="7" t="inlineStr">
        <is>
          <t>Core</t>
        </is>
      </c>
      <c r="B12" s="7" t="inlineStr">
        <is>
          <t>Plank</t>
        </is>
      </c>
      <c r="C12" s="7" t="inlineStr">
        <is>
          <t>Long-lever or weighted plank</t>
        </is>
      </c>
      <c r="D12" s="7" t="inlineStr">
        <is>
          <t>3 x 30-60 s</t>
        </is>
      </c>
      <c r="E12" s="7" t="inlineStr"/>
    </row>
    <row r="13" ht="33" customHeight="1">
      <c r="A13" s="7" t="inlineStr">
        <is>
          <t>Grip finisher</t>
        </is>
      </c>
      <c r="B13" s="7" t="inlineStr">
        <is>
          <t>Farmer carry</t>
        </is>
      </c>
      <c r="C13" s="7" t="inlineStr">
        <is>
          <t>Farmer carry, heavier</t>
        </is>
      </c>
      <c r="D13" s="7" t="inlineStr">
        <is>
          <t>3 x 30-40 m</t>
        </is>
      </c>
      <c r="E13" s="7" t="inlineStr">
        <is>
          <t>Forearm size is what changes the look of a small wrist</t>
        </is>
      </c>
    </row>
    <row r="15">
      <c r="A15" s="3" t="inlineStr">
        <is>
          <t>Session B</t>
        </is>
      </c>
    </row>
    <row r="16">
      <c r="A16" s="6" t="inlineStr">
        <is>
          <t>Slot</t>
        </is>
      </c>
      <c r="B16" s="6" t="inlineStr">
        <is>
          <t>Weeks 1-4</t>
        </is>
      </c>
      <c r="C16" s="6" t="inlineStr">
        <is>
          <t>Weeks 5-13</t>
        </is>
      </c>
      <c r="D16" s="6" t="inlineStr">
        <is>
          <t>Sets x reps</t>
        </is>
      </c>
      <c r="E16" s="6" t="inlineStr">
        <is>
          <t>Notes</t>
        </is>
      </c>
    </row>
    <row r="17" ht="18" customHeight="1">
      <c r="A17" s="7" t="inlineStr">
        <is>
          <t>Single-leg</t>
        </is>
      </c>
      <c r="B17" s="7" t="inlineStr">
        <is>
          <t>Split squat or walking lunge</t>
        </is>
      </c>
      <c r="C17" s="7" t="inlineStr">
        <is>
          <t>Bulgarian split squat</t>
        </is>
      </c>
      <c r="D17" s="7" t="inlineStr">
        <is>
          <t>3 x 8-10 / leg</t>
        </is>
      </c>
      <c r="E17" s="7" t="inlineStr"/>
    </row>
    <row r="18" ht="33" customHeight="1">
      <c r="A18" s="7" t="inlineStr">
        <is>
          <t>Vertical pull</t>
        </is>
      </c>
      <c r="B18" s="7" t="inlineStr">
        <is>
          <t>Lat pulldown</t>
        </is>
      </c>
      <c r="C18" s="7" t="inlineStr">
        <is>
          <t>Assisted chin-up, aim at the first strict rep by week 13</t>
        </is>
      </c>
      <c r="D18" s="7" t="inlineStr">
        <is>
          <t>3 x 8-12</t>
        </is>
      </c>
      <c r="E18" s="7" t="inlineStr"/>
    </row>
    <row r="19" ht="33" customHeight="1">
      <c r="A19" s="7" t="inlineStr">
        <is>
          <t>Vertical push</t>
        </is>
      </c>
      <c r="B19" s="7" t="inlineStr">
        <is>
          <t>Seated dumbbell shoulder press, neutral grip</t>
        </is>
      </c>
      <c r="C19" s="7" t="inlineStr">
        <is>
          <t>Same, heavier</t>
        </is>
      </c>
      <c r="D19" s="7" t="inlineStr">
        <is>
          <t>3 x 8-12</t>
        </is>
      </c>
      <c r="E19" s="7" t="inlineStr"/>
    </row>
    <row r="20" ht="18" customHeight="1">
      <c r="A20" s="7" t="inlineStr">
        <is>
          <t>Glute / hamstring</t>
        </is>
      </c>
      <c r="B20" s="7" t="inlineStr">
        <is>
          <t>Glute bridge</t>
        </is>
      </c>
      <c r="C20" s="7" t="inlineStr">
        <is>
          <t>Hip thrust or 45-degree back extension</t>
        </is>
      </c>
      <c r="D20" s="7" t="inlineStr">
        <is>
          <t>3 x 10-12</t>
        </is>
      </c>
      <c r="E20" s="7" t="inlineStr"/>
    </row>
    <row r="21" ht="18" customHeight="1">
      <c r="A21" s="7" t="inlineStr">
        <is>
          <t>Upper back / posture</t>
        </is>
      </c>
      <c r="B21" s="7" t="inlineStr">
        <is>
          <t>Face pull</t>
        </is>
      </c>
      <c r="C21" s="7" t="inlineStr">
        <is>
          <t>Face pull or rear-delt fly</t>
        </is>
      </c>
      <c r="D21" s="7" t="inlineStr">
        <is>
          <t>3 x 12-15</t>
        </is>
      </c>
      <c r="E21" s="7" t="inlineStr">
        <is>
          <t>Counteracts desk posture</t>
        </is>
      </c>
    </row>
    <row r="22" ht="33" customHeight="1">
      <c r="A22" s="7" t="inlineStr">
        <is>
          <t>Core</t>
        </is>
      </c>
      <c r="B22" s="7" t="inlineStr">
        <is>
          <t>Side plank</t>
        </is>
      </c>
      <c r="C22" s="7" t="inlineStr">
        <is>
          <t>Pallof press</t>
        </is>
      </c>
      <c r="D22" s="7" t="inlineStr">
        <is>
          <t>3 x 30 s / 10 reps</t>
        </is>
      </c>
      <c r="E22" s="7" t="inlineStr"/>
    </row>
    <row r="23" ht="18" customHeight="1">
      <c r="A23" s="7" t="inlineStr">
        <is>
          <t>Grip finisher</t>
        </is>
      </c>
      <c r="B23" s="7" t="inlineStr">
        <is>
          <t>Dead hang</t>
        </is>
      </c>
      <c r="C23" s="7" t="inlineStr">
        <is>
          <t>Dead hang, target 60 s by week 13</t>
        </is>
      </c>
      <c r="D23" s="7" t="inlineStr">
        <is>
          <t>3 x max time</t>
        </is>
      </c>
      <c r="E23" s="7" t="inlineStr"/>
    </row>
    <row r="25">
      <c r="A25" s="3" t="inlineStr">
        <is>
          <t>Loading rules, cardio, steps</t>
        </is>
      </c>
    </row>
    <row r="26">
      <c r="A26" s="6" t="inlineStr">
        <is>
          <t>Weeks</t>
        </is>
      </c>
      <c r="B26" s="6" t="inlineStr">
        <is>
          <t>Rule</t>
        </is>
      </c>
      <c r="C26" s="24" t="n"/>
      <c r="D26" s="24" t="n"/>
      <c r="E26" s="25" t="n"/>
    </row>
    <row r="27" ht="18" customHeight="1">
      <c r="A27" s="7" t="inlineStr">
        <is>
          <t>1-2</t>
        </is>
      </c>
      <c r="B27" s="7" t="inlineStr">
        <is>
          <t>2 sets per exercise, RPE 5-6 (4-5 reps in reserve). Technique and habit.</t>
        </is>
      </c>
      <c r="C27" s="24" t="n"/>
      <c r="D27" s="24" t="n"/>
      <c r="E27" s="25" t="n"/>
    </row>
    <row r="28" ht="18" customHeight="1">
      <c r="A28" s="7" t="inlineStr">
        <is>
          <t>3-8</t>
        </is>
      </c>
      <c r="B28" s="7" t="inlineStr">
        <is>
          <t>3 sets, RPE 7-8. Double progression: top of the rep range on all sets -&gt; +2.5 kg upper / +5 kg lower, restart at the bottom of the range.</t>
        </is>
      </c>
      <c r="C28" s="24" t="n"/>
      <c r="D28" s="24" t="n"/>
      <c r="E28" s="25" t="n"/>
    </row>
    <row r="29" ht="18" customHeight="1">
      <c r="A29" s="7" t="inlineStr">
        <is>
          <t>9</t>
        </is>
      </c>
      <c r="B29" s="7" t="inlineStr">
        <is>
          <t>Deload: 2 sets, 40% less load, same movements.</t>
        </is>
      </c>
      <c r="C29" s="24" t="n"/>
      <c r="D29" s="24" t="n"/>
      <c r="E29" s="25" t="n"/>
    </row>
    <row r="30" ht="18" customHeight="1">
      <c r="A30" s="7" t="inlineStr">
        <is>
          <t>10-12</t>
        </is>
      </c>
      <c r="B30" s="7" t="inlineStr">
        <is>
          <t>3-4 sets; main lifts 6-10 reps at RPE 8; accessories 10-15.</t>
        </is>
      </c>
      <c r="C30" s="24" t="n"/>
      <c r="D30" s="24" t="n"/>
      <c r="E30" s="25" t="n"/>
    </row>
    <row r="31" ht="33" customHeight="1">
      <c r="A31" s="7" t="inlineStr">
        <is>
          <t>13</t>
        </is>
      </c>
      <c r="B31" s="7" t="inlineStr">
        <is>
          <t>Benchmarks. Mon: back squat 5RM, bench 5RM, push-ups. Wed: deadlift 5RM, chin-ups, dead hang, plank. Fri: light full body + 12-min Cooper test. Sun: measurements, photos, review.</t>
        </is>
      </c>
      <c r="C31" s="24" t="n"/>
      <c r="D31" s="24" t="n"/>
      <c r="E31" s="25" t="n"/>
    </row>
    <row r="32" ht="18" customHeight="1">
      <c r="A32" s="7" t="inlineStr">
        <is>
          <t>Tue/Thu</t>
        </is>
      </c>
      <c r="B32" s="7" t="inlineStr">
        <is>
          <t>Zone 2 cardio (talk test, ~60-70% HRmax): 30 min weeks 1-4, 35-40 min from week 5. Incline treadmill, bike, rower or elliptical.</t>
        </is>
      </c>
      <c r="C32" s="24" t="n"/>
      <c r="D32" s="24" t="n"/>
      <c r="E32" s="25" t="n"/>
    </row>
    <row r="33" ht="18" customHeight="1">
      <c r="A33" s="7" t="inlineStr">
        <is>
          <t>Sat</t>
        </is>
      </c>
      <c r="B33" s="7" t="inlineStr">
        <is>
          <t>45-60 min of an activity you enjoy.</t>
        </is>
      </c>
      <c r="C33" s="24" t="n"/>
      <c r="D33" s="24" t="n"/>
      <c r="E33" s="25" t="n"/>
    </row>
    <row r="34" ht="18" customHeight="1">
      <c r="A34" s="7" t="inlineStr">
        <is>
          <t>Sun</t>
        </is>
      </c>
      <c r="B34" s="7" t="inlineStr">
        <is>
          <t>20 min mobility (hips, thoracic spine, shoulders, wrists).</t>
        </is>
      </c>
      <c r="C34" s="24" t="n"/>
      <c r="D34" s="24" t="n"/>
      <c r="E34" s="25" t="n"/>
    </row>
    <row r="35" ht="18" customHeight="1">
      <c r="A35" s="7" t="inlineStr">
        <is>
          <t>Steps</t>
        </is>
      </c>
      <c r="B35" s="7" t="inlineStr">
        <is>
          <t>8,000/day weeks 0-4, 10,000/day from week 5 (15-min walks after lunch and dinner).</t>
        </is>
      </c>
      <c r="C35" s="24" t="n"/>
      <c r="D35" s="24" t="n"/>
      <c r="E35" s="25" t="n"/>
    </row>
    <row r="37">
      <c r="A37" s="3" t="inlineStr">
        <is>
          <t>Wrist and grip strategy</t>
        </is>
      </c>
    </row>
    <row r="38">
      <c r="A38" s="6" t="inlineStr">
        <is>
          <t>#</t>
        </is>
      </c>
      <c r="B38" s="6" t="inlineStr">
        <is>
          <t>Rule</t>
        </is>
      </c>
      <c r="C38" s="24" t="n"/>
      <c r="D38" s="24" t="n"/>
      <c r="E38" s="25" t="n"/>
    </row>
    <row r="39" ht="18" customHeight="1">
      <c r="A39" s="7" t="n">
        <v>1</v>
      </c>
      <c r="B39" s="7" t="inlineStr">
        <is>
          <t>Neutral-grip dumbbells for pressing in weeks 1-4; barbells only when wrists feel stable, knuckles stacked over the forearm.</t>
        </is>
      </c>
      <c r="C39" s="24" t="n"/>
      <c r="D39" s="24" t="n"/>
      <c r="E39" s="25" t="n"/>
    </row>
    <row r="40" ht="18" customHeight="1">
      <c r="A40" s="7" t="n">
        <v>2</v>
      </c>
      <c r="B40" s="7" t="inlineStr">
        <is>
          <t>Wrist warm-up every session; wrist wraps only for heavy pressing if there is discomfort.</t>
        </is>
      </c>
      <c r="C40" s="24" t="n"/>
      <c r="D40" s="24" t="n"/>
      <c r="E40" s="25" t="n"/>
    </row>
    <row r="41" ht="18" customHeight="1">
      <c r="A41" s="7" t="n">
        <v>3</v>
      </c>
      <c r="B41" s="7" t="inlineStr">
        <is>
          <t>Two grip finishers per week (farmer carry, dead hang).</t>
        </is>
      </c>
      <c r="C41" s="24" t="n"/>
      <c r="D41" s="24" t="n"/>
      <c r="E41" s="25" t="n"/>
    </row>
    <row r="42" ht="18" customHeight="1">
      <c r="A42" s="7" t="n">
        <v>4</v>
      </c>
      <c r="B42" s="7" t="inlineStr">
        <is>
          <t>Lifting straps from week 8 on RDL, deadlift and heavy rows so grip fatigue never limits leg and back development.</t>
        </is>
      </c>
      <c r="C42" s="24" t="n"/>
      <c r="D42" s="24" t="n"/>
      <c r="E42" s="25" t="n"/>
    </row>
    <row r="44" ht="33" customHeight="1">
      <c r="A44" s="23" t="inlineStr">
        <is>
          <t>Cycle 2 (Weeks 14-26): four-day upper/lower split. Mon Lower A, Tue Upper A, Wed Zone 2 40 min, Thu Lower B, Fri Upper B, Sat intervals (8 x 1 min hard / 2 min easy) or sport, Sun mobility.</t>
        </is>
      </c>
    </row>
    <row r="46">
      <c r="A46" s="6" t="inlineStr">
        <is>
          <t>Session</t>
        </is>
      </c>
      <c r="B46" s="6" t="inlineStr">
        <is>
          <t>Exercises (sets x reps)</t>
        </is>
      </c>
      <c r="C46" s="24" t="n"/>
      <c r="D46" s="24" t="n"/>
      <c r="E46" s="25" t="n"/>
    </row>
    <row r="47" ht="18" customHeight="1">
      <c r="A47" s="7" t="inlineStr">
        <is>
          <t>Lower A</t>
        </is>
      </c>
      <c r="B47" s="7" t="inlineStr">
        <is>
          <t>Back squat 4 x 5-8; Romanian deadlift 3 x 8-10; leg press or split squat 3 x 10-12; calf raise 3 x 12-15; hanging knee raise 3 x 10</t>
        </is>
      </c>
      <c r="C47" s="24" t="n"/>
      <c r="D47" s="24" t="n"/>
      <c r="E47" s="25" t="n"/>
    </row>
    <row r="48" ht="18" customHeight="1">
      <c r="A48" s="7" t="inlineStr">
        <is>
          <t>Upper A</t>
        </is>
      </c>
      <c r="B48" s="7" t="inlineStr">
        <is>
          <t>Bench press 4 x 5-8; chin-up or lat pulldown 4 x 6-10; dumbbell shoulder press 3 x 8-12; cable row 3 x 10-12; face pull 3 x 15; farmer carry 3 x 40 m</t>
        </is>
      </c>
      <c r="C48" s="24" t="n"/>
      <c r="D48" s="24" t="n"/>
      <c r="E48" s="25" t="n"/>
    </row>
    <row r="49" ht="18" customHeight="1">
      <c r="A49" s="7" t="inlineStr">
        <is>
          <t>Lower B</t>
        </is>
      </c>
      <c r="B49" s="7" t="inlineStr">
        <is>
          <t>Trap-bar or conventional deadlift 4 x 5 (straps allowed); front squat or hack squat 3 x 8-10; hip thrust 3 x 10-12; leg curl 3 x 12; plank 3 x 60 s</t>
        </is>
      </c>
      <c r="C49" s="24" t="n"/>
      <c r="D49" s="24" t="n"/>
      <c r="E49" s="25" t="n"/>
    </row>
    <row r="50" ht="33" customHeight="1">
      <c r="A50" s="7" t="inlineStr">
        <is>
          <t>Upper B</t>
        </is>
      </c>
      <c r="B50" s="7" t="inlineStr">
        <is>
          <t>Incline dumbbell press 4 x 8-10; pull-up or pulldown 4 x 8-10; dips or close-grip push-up 3 x 8-12; one-arm dumbbell row 3 x 10-12; lateral raise 3 x 12-15; dead hang 3 x max</t>
        </is>
      </c>
      <c r="C50" s="24" t="n"/>
      <c r="D50" s="24" t="n"/>
      <c r="E50" s="25" t="n"/>
    </row>
    <row r="51" ht="18" customHeight="1">
      <c r="A51" s="7" t="inlineStr">
        <is>
          <t>Progression</t>
        </is>
      </c>
      <c r="B51" s="7" t="inlineStr">
        <is>
          <t>Weeks 14-21 double progression; week 22 deload; weeks 23-25 main lifts 4 x 5-6; week 26 final benchmarks (same tests as week 13).</t>
        </is>
      </c>
      <c r="C51" s="24" t="n"/>
      <c r="D51" s="24" t="n"/>
      <c r="E51" s="25" t="n"/>
    </row>
  </sheetData>
  <mergeCells count="23">
    <mergeCell ref="B40:E40"/>
    <mergeCell ref="B49:E49"/>
    <mergeCell ref="B30:E30"/>
    <mergeCell ref="B33:E33"/>
    <mergeCell ref="B51:E51"/>
    <mergeCell ref="B32:E32"/>
    <mergeCell ref="B26:E26"/>
    <mergeCell ref="B41:E41"/>
    <mergeCell ref="B35:E35"/>
    <mergeCell ref="B50:E50"/>
    <mergeCell ref="B47:E47"/>
    <mergeCell ref="B46:E46"/>
    <mergeCell ref="B31:E31"/>
    <mergeCell ref="B27:E27"/>
    <mergeCell ref="B48:E48"/>
    <mergeCell ref="B39:E39"/>
    <mergeCell ref="B42:E42"/>
    <mergeCell ref="A4:E4"/>
    <mergeCell ref="B38:E38"/>
    <mergeCell ref="B29:E29"/>
    <mergeCell ref="B34:E34"/>
    <mergeCell ref="A44:E44"/>
    <mergeCell ref="B28:E28"/>
  </mergeCells>
  <pageMargins left="0.4" right="0.4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0" customWidth="1" min="4" max="4"/>
    <col width="9" customWidth="1" min="5" max="5"/>
    <col width="9" customWidth="1" min="6" max="6"/>
    <col width="26" customWidth="1" min="7" max="7"/>
    <col width="26" customWidth="1" min="8" max="8"/>
    <col width="26" customWidth="1" min="9" max="9"/>
    <col width="9" customWidth="1" min="10" max="10"/>
    <col width="36" customWidth="1" min="11" max="11"/>
  </cols>
  <sheetData>
    <row r="1" ht="32" customHeight="1">
      <c r="A1" s="6" t="inlineStr">
        <is>
          <t>Date</t>
        </is>
      </c>
      <c r="B1" s="6" t="inlineStr">
        <is>
          <t>Weekday</t>
        </is>
      </c>
      <c r="C1" s="6" t="inlineStr">
        <is>
          <t>Week</t>
        </is>
      </c>
      <c r="D1" s="6" t="inlineStr">
        <is>
          <t>Planned session</t>
        </is>
      </c>
      <c r="E1" s="6" t="inlineStr">
        <is>
          <t>Done (1/0)</t>
        </is>
      </c>
      <c r="F1" s="6" t="inlineStr">
        <is>
          <t>Duration (min)</t>
        </is>
      </c>
      <c r="G1" s="6" t="inlineStr">
        <is>
          <t>Lift 1 (exercise: kg x reps)</t>
        </is>
      </c>
      <c r="H1" s="6" t="inlineStr">
        <is>
          <t>Lift 2</t>
        </is>
      </c>
      <c r="I1" s="6" t="inlineStr">
        <is>
          <t>Lift 3</t>
        </is>
      </c>
      <c r="J1" s="6" t="inlineStr">
        <is>
          <t>RPE (1-10)</t>
        </is>
      </c>
      <c r="K1" s="6" t="inlineStr">
        <is>
          <t>Notes</t>
        </is>
      </c>
    </row>
    <row r="2">
      <c r="A2" s="13" t="n">
        <v>46296</v>
      </c>
      <c r="B2" s="9" t="inlineStr">
        <is>
          <t>Thu</t>
        </is>
      </c>
      <c r="C2" s="9" t="n">
        <v>0</v>
      </c>
      <c r="D2" s="9" t="inlineStr">
        <is>
          <t>Trainer intake + baseline tests (push-ups, dead hang, plank, goblet squat 10RM, resting HR), photos, measurements</t>
        </is>
      </c>
      <c r="E2" s="4" t="n"/>
      <c r="F2" s="4" t="n"/>
      <c r="G2" s="4" t="n"/>
      <c r="H2" s="4" t="n"/>
      <c r="I2" s="4" t="n"/>
      <c r="J2" s="4" t="n"/>
      <c r="K2" s="4" t="n"/>
    </row>
    <row r="3">
      <c r="A3" s="13" t="n">
        <v>46297</v>
      </c>
      <c r="B3" s="9" t="inlineStr">
        <is>
          <t>Fri</t>
        </is>
      </c>
      <c r="C3" s="9" t="n">
        <v>0</v>
      </c>
      <c r="D3" s="9" t="inlineStr">
        <is>
          <t>Strength A (technique loads)</t>
        </is>
      </c>
      <c r="E3" s="4" t="n"/>
      <c r="F3" s="4" t="n"/>
      <c r="G3" s="4" t="n"/>
      <c r="H3" s="4" t="n"/>
      <c r="I3" s="4" t="n"/>
      <c r="J3" s="4" t="n"/>
      <c r="K3" s="4" t="n"/>
    </row>
    <row r="4">
      <c r="A4" s="13" t="n">
        <v>46298</v>
      </c>
      <c r="B4" s="9" t="inlineStr">
        <is>
          <t>Sat</t>
        </is>
      </c>
      <c r="C4" s="9" t="n">
        <v>0</v>
      </c>
      <c r="D4" s="9" t="inlineStr">
        <is>
          <t>Activity 45-60 min</t>
        </is>
      </c>
      <c r="E4" s="4" t="n"/>
      <c r="F4" s="4" t="n"/>
      <c r="G4" s="4" t="n"/>
      <c r="H4" s="4" t="n"/>
      <c r="I4" s="4" t="n"/>
      <c r="J4" s="4" t="n"/>
      <c r="K4" s="4" t="n"/>
    </row>
    <row r="5">
      <c r="A5" s="13" t="n">
        <v>46299</v>
      </c>
      <c r="B5" s="9" t="inlineStr">
        <is>
          <t>Sun</t>
        </is>
      </c>
      <c r="C5" s="9" t="n">
        <v>0</v>
      </c>
      <c r="D5" s="9" t="inlineStr">
        <is>
          <t>Mobility 20 min + finish baseline measurements</t>
        </is>
      </c>
      <c r="E5" s="4" t="n"/>
      <c r="F5" s="4" t="n"/>
      <c r="G5" s="4" t="n"/>
      <c r="H5" s="4" t="n"/>
      <c r="I5" s="4" t="n"/>
      <c r="J5" s="4" t="n"/>
      <c r="K5" s="4" t="n"/>
    </row>
    <row r="6">
      <c r="A6" s="13" t="n">
        <v>46300</v>
      </c>
      <c r="B6" s="9" t="inlineStr">
        <is>
          <t>Mon</t>
        </is>
      </c>
      <c r="C6" s="9" t="n">
        <v>1</v>
      </c>
      <c r="D6" s="9" t="inlineStr">
        <is>
          <t>Strength A (2 sets, RPE 5-6)</t>
        </is>
      </c>
      <c r="E6" s="4" t="n"/>
      <c r="F6" s="4" t="n"/>
      <c r="G6" s="4" t="n"/>
      <c r="H6" s="4" t="n"/>
      <c r="I6" s="4" t="n"/>
      <c r="J6" s="4" t="n"/>
      <c r="K6" s="4" t="n"/>
    </row>
    <row r="7">
      <c r="A7" s="13" t="n">
        <v>46301</v>
      </c>
      <c r="B7" s="9" t="inlineStr">
        <is>
          <t>Tue</t>
        </is>
      </c>
      <c r="C7" s="9" t="n">
        <v>1</v>
      </c>
      <c r="D7" s="9" t="inlineStr">
        <is>
          <t>Zone 2 cardio 30 min</t>
        </is>
      </c>
      <c r="E7" s="4" t="n"/>
      <c r="F7" s="4" t="n"/>
      <c r="G7" s="4" t="n"/>
      <c r="H7" s="4" t="n"/>
      <c r="I7" s="4" t="n"/>
      <c r="J7" s="4" t="n"/>
      <c r="K7" s="4" t="n"/>
    </row>
    <row r="8">
      <c r="A8" s="13" t="n">
        <v>46302</v>
      </c>
      <c r="B8" s="9" t="inlineStr">
        <is>
          <t>Wed</t>
        </is>
      </c>
      <c r="C8" s="9" t="n">
        <v>1</v>
      </c>
      <c r="D8" s="9" t="inlineStr">
        <is>
          <t>Strength B (2 sets, RPE 5-6)</t>
        </is>
      </c>
      <c r="E8" s="4" t="n"/>
      <c r="F8" s="4" t="n"/>
      <c r="G8" s="4" t="n"/>
      <c r="H8" s="4" t="n"/>
      <c r="I8" s="4" t="n"/>
      <c r="J8" s="4" t="n"/>
      <c r="K8" s="4" t="n"/>
    </row>
    <row r="9">
      <c r="A9" s="13" t="n">
        <v>46303</v>
      </c>
      <c r="B9" s="9" t="inlineStr">
        <is>
          <t>Thu</t>
        </is>
      </c>
      <c r="C9" s="9" t="n">
        <v>1</v>
      </c>
      <c r="D9" s="9" t="inlineStr">
        <is>
          <t>Zone 2 cardio 30 min</t>
        </is>
      </c>
      <c r="E9" s="4" t="n"/>
      <c r="F9" s="4" t="n"/>
      <c r="G9" s="4" t="n"/>
      <c r="H9" s="4" t="n"/>
      <c r="I9" s="4" t="n"/>
      <c r="J9" s="4" t="n"/>
      <c r="K9" s="4" t="n"/>
    </row>
    <row r="10">
      <c r="A10" s="13" t="n">
        <v>46304</v>
      </c>
      <c r="B10" s="9" t="inlineStr">
        <is>
          <t>Fri</t>
        </is>
      </c>
      <c r="C10" s="9" t="n">
        <v>1</v>
      </c>
      <c r="D10" s="9" t="inlineStr">
        <is>
          <t>Strength A (2 sets, RPE 5-6)</t>
        </is>
      </c>
      <c r="E10" s="4" t="n"/>
      <c r="F10" s="4" t="n"/>
      <c r="G10" s="4" t="n"/>
      <c r="H10" s="4" t="n"/>
      <c r="I10" s="4" t="n"/>
      <c r="J10" s="4" t="n"/>
      <c r="K10" s="4" t="n"/>
    </row>
    <row r="11">
      <c r="A11" s="13" t="n">
        <v>46305</v>
      </c>
      <c r="B11" s="9" t="inlineStr">
        <is>
          <t>Sat</t>
        </is>
      </c>
      <c r="C11" s="9" t="n">
        <v>1</v>
      </c>
      <c r="D11" s="9" t="inlineStr">
        <is>
          <t>Activity 45-60 min (hike, sport, long walk)</t>
        </is>
      </c>
      <c r="E11" s="4" t="n"/>
      <c r="F11" s="4" t="n"/>
      <c r="G11" s="4" t="n"/>
      <c r="H11" s="4" t="n"/>
      <c r="I11" s="4" t="n"/>
      <c r="J11" s="4" t="n"/>
      <c r="K11" s="4" t="n"/>
    </row>
    <row r="12">
      <c r="A12" s="13" t="n">
        <v>46306</v>
      </c>
      <c r="B12" s="9" t="inlineStr">
        <is>
          <t>Sun</t>
        </is>
      </c>
      <c r="C12" s="9" t="n">
        <v>1</v>
      </c>
      <c r="D12" s="9" t="inlineStr">
        <is>
          <t>Mobility 20 min + weekly review</t>
        </is>
      </c>
      <c r="E12" s="4" t="n"/>
      <c r="F12" s="4" t="n"/>
      <c r="G12" s="4" t="n"/>
      <c r="H12" s="4" t="n"/>
      <c r="I12" s="4" t="n"/>
      <c r="J12" s="4" t="n"/>
      <c r="K12" s="4" t="n"/>
    </row>
    <row r="13">
      <c r="A13" s="13" t="n">
        <v>46307</v>
      </c>
      <c r="B13" s="9" t="inlineStr">
        <is>
          <t>Mon</t>
        </is>
      </c>
      <c r="C13" s="9" t="n">
        <v>2</v>
      </c>
      <c r="D13" s="9" t="inlineStr">
        <is>
          <t>Strength B (2 sets, RPE 5-6)</t>
        </is>
      </c>
      <c r="E13" s="4" t="n"/>
      <c r="F13" s="4" t="n"/>
      <c r="G13" s="4" t="n"/>
      <c r="H13" s="4" t="n"/>
      <c r="I13" s="4" t="n"/>
      <c r="J13" s="4" t="n"/>
      <c r="K13" s="4" t="n"/>
    </row>
    <row r="14">
      <c r="A14" s="13" t="n">
        <v>46308</v>
      </c>
      <c r="B14" s="9" t="inlineStr">
        <is>
          <t>Tue</t>
        </is>
      </c>
      <c r="C14" s="9" t="n">
        <v>2</v>
      </c>
      <c r="D14" s="9" t="inlineStr">
        <is>
          <t>Zone 2 cardio 30 min</t>
        </is>
      </c>
      <c r="E14" s="4" t="n"/>
      <c r="F14" s="4" t="n"/>
      <c r="G14" s="4" t="n"/>
      <c r="H14" s="4" t="n"/>
      <c r="I14" s="4" t="n"/>
      <c r="J14" s="4" t="n"/>
      <c r="K14" s="4" t="n"/>
    </row>
    <row r="15">
      <c r="A15" s="13" t="n">
        <v>46309</v>
      </c>
      <c r="B15" s="9" t="inlineStr">
        <is>
          <t>Wed</t>
        </is>
      </c>
      <c r="C15" s="9" t="n">
        <v>2</v>
      </c>
      <c r="D15" s="9" t="inlineStr">
        <is>
          <t>Strength A (2 sets, RPE 5-6)</t>
        </is>
      </c>
      <c r="E15" s="4" t="n"/>
      <c r="F15" s="4" t="n"/>
      <c r="G15" s="4" t="n"/>
      <c r="H15" s="4" t="n"/>
      <c r="I15" s="4" t="n"/>
      <c r="J15" s="4" t="n"/>
      <c r="K15" s="4" t="n"/>
    </row>
    <row r="16">
      <c r="A16" s="13" t="n">
        <v>46310</v>
      </c>
      <c r="B16" s="9" t="inlineStr">
        <is>
          <t>Thu</t>
        </is>
      </c>
      <c r="C16" s="9" t="n">
        <v>2</v>
      </c>
      <c r="D16" s="9" t="inlineStr">
        <is>
          <t>Zone 2 cardio 30 min</t>
        </is>
      </c>
      <c r="E16" s="4" t="n"/>
      <c r="F16" s="4" t="n"/>
      <c r="G16" s="4" t="n"/>
      <c r="H16" s="4" t="n"/>
      <c r="I16" s="4" t="n"/>
      <c r="J16" s="4" t="n"/>
      <c r="K16" s="4" t="n"/>
    </row>
    <row r="17">
      <c r="A17" s="13" t="n">
        <v>46311</v>
      </c>
      <c r="B17" s="9" t="inlineStr">
        <is>
          <t>Fri</t>
        </is>
      </c>
      <c r="C17" s="9" t="n">
        <v>2</v>
      </c>
      <c r="D17" s="9" t="inlineStr">
        <is>
          <t>Strength B (2 sets, RPE 5-6)</t>
        </is>
      </c>
      <c r="E17" s="4" t="n"/>
      <c r="F17" s="4" t="n"/>
      <c r="G17" s="4" t="n"/>
      <c r="H17" s="4" t="n"/>
      <c r="I17" s="4" t="n"/>
      <c r="J17" s="4" t="n"/>
      <c r="K17" s="4" t="n"/>
    </row>
    <row r="18">
      <c r="A18" s="13" t="n">
        <v>46312</v>
      </c>
      <c r="B18" s="9" t="inlineStr">
        <is>
          <t>Sat</t>
        </is>
      </c>
      <c r="C18" s="9" t="n">
        <v>2</v>
      </c>
      <c r="D18" s="9" t="inlineStr">
        <is>
          <t>Activity 45-60 min (hike, sport, long walk)</t>
        </is>
      </c>
      <c r="E18" s="4" t="n"/>
      <c r="F18" s="4" t="n"/>
      <c r="G18" s="4" t="n"/>
      <c r="H18" s="4" t="n"/>
      <c r="I18" s="4" t="n"/>
      <c r="J18" s="4" t="n"/>
      <c r="K18" s="4" t="n"/>
    </row>
    <row r="19">
      <c r="A19" s="13" t="n">
        <v>46313</v>
      </c>
      <c r="B19" s="9" t="inlineStr">
        <is>
          <t>Sun</t>
        </is>
      </c>
      <c r="C19" s="9" t="n">
        <v>2</v>
      </c>
      <c r="D19" s="9" t="inlineStr">
        <is>
          <t>Mobility 20 min + weekly review</t>
        </is>
      </c>
      <c r="E19" s="4" t="n"/>
      <c r="F19" s="4" t="n"/>
      <c r="G19" s="4" t="n"/>
      <c r="H19" s="4" t="n"/>
      <c r="I19" s="4" t="n"/>
      <c r="J19" s="4" t="n"/>
      <c r="K19" s="4" t="n"/>
    </row>
    <row r="20">
      <c r="A20" s="13" t="n">
        <v>46314</v>
      </c>
      <c r="B20" s="9" t="inlineStr">
        <is>
          <t>Mon</t>
        </is>
      </c>
      <c r="C20" s="9" t="n">
        <v>3</v>
      </c>
      <c r="D20" s="9" t="inlineStr">
        <is>
          <t>Strength A (3 sets, RPE 7-8)</t>
        </is>
      </c>
      <c r="E20" s="4" t="n"/>
      <c r="F20" s="4" t="n"/>
      <c r="G20" s="4" t="n"/>
      <c r="H20" s="4" t="n"/>
      <c r="I20" s="4" t="n"/>
      <c r="J20" s="4" t="n"/>
      <c r="K20" s="4" t="n"/>
    </row>
    <row r="21">
      <c r="A21" s="13" t="n">
        <v>46315</v>
      </c>
      <c r="B21" s="9" t="inlineStr">
        <is>
          <t>Tue</t>
        </is>
      </c>
      <c r="C21" s="9" t="n">
        <v>3</v>
      </c>
      <c r="D21" s="9" t="inlineStr">
        <is>
          <t>Zone 2 cardio 30 min</t>
        </is>
      </c>
      <c r="E21" s="4" t="n"/>
      <c r="F21" s="4" t="n"/>
      <c r="G21" s="4" t="n"/>
      <c r="H21" s="4" t="n"/>
      <c r="I21" s="4" t="n"/>
      <c r="J21" s="4" t="n"/>
      <c r="K21" s="4" t="n"/>
    </row>
    <row r="22">
      <c r="A22" s="13" t="n">
        <v>46316</v>
      </c>
      <c r="B22" s="9" t="inlineStr">
        <is>
          <t>Wed</t>
        </is>
      </c>
      <c r="C22" s="9" t="n">
        <v>3</v>
      </c>
      <c r="D22" s="9" t="inlineStr">
        <is>
          <t>Strength B (3 sets, RPE 7-8)</t>
        </is>
      </c>
      <c r="E22" s="4" t="n"/>
      <c r="F22" s="4" t="n"/>
      <c r="G22" s="4" t="n"/>
      <c r="H22" s="4" t="n"/>
      <c r="I22" s="4" t="n"/>
      <c r="J22" s="4" t="n"/>
      <c r="K22" s="4" t="n"/>
    </row>
    <row r="23">
      <c r="A23" s="13" t="n">
        <v>46317</v>
      </c>
      <c r="B23" s="9" t="inlineStr">
        <is>
          <t>Thu</t>
        </is>
      </c>
      <c r="C23" s="9" t="n">
        <v>3</v>
      </c>
      <c r="D23" s="9" t="inlineStr">
        <is>
          <t>Zone 2 cardio 30 min</t>
        </is>
      </c>
      <c r="E23" s="4" t="n"/>
      <c r="F23" s="4" t="n"/>
      <c r="G23" s="4" t="n"/>
      <c r="H23" s="4" t="n"/>
      <c r="I23" s="4" t="n"/>
      <c r="J23" s="4" t="n"/>
      <c r="K23" s="4" t="n"/>
    </row>
    <row r="24">
      <c r="A24" s="13" t="n">
        <v>46318</v>
      </c>
      <c r="B24" s="9" t="inlineStr">
        <is>
          <t>Fri</t>
        </is>
      </c>
      <c r="C24" s="9" t="n">
        <v>3</v>
      </c>
      <c r="D24" s="9" t="inlineStr">
        <is>
          <t>Strength A (3 sets, RPE 7-8)</t>
        </is>
      </c>
      <c r="E24" s="4" t="n"/>
      <c r="F24" s="4" t="n"/>
      <c r="G24" s="4" t="n"/>
      <c r="H24" s="4" t="n"/>
      <c r="I24" s="4" t="n"/>
      <c r="J24" s="4" t="n"/>
      <c r="K24" s="4" t="n"/>
    </row>
    <row r="25">
      <c r="A25" s="13" t="n">
        <v>46319</v>
      </c>
      <c r="B25" s="9" t="inlineStr">
        <is>
          <t>Sat</t>
        </is>
      </c>
      <c r="C25" s="9" t="n">
        <v>3</v>
      </c>
      <c r="D25" s="9" t="inlineStr">
        <is>
          <t>Activity 45-60 min (hike, sport, long walk)</t>
        </is>
      </c>
      <c r="E25" s="4" t="n"/>
      <c r="F25" s="4" t="n"/>
      <c r="G25" s="4" t="n"/>
      <c r="H25" s="4" t="n"/>
      <c r="I25" s="4" t="n"/>
      <c r="J25" s="4" t="n"/>
      <c r="K25" s="4" t="n"/>
    </row>
    <row r="26">
      <c r="A26" s="13" t="n">
        <v>46320</v>
      </c>
      <c r="B26" s="9" t="inlineStr">
        <is>
          <t>Sun</t>
        </is>
      </c>
      <c r="C26" s="9" t="n">
        <v>3</v>
      </c>
      <c r="D26" s="9" t="inlineStr">
        <is>
          <t>Mobility 20 min + weekly review</t>
        </is>
      </c>
      <c r="E26" s="4" t="n"/>
      <c r="F26" s="4" t="n"/>
      <c r="G26" s="4" t="n"/>
      <c r="H26" s="4" t="n"/>
      <c r="I26" s="4" t="n"/>
      <c r="J26" s="4" t="n"/>
      <c r="K26" s="4" t="n"/>
    </row>
    <row r="27">
      <c r="A27" s="13" t="n">
        <v>46321</v>
      </c>
      <c r="B27" s="9" t="inlineStr">
        <is>
          <t>Mon</t>
        </is>
      </c>
      <c r="C27" s="9" t="n">
        <v>4</v>
      </c>
      <c r="D27" s="9" t="inlineStr">
        <is>
          <t>Strength B (3 sets, RPE 7-8)</t>
        </is>
      </c>
      <c r="E27" s="4" t="n"/>
      <c r="F27" s="4" t="n"/>
      <c r="G27" s="4" t="n"/>
      <c r="H27" s="4" t="n"/>
      <c r="I27" s="4" t="n"/>
      <c r="J27" s="4" t="n"/>
      <c r="K27" s="4" t="n"/>
    </row>
    <row r="28">
      <c r="A28" s="13" t="n">
        <v>46322</v>
      </c>
      <c r="B28" s="9" t="inlineStr">
        <is>
          <t>Tue</t>
        </is>
      </c>
      <c r="C28" s="9" t="n">
        <v>4</v>
      </c>
      <c r="D28" s="9" t="inlineStr">
        <is>
          <t>Zone 2 cardio 30 min</t>
        </is>
      </c>
      <c r="E28" s="4" t="n"/>
      <c r="F28" s="4" t="n"/>
      <c r="G28" s="4" t="n"/>
      <c r="H28" s="4" t="n"/>
      <c r="I28" s="4" t="n"/>
      <c r="J28" s="4" t="n"/>
      <c r="K28" s="4" t="n"/>
    </row>
    <row r="29">
      <c r="A29" s="13" t="n">
        <v>46323</v>
      </c>
      <c r="B29" s="9" t="inlineStr">
        <is>
          <t>Wed</t>
        </is>
      </c>
      <c r="C29" s="9" t="n">
        <v>4</v>
      </c>
      <c r="D29" s="9" t="inlineStr">
        <is>
          <t>Strength A (3 sets, RPE 7-8)</t>
        </is>
      </c>
      <c r="E29" s="4" t="n"/>
      <c r="F29" s="4" t="n"/>
      <c r="G29" s="4" t="n"/>
      <c r="H29" s="4" t="n"/>
      <c r="I29" s="4" t="n"/>
      <c r="J29" s="4" t="n"/>
      <c r="K29" s="4" t="n"/>
    </row>
    <row r="30">
      <c r="A30" s="13" t="n">
        <v>46324</v>
      </c>
      <c r="B30" s="9" t="inlineStr">
        <is>
          <t>Thu</t>
        </is>
      </c>
      <c r="C30" s="9" t="n">
        <v>4</v>
      </c>
      <c r="D30" s="9" t="inlineStr">
        <is>
          <t>Zone 2 cardio 30 min</t>
        </is>
      </c>
      <c r="E30" s="4" t="n"/>
      <c r="F30" s="4" t="n"/>
      <c r="G30" s="4" t="n"/>
      <c r="H30" s="4" t="n"/>
      <c r="I30" s="4" t="n"/>
      <c r="J30" s="4" t="n"/>
      <c r="K30" s="4" t="n"/>
    </row>
    <row r="31">
      <c r="A31" s="13" t="n">
        <v>46325</v>
      </c>
      <c r="B31" s="9" t="inlineStr">
        <is>
          <t>Fri</t>
        </is>
      </c>
      <c r="C31" s="9" t="n">
        <v>4</v>
      </c>
      <c r="D31" s="9" t="inlineStr">
        <is>
          <t>Strength B (3 sets, RPE 7-8)</t>
        </is>
      </c>
      <c r="E31" s="4" t="n"/>
      <c r="F31" s="4" t="n"/>
      <c r="G31" s="4" t="n"/>
      <c r="H31" s="4" t="n"/>
      <c r="I31" s="4" t="n"/>
      <c r="J31" s="4" t="n"/>
      <c r="K31" s="4" t="n"/>
    </row>
    <row r="32">
      <c r="A32" s="13" t="n">
        <v>46326</v>
      </c>
      <c r="B32" s="9" t="inlineStr">
        <is>
          <t>Sat</t>
        </is>
      </c>
      <c r="C32" s="9" t="n">
        <v>4</v>
      </c>
      <c r="D32" s="9" t="inlineStr">
        <is>
          <t>Activity 45-60 min (hike, sport, long walk)</t>
        </is>
      </c>
      <c r="E32" s="4" t="n"/>
      <c r="F32" s="4" t="n"/>
      <c r="G32" s="4" t="n"/>
      <c r="H32" s="4" t="n"/>
      <c r="I32" s="4" t="n"/>
      <c r="J32" s="4" t="n"/>
      <c r="K32" s="4" t="n"/>
    </row>
    <row r="33">
      <c r="A33" s="13" t="n">
        <v>46327</v>
      </c>
      <c r="B33" s="9" t="inlineStr">
        <is>
          <t>Sun</t>
        </is>
      </c>
      <c r="C33" s="9" t="n">
        <v>4</v>
      </c>
      <c r="D33" s="9" t="inlineStr">
        <is>
          <t>Mobility 20 min + weekly review</t>
        </is>
      </c>
      <c r="E33" s="4" t="n"/>
      <c r="F33" s="4" t="n"/>
      <c r="G33" s="4" t="n"/>
      <c r="H33" s="4" t="n"/>
      <c r="I33" s="4" t="n"/>
      <c r="J33" s="4" t="n"/>
      <c r="K33" s="4" t="n"/>
    </row>
    <row r="34">
      <c r="A34" s="13" t="n">
        <v>46328</v>
      </c>
      <c r="B34" s="9" t="inlineStr">
        <is>
          <t>Mon</t>
        </is>
      </c>
      <c r="C34" s="9" t="n">
        <v>5</v>
      </c>
      <c r="D34" s="9" t="inlineStr">
        <is>
          <t>Strength A (3 sets, RPE 7-8)</t>
        </is>
      </c>
      <c r="E34" s="4" t="n"/>
      <c r="F34" s="4" t="n"/>
      <c r="G34" s="4" t="n"/>
      <c r="H34" s="4" t="n"/>
      <c r="I34" s="4" t="n"/>
      <c r="J34" s="4" t="n"/>
      <c r="K34" s="4" t="n"/>
    </row>
    <row r="35">
      <c r="A35" s="13" t="n">
        <v>46329</v>
      </c>
      <c r="B35" s="9" t="inlineStr">
        <is>
          <t>Tue</t>
        </is>
      </c>
      <c r="C35" s="9" t="n">
        <v>5</v>
      </c>
      <c r="D35" s="9" t="inlineStr">
        <is>
          <t>Zone 2 cardio 35-40 min</t>
        </is>
      </c>
      <c r="E35" s="4" t="n"/>
      <c r="F35" s="4" t="n"/>
      <c r="G35" s="4" t="n"/>
      <c r="H35" s="4" t="n"/>
      <c r="I35" s="4" t="n"/>
      <c r="J35" s="4" t="n"/>
      <c r="K35" s="4" t="n"/>
    </row>
    <row r="36">
      <c r="A36" s="13" t="n">
        <v>46330</v>
      </c>
      <c r="B36" s="9" t="inlineStr">
        <is>
          <t>Wed</t>
        </is>
      </c>
      <c r="C36" s="9" t="n">
        <v>5</v>
      </c>
      <c r="D36" s="9" t="inlineStr">
        <is>
          <t>Strength B (3 sets, RPE 7-8)</t>
        </is>
      </c>
      <c r="E36" s="4" t="n"/>
      <c r="F36" s="4" t="n"/>
      <c r="G36" s="4" t="n"/>
      <c r="H36" s="4" t="n"/>
      <c r="I36" s="4" t="n"/>
      <c r="J36" s="4" t="n"/>
      <c r="K36" s="4" t="n"/>
    </row>
    <row r="37">
      <c r="A37" s="13" t="n">
        <v>46331</v>
      </c>
      <c r="B37" s="9" t="inlineStr">
        <is>
          <t>Thu</t>
        </is>
      </c>
      <c r="C37" s="9" t="n">
        <v>5</v>
      </c>
      <c r="D37" s="9" t="inlineStr">
        <is>
          <t>Zone 2 cardio 35-40 min</t>
        </is>
      </c>
      <c r="E37" s="4" t="n"/>
      <c r="F37" s="4" t="n"/>
      <c r="G37" s="4" t="n"/>
      <c r="H37" s="4" t="n"/>
      <c r="I37" s="4" t="n"/>
      <c r="J37" s="4" t="n"/>
      <c r="K37" s="4" t="n"/>
    </row>
    <row r="38">
      <c r="A38" s="13" t="n">
        <v>46332</v>
      </c>
      <c r="B38" s="9" t="inlineStr">
        <is>
          <t>Fri</t>
        </is>
      </c>
      <c r="C38" s="9" t="n">
        <v>5</v>
      </c>
      <c r="D38" s="9" t="inlineStr">
        <is>
          <t>Strength A (3 sets, RPE 7-8)</t>
        </is>
      </c>
      <c r="E38" s="4" t="n"/>
      <c r="F38" s="4" t="n"/>
      <c r="G38" s="4" t="n"/>
      <c r="H38" s="4" t="n"/>
      <c r="I38" s="4" t="n"/>
      <c r="J38" s="4" t="n"/>
      <c r="K38" s="4" t="n"/>
    </row>
    <row r="39">
      <c r="A39" s="13" t="n">
        <v>46333</v>
      </c>
      <c r="B39" s="9" t="inlineStr">
        <is>
          <t>Sat</t>
        </is>
      </c>
      <c r="C39" s="9" t="n">
        <v>5</v>
      </c>
      <c r="D39" s="9" t="inlineStr">
        <is>
          <t>Activity 45-60 min (hike, sport, long walk)</t>
        </is>
      </c>
      <c r="E39" s="4" t="n"/>
      <c r="F39" s="4" t="n"/>
      <c r="G39" s="4" t="n"/>
      <c r="H39" s="4" t="n"/>
      <c r="I39" s="4" t="n"/>
      <c r="J39" s="4" t="n"/>
      <c r="K39" s="4" t="n"/>
    </row>
    <row r="40">
      <c r="A40" s="13" t="n">
        <v>46334</v>
      </c>
      <c r="B40" s="9" t="inlineStr">
        <is>
          <t>Sun</t>
        </is>
      </c>
      <c r="C40" s="9" t="n">
        <v>5</v>
      </c>
      <c r="D40" s="9" t="inlineStr">
        <is>
          <t>Mobility 20 min + weekly review</t>
        </is>
      </c>
      <c r="E40" s="4" t="n"/>
      <c r="F40" s="4" t="n"/>
      <c r="G40" s="4" t="n"/>
      <c r="H40" s="4" t="n"/>
      <c r="I40" s="4" t="n"/>
      <c r="J40" s="4" t="n"/>
      <c r="K40" s="4" t="n"/>
    </row>
    <row r="41">
      <c r="A41" s="13" t="n">
        <v>46335</v>
      </c>
      <c r="B41" s="9" t="inlineStr">
        <is>
          <t>Mon</t>
        </is>
      </c>
      <c r="C41" s="9" t="n">
        <v>6</v>
      </c>
      <c r="D41" s="9" t="inlineStr">
        <is>
          <t>Strength B (3 sets, RPE 7-8)</t>
        </is>
      </c>
      <c r="E41" s="4" t="n"/>
      <c r="F41" s="4" t="n"/>
      <c r="G41" s="4" t="n"/>
      <c r="H41" s="4" t="n"/>
      <c r="I41" s="4" t="n"/>
      <c r="J41" s="4" t="n"/>
      <c r="K41" s="4" t="n"/>
    </row>
    <row r="42">
      <c r="A42" s="13" t="n">
        <v>46336</v>
      </c>
      <c r="B42" s="9" t="inlineStr">
        <is>
          <t>Tue</t>
        </is>
      </c>
      <c r="C42" s="9" t="n">
        <v>6</v>
      </c>
      <c r="D42" s="9" t="inlineStr">
        <is>
          <t>Zone 2 cardio 35-40 min</t>
        </is>
      </c>
      <c r="E42" s="4" t="n"/>
      <c r="F42" s="4" t="n"/>
      <c r="G42" s="4" t="n"/>
      <c r="H42" s="4" t="n"/>
      <c r="I42" s="4" t="n"/>
      <c r="J42" s="4" t="n"/>
      <c r="K42" s="4" t="n"/>
    </row>
    <row r="43">
      <c r="A43" s="13" t="n">
        <v>46337</v>
      </c>
      <c r="B43" s="9" t="inlineStr">
        <is>
          <t>Wed</t>
        </is>
      </c>
      <c r="C43" s="9" t="n">
        <v>6</v>
      </c>
      <c r="D43" s="9" t="inlineStr">
        <is>
          <t>Strength A (3 sets, RPE 7-8)</t>
        </is>
      </c>
      <c r="E43" s="4" t="n"/>
      <c r="F43" s="4" t="n"/>
      <c r="G43" s="4" t="n"/>
      <c r="H43" s="4" t="n"/>
      <c r="I43" s="4" t="n"/>
      <c r="J43" s="4" t="n"/>
      <c r="K43" s="4" t="n"/>
    </row>
    <row r="44">
      <c r="A44" s="13" t="n">
        <v>46338</v>
      </c>
      <c r="B44" s="9" t="inlineStr">
        <is>
          <t>Thu</t>
        </is>
      </c>
      <c r="C44" s="9" t="n">
        <v>6</v>
      </c>
      <c r="D44" s="9" t="inlineStr">
        <is>
          <t>Zone 2 cardio 35-40 min</t>
        </is>
      </c>
      <c r="E44" s="4" t="n"/>
      <c r="F44" s="4" t="n"/>
      <c r="G44" s="4" t="n"/>
      <c r="H44" s="4" t="n"/>
      <c r="I44" s="4" t="n"/>
      <c r="J44" s="4" t="n"/>
      <c r="K44" s="4" t="n"/>
    </row>
    <row r="45">
      <c r="A45" s="13" t="n">
        <v>46339</v>
      </c>
      <c r="B45" s="9" t="inlineStr">
        <is>
          <t>Fri</t>
        </is>
      </c>
      <c r="C45" s="9" t="n">
        <v>6</v>
      </c>
      <c r="D45" s="9" t="inlineStr">
        <is>
          <t>Strength B (3 sets, RPE 7-8)</t>
        </is>
      </c>
      <c r="E45" s="4" t="n"/>
      <c r="F45" s="4" t="n"/>
      <c r="G45" s="4" t="n"/>
      <c r="H45" s="4" t="n"/>
      <c r="I45" s="4" t="n"/>
      <c r="J45" s="4" t="n"/>
      <c r="K45" s="4" t="n"/>
    </row>
    <row r="46">
      <c r="A46" s="13" t="n">
        <v>46340</v>
      </c>
      <c r="B46" s="9" t="inlineStr">
        <is>
          <t>Sat</t>
        </is>
      </c>
      <c r="C46" s="9" t="n">
        <v>6</v>
      </c>
      <c r="D46" s="9" t="inlineStr">
        <is>
          <t>Activity 45-60 min (hike, sport, long walk)</t>
        </is>
      </c>
      <c r="E46" s="4" t="n"/>
      <c r="F46" s="4" t="n"/>
      <c r="G46" s="4" t="n"/>
      <c r="H46" s="4" t="n"/>
      <c r="I46" s="4" t="n"/>
      <c r="J46" s="4" t="n"/>
      <c r="K46" s="4" t="n"/>
    </row>
    <row r="47">
      <c r="A47" s="13" t="n">
        <v>46341</v>
      </c>
      <c r="B47" s="9" t="inlineStr">
        <is>
          <t>Sun</t>
        </is>
      </c>
      <c r="C47" s="9" t="n">
        <v>6</v>
      </c>
      <c r="D47" s="9" t="inlineStr">
        <is>
          <t>Mobility 20 min + weekly review</t>
        </is>
      </c>
      <c r="E47" s="4" t="n"/>
      <c r="F47" s="4" t="n"/>
      <c r="G47" s="4" t="n"/>
      <c r="H47" s="4" t="n"/>
      <c r="I47" s="4" t="n"/>
      <c r="J47" s="4" t="n"/>
      <c r="K47" s="4" t="n"/>
    </row>
    <row r="48">
      <c r="A48" s="13" t="n">
        <v>46342</v>
      </c>
      <c r="B48" s="9" t="inlineStr">
        <is>
          <t>Mon</t>
        </is>
      </c>
      <c r="C48" s="9" t="n">
        <v>7</v>
      </c>
      <c r="D48" s="9" t="inlineStr">
        <is>
          <t>Strength A (3 sets, RPE 7-8)</t>
        </is>
      </c>
      <c r="E48" s="4" t="n"/>
      <c r="F48" s="4" t="n"/>
      <c r="G48" s="4" t="n"/>
      <c r="H48" s="4" t="n"/>
      <c r="I48" s="4" t="n"/>
      <c r="J48" s="4" t="n"/>
      <c r="K48" s="4" t="n"/>
    </row>
    <row r="49">
      <c r="A49" s="13" t="n">
        <v>46343</v>
      </c>
      <c r="B49" s="9" t="inlineStr">
        <is>
          <t>Tue</t>
        </is>
      </c>
      <c r="C49" s="9" t="n">
        <v>7</v>
      </c>
      <c r="D49" s="9" t="inlineStr">
        <is>
          <t>Zone 2 cardio 35-40 min</t>
        </is>
      </c>
      <c r="E49" s="4" t="n"/>
      <c r="F49" s="4" t="n"/>
      <c r="G49" s="4" t="n"/>
      <c r="H49" s="4" t="n"/>
      <c r="I49" s="4" t="n"/>
      <c r="J49" s="4" t="n"/>
      <c r="K49" s="4" t="n"/>
    </row>
    <row r="50">
      <c r="A50" s="13" t="n">
        <v>46344</v>
      </c>
      <c r="B50" s="9" t="inlineStr">
        <is>
          <t>Wed</t>
        </is>
      </c>
      <c r="C50" s="9" t="n">
        <v>7</v>
      </c>
      <c r="D50" s="9" t="inlineStr">
        <is>
          <t>Strength B (3 sets, RPE 7-8)</t>
        </is>
      </c>
      <c r="E50" s="4" t="n"/>
      <c r="F50" s="4" t="n"/>
      <c r="G50" s="4" t="n"/>
      <c r="H50" s="4" t="n"/>
      <c r="I50" s="4" t="n"/>
      <c r="J50" s="4" t="n"/>
      <c r="K50" s="4" t="n"/>
    </row>
    <row r="51">
      <c r="A51" s="13" t="n">
        <v>46345</v>
      </c>
      <c r="B51" s="9" t="inlineStr">
        <is>
          <t>Thu</t>
        </is>
      </c>
      <c r="C51" s="9" t="n">
        <v>7</v>
      </c>
      <c r="D51" s="9" t="inlineStr">
        <is>
          <t>Zone 2 cardio 35-40 min</t>
        </is>
      </c>
      <c r="E51" s="4" t="n"/>
      <c r="F51" s="4" t="n"/>
      <c r="G51" s="4" t="n"/>
      <c r="H51" s="4" t="n"/>
      <c r="I51" s="4" t="n"/>
      <c r="J51" s="4" t="n"/>
      <c r="K51" s="4" t="n"/>
    </row>
    <row r="52">
      <c r="A52" s="13" t="n">
        <v>46346</v>
      </c>
      <c r="B52" s="9" t="inlineStr">
        <is>
          <t>Fri</t>
        </is>
      </c>
      <c r="C52" s="9" t="n">
        <v>7</v>
      </c>
      <c r="D52" s="9" t="inlineStr">
        <is>
          <t>Strength A (3 sets, RPE 7-8)</t>
        </is>
      </c>
      <c r="E52" s="4" t="n"/>
      <c r="F52" s="4" t="n"/>
      <c r="G52" s="4" t="n"/>
      <c r="H52" s="4" t="n"/>
      <c r="I52" s="4" t="n"/>
      <c r="J52" s="4" t="n"/>
      <c r="K52" s="4" t="n"/>
    </row>
    <row r="53">
      <c r="A53" s="13" t="n">
        <v>46347</v>
      </c>
      <c r="B53" s="9" t="inlineStr">
        <is>
          <t>Sat</t>
        </is>
      </c>
      <c r="C53" s="9" t="n">
        <v>7</v>
      </c>
      <c r="D53" s="9" t="inlineStr">
        <is>
          <t>Activity 45-60 min (hike, sport, long walk)</t>
        </is>
      </c>
      <c r="E53" s="4" t="n"/>
      <c r="F53" s="4" t="n"/>
      <c r="G53" s="4" t="n"/>
      <c r="H53" s="4" t="n"/>
      <c r="I53" s="4" t="n"/>
      <c r="J53" s="4" t="n"/>
      <c r="K53" s="4" t="n"/>
    </row>
    <row r="54">
      <c r="A54" s="13" t="n">
        <v>46348</v>
      </c>
      <c r="B54" s="9" t="inlineStr">
        <is>
          <t>Sun</t>
        </is>
      </c>
      <c r="C54" s="9" t="n">
        <v>7</v>
      </c>
      <c r="D54" s="9" t="inlineStr">
        <is>
          <t>Mobility 20 min + weekly review</t>
        </is>
      </c>
      <c r="E54" s="4" t="n"/>
      <c r="F54" s="4" t="n"/>
      <c r="G54" s="4" t="n"/>
      <c r="H54" s="4" t="n"/>
      <c r="I54" s="4" t="n"/>
      <c r="J54" s="4" t="n"/>
      <c r="K54" s="4" t="n"/>
    </row>
    <row r="55">
      <c r="A55" s="13" t="n">
        <v>46349</v>
      </c>
      <c r="B55" s="9" t="inlineStr">
        <is>
          <t>Mon</t>
        </is>
      </c>
      <c r="C55" s="9" t="n">
        <v>8</v>
      </c>
      <c r="D55" s="9" t="inlineStr">
        <is>
          <t>Strength B (3 sets, RPE 7-8)</t>
        </is>
      </c>
      <c r="E55" s="4" t="n"/>
      <c r="F55" s="4" t="n"/>
      <c r="G55" s="4" t="n"/>
      <c r="H55" s="4" t="n"/>
      <c r="I55" s="4" t="n"/>
      <c r="J55" s="4" t="n"/>
      <c r="K55" s="4" t="n"/>
    </row>
    <row r="56">
      <c r="A56" s="13" t="n">
        <v>46350</v>
      </c>
      <c r="B56" s="9" t="inlineStr">
        <is>
          <t>Tue</t>
        </is>
      </c>
      <c r="C56" s="9" t="n">
        <v>8</v>
      </c>
      <c r="D56" s="9" t="inlineStr">
        <is>
          <t>Zone 2 cardio 35-40 min</t>
        </is>
      </c>
      <c r="E56" s="4" t="n"/>
      <c r="F56" s="4" t="n"/>
      <c r="G56" s="4" t="n"/>
      <c r="H56" s="4" t="n"/>
      <c r="I56" s="4" t="n"/>
      <c r="J56" s="4" t="n"/>
      <c r="K56" s="4" t="n"/>
    </row>
    <row r="57">
      <c r="A57" s="13" t="n">
        <v>46351</v>
      </c>
      <c r="B57" s="9" t="inlineStr">
        <is>
          <t>Wed</t>
        </is>
      </c>
      <c r="C57" s="9" t="n">
        <v>8</v>
      </c>
      <c r="D57" s="9" t="inlineStr">
        <is>
          <t>Strength A (3 sets, RPE 7-8)</t>
        </is>
      </c>
      <c r="E57" s="4" t="n"/>
      <c r="F57" s="4" t="n"/>
      <c r="G57" s="4" t="n"/>
      <c r="H57" s="4" t="n"/>
      <c r="I57" s="4" t="n"/>
      <c r="J57" s="4" t="n"/>
      <c r="K57" s="4" t="n"/>
    </row>
    <row r="58">
      <c r="A58" s="13" t="n">
        <v>46352</v>
      </c>
      <c r="B58" s="9" t="inlineStr">
        <is>
          <t>Thu</t>
        </is>
      </c>
      <c r="C58" s="9" t="n">
        <v>8</v>
      </c>
      <c r="D58" s="9" t="inlineStr">
        <is>
          <t>Zone 2 cardio 35-40 min</t>
        </is>
      </c>
      <c r="E58" s="4" t="n"/>
      <c r="F58" s="4" t="n"/>
      <c r="G58" s="4" t="n"/>
      <c r="H58" s="4" t="n"/>
      <c r="I58" s="4" t="n"/>
      <c r="J58" s="4" t="n"/>
      <c r="K58" s="4" t="n"/>
    </row>
    <row r="59">
      <c r="A59" s="13" t="n">
        <v>46353</v>
      </c>
      <c r="B59" s="9" t="inlineStr">
        <is>
          <t>Fri</t>
        </is>
      </c>
      <c r="C59" s="9" t="n">
        <v>8</v>
      </c>
      <c r="D59" s="9" t="inlineStr">
        <is>
          <t>Strength B (3 sets, RPE 7-8)</t>
        </is>
      </c>
      <c r="E59" s="4" t="n"/>
      <c r="F59" s="4" t="n"/>
      <c r="G59" s="4" t="n"/>
      <c r="H59" s="4" t="n"/>
      <c r="I59" s="4" t="n"/>
      <c r="J59" s="4" t="n"/>
      <c r="K59" s="4" t="n"/>
    </row>
    <row r="60">
      <c r="A60" s="13" t="n">
        <v>46354</v>
      </c>
      <c r="B60" s="9" t="inlineStr">
        <is>
          <t>Sat</t>
        </is>
      </c>
      <c r="C60" s="9" t="n">
        <v>8</v>
      </c>
      <c r="D60" s="9" t="inlineStr">
        <is>
          <t>Activity 45-60 min (hike, sport, long walk)</t>
        </is>
      </c>
      <c r="E60" s="4" t="n"/>
      <c r="F60" s="4" t="n"/>
      <c r="G60" s="4" t="n"/>
      <c r="H60" s="4" t="n"/>
      <c r="I60" s="4" t="n"/>
      <c r="J60" s="4" t="n"/>
      <c r="K60" s="4" t="n"/>
    </row>
    <row r="61">
      <c r="A61" s="13" t="n">
        <v>46355</v>
      </c>
      <c r="B61" s="9" t="inlineStr">
        <is>
          <t>Sun</t>
        </is>
      </c>
      <c r="C61" s="9" t="n">
        <v>8</v>
      </c>
      <c r="D61" s="9" t="inlineStr">
        <is>
          <t>Mobility 20 min + weekly review</t>
        </is>
      </c>
      <c r="E61" s="4" t="n"/>
      <c r="F61" s="4" t="n"/>
      <c r="G61" s="4" t="n"/>
      <c r="H61" s="4" t="n"/>
      <c r="I61" s="4" t="n"/>
      <c r="J61" s="4" t="n"/>
      <c r="K61" s="4" t="n"/>
    </row>
    <row r="62">
      <c r="A62" s="13" t="n">
        <v>46356</v>
      </c>
      <c r="B62" s="9" t="inlineStr">
        <is>
          <t>Mon</t>
        </is>
      </c>
      <c r="C62" s="9" t="n">
        <v>9</v>
      </c>
      <c r="D62" s="9" t="inlineStr">
        <is>
          <t>Strength A (deload: 2 sets, -40% load)</t>
        </is>
      </c>
      <c r="E62" s="4" t="n"/>
      <c r="F62" s="4" t="n"/>
      <c r="G62" s="4" t="n"/>
      <c r="H62" s="4" t="n"/>
      <c r="I62" s="4" t="n"/>
      <c r="J62" s="4" t="n"/>
      <c r="K62" s="4" t="n"/>
    </row>
    <row r="63">
      <c r="A63" s="13" t="n">
        <v>46357</v>
      </c>
      <c r="B63" s="9" t="inlineStr">
        <is>
          <t>Tue</t>
        </is>
      </c>
      <c r="C63" s="9" t="n">
        <v>9</v>
      </c>
      <c r="D63" s="9" t="inlineStr">
        <is>
          <t>Zone 2 cardio 35-40 min</t>
        </is>
      </c>
      <c r="E63" s="4" t="n"/>
      <c r="F63" s="4" t="n"/>
      <c r="G63" s="4" t="n"/>
      <c r="H63" s="4" t="n"/>
      <c r="I63" s="4" t="n"/>
      <c r="J63" s="4" t="n"/>
      <c r="K63" s="4" t="n"/>
    </row>
    <row r="64">
      <c r="A64" s="13" t="n">
        <v>46358</v>
      </c>
      <c r="B64" s="9" t="inlineStr">
        <is>
          <t>Wed</t>
        </is>
      </c>
      <c r="C64" s="9" t="n">
        <v>9</v>
      </c>
      <c r="D64" s="9" t="inlineStr">
        <is>
          <t>Strength B (deload: 2 sets, -40% load)</t>
        </is>
      </c>
      <c r="E64" s="4" t="n"/>
      <c r="F64" s="4" t="n"/>
      <c r="G64" s="4" t="n"/>
      <c r="H64" s="4" t="n"/>
      <c r="I64" s="4" t="n"/>
      <c r="J64" s="4" t="n"/>
      <c r="K64" s="4" t="n"/>
    </row>
    <row r="65">
      <c r="A65" s="13" t="n">
        <v>46359</v>
      </c>
      <c r="B65" s="9" t="inlineStr">
        <is>
          <t>Thu</t>
        </is>
      </c>
      <c r="C65" s="9" t="n">
        <v>9</v>
      </c>
      <c r="D65" s="9" t="inlineStr">
        <is>
          <t>Zone 2 cardio 35-40 min</t>
        </is>
      </c>
      <c r="E65" s="4" t="n"/>
      <c r="F65" s="4" t="n"/>
      <c r="G65" s="4" t="n"/>
      <c r="H65" s="4" t="n"/>
      <c r="I65" s="4" t="n"/>
      <c r="J65" s="4" t="n"/>
      <c r="K65" s="4" t="n"/>
    </row>
    <row r="66">
      <c r="A66" s="13" t="n">
        <v>46360</v>
      </c>
      <c r="B66" s="9" t="inlineStr">
        <is>
          <t>Fri</t>
        </is>
      </c>
      <c r="C66" s="9" t="n">
        <v>9</v>
      </c>
      <c r="D66" s="9" t="inlineStr">
        <is>
          <t>Strength A (deload: 2 sets, -40% load)</t>
        </is>
      </c>
      <c r="E66" s="4" t="n"/>
      <c r="F66" s="4" t="n"/>
      <c r="G66" s="4" t="n"/>
      <c r="H66" s="4" t="n"/>
      <c r="I66" s="4" t="n"/>
      <c r="J66" s="4" t="n"/>
      <c r="K66" s="4" t="n"/>
    </row>
    <row r="67">
      <c r="A67" s="13" t="n">
        <v>46361</v>
      </c>
      <c r="B67" s="9" t="inlineStr">
        <is>
          <t>Sat</t>
        </is>
      </c>
      <c r="C67" s="9" t="n">
        <v>9</v>
      </c>
      <c r="D67" s="9" t="inlineStr">
        <is>
          <t>Activity 45-60 min (hike, sport, long walk)</t>
        </is>
      </c>
      <c r="E67" s="4" t="n"/>
      <c r="F67" s="4" t="n"/>
      <c r="G67" s="4" t="n"/>
      <c r="H67" s="4" t="n"/>
      <c r="I67" s="4" t="n"/>
      <c r="J67" s="4" t="n"/>
      <c r="K67" s="4" t="n"/>
    </row>
    <row r="68">
      <c r="A68" s="13" t="n">
        <v>46362</v>
      </c>
      <c r="B68" s="9" t="inlineStr">
        <is>
          <t>Sun</t>
        </is>
      </c>
      <c r="C68" s="9" t="n">
        <v>9</v>
      </c>
      <c r="D68" s="9" t="inlineStr">
        <is>
          <t>Mobility 20 min + weekly review</t>
        </is>
      </c>
      <c r="E68" s="4" t="n"/>
      <c r="F68" s="4" t="n"/>
      <c r="G68" s="4" t="n"/>
      <c r="H68" s="4" t="n"/>
      <c r="I68" s="4" t="n"/>
      <c r="J68" s="4" t="n"/>
      <c r="K68" s="4" t="n"/>
    </row>
    <row r="69">
      <c r="A69" s="13" t="n">
        <v>46363</v>
      </c>
      <c r="B69" s="9" t="inlineStr">
        <is>
          <t>Mon</t>
        </is>
      </c>
      <c r="C69" s="9" t="n">
        <v>10</v>
      </c>
      <c r="D69" s="9" t="inlineStr">
        <is>
          <t>Strength B (3-4 sets, main lifts 6-10 reps)</t>
        </is>
      </c>
      <c r="E69" s="4" t="n"/>
      <c r="F69" s="4" t="n"/>
      <c r="G69" s="4" t="n"/>
      <c r="H69" s="4" t="n"/>
      <c r="I69" s="4" t="n"/>
      <c r="J69" s="4" t="n"/>
      <c r="K69" s="4" t="n"/>
    </row>
    <row r="70">
      <c r="A70" s="13" t="n">
        <v>46364</v>
      </c>
      <c r="B70" s="9" t="inlineStr">
        <is>
          <t>Tue</t>
        </is>
      </c>
      <c r="C70" s="9" t="n">
        <v>10</v>
      </c>
      <c r="D70" s="9" t="inlineStr">
        <is>
          <t>Zone 2 cardio 35-40 min</t>
        </is>
      </c>
      <c r="E70" s="4" t="n"/>
      <c r="F70" s="4" t="n"/>
      <c r="G70" s="4" t="n"/>
      <c r="H70" s="4" t="n"/>
      <c r="I70" s="4" t="n"/>
      <c r="J70" s="4" t="n"/>
      <c r="K70" s="4" t="n"/>
    </row>
    <row r="71">
      <c r="A71" s="13" t="n">
        <v>46365</v>
      </c>
      <c r="B71" s="9" t="inlineStr">
        <is>
          <t>Wed</t>
        </is>
      </c>
      <c r="C71" s="9" t="n">
        <v>10</v>
      </c>
      <c r="D71" s="9" t="inlineStr">
        <is>
          <t>Strength A (3-4 sets, main lifts 6-10 reps)</t>
        </is>
      </c>
      <c r="E71" s="4" t="n"/>
      <c r="F71" s="4" t="n"/>
      <c r="G71" s="4" t="n"/>
      <c r="H71" s="4" t="n"/>
      <c r="I71" s="4" t="n"/>
      <c r="J71" s="4" t="n"/>
      <c r="K71" s="4" t="n"/>
    </row>
    <row r="72">
      <c r="A72" s="13" t="n">
        <v>46366</v>
      </c>
      <c r="B72" s="9" t="inlineStr">
        <is>
          <t>Thu</t>
        </is>
      </c>
      <c r="C72" s="9" t="n">
        <v>10</v>
      </c>
      <c r="D72" s="9" t="inlineStr">
        <is>
          <t>Zone 2 cardio 35-40 min</t>
        </is>
      </c>
      <c r="E72" s="4" t="n"/>
      <c r="F72" s="4" t="n"/>
      <c r="G72" s="4" t="n"/>
      <c r="H72" s="4" t="n"/>
      <c r="I72" s="4" t="n"/>
      <c r="J72" s="4" t="n"/>
      <c r="K72" s="4" t="n"/>
    </row>
    <row r="73">
      <c r="A73" s="13" t="n">
        <v>46367</v>
      </c>
      <c r="B73" s="9" t="inlineStr">
        <is>
          <t>Fri</t>
        </is>
      </c>
      <c r="C73" s="9" t="n">
        <v>10</v>
      </c>
      <c r="D73" s="9" t="inlineStr">
        <is>
          <t>Strength B (3-4 sets, main lifts 6-10 reps)</t>
        </is>
      </c>
      <c r="E73" s="4" t="n"/>
      <c r="F73" s="4" t="n"/>
      <c r="G73" s="4" t="n"/>
      <c r="H73" s="4" t="n"/>
      <c r="I73" s="4" t="n"/>
      <c r="J73" s="4" t="n"/>
      <c r="K73" s="4" t="n"/>
    </row>
    <row r="74">
      <c r="A74" s="13" t="n">
        <v>46368</v>
      </c>
      <c r="B74" s="9" t="inlineStr">
        <is>
          <t>Sat</t>
        </is>
      </c>
      <c r="C74" s="9" t="n">
        <v>10</v>
      </c>
      <c r="D74" s="9" t="inlineStr">
        <is>
          <t>Activity 45-60 min (hike, sport, long walk)</t>
        </is>
      </c>
      <c r="E74" s="4" t="n"/>
      <c r="F74" s="4" t="n"/>
      <c r="G74" s="4" t="n"/>
      <c r="H74" s="4" t="n"/>
      <c r="I74" s="4" t="n"/>
      <c r="J74" s="4" t="n"/>
      <c r="K74" s="4" t="n"/>
    </row>
    <row r="75">
      <c r="A75" s="13" t="n">
        <v>46369</v>
      </c>
      <c r="B75" s="9" t="inlineStr">
        <is>
          <t>Sun</t>
        </is>
      </c>
      <c r="C75" s="9" t="n">
        <v>10</v>
      </c>
      <c r="D75" s="9" t="inlineStr">
        <is>
          <t>Mobility 20 min + weekly review</t>
        </is>
      </c>
      <c r="E75" s="4" t="n"/>
      <c r="F75" s="4" t="n"/>
      <c r="G75" s="4" t="n"/>
      <c r="H75" s="4" t="n"/>
      <c r="I75" s="4" t="n"/>
      <c r="J75" s="4" t="n"/>
      <c r="K75" s="4" t="n"/>
    </row>
    <row r="76">
      <c r="A76" s="13" t="n">
        <v>46370</v>
      </c>
      <c r="B76" s="9" t="inlineStr">
        <is>
          <t>Mon</t>
        </is>
      </c>
      <c r="C76" s="9" t="n">
        <v>11</v>
      </c>
      <c r="D76" s="9" t="inlineStr">
        <is>
          <t>Strength A (3-4 sets, main lifts 6-10 reps)</t>
        </is>
      </c>
      <c r="E76" s="4" t="n"/>
      <c r="F76" s="4" t="n"/>
      <c r="G76" s="4" t="n"/>
      <c r="H76" s="4" t="n"/>
      <c r="I76" s="4" t="n"/>
      <c r="J76" s="4" t="n"/>
      <c r="K76" s="4" t="n"/>
    </row>
    <row r="77">
      <c r="A77" s="13" t="n">
        <v>46371</v>
      </c>
      <c r="B77" s="9" t="inlineStr">
        <is>
          <t>Tue</t>
        </is>
      </c>
      <c r="C77" s="9" t="n">
        <v>11</v>
      </c>
      <c r="D77" s="9" t="inlineStr">
        <is>
          <t>Zone 2 cardio 35-40 min</t>
        </is>
      </c>
      <c r="E77" s="4" t="n"/>
      <c r="F77" s="4" t="n"/>
      <c r="G77" s="4" t="n"/>
      <c r="H77" s="4" t="n"/>
      <c r="I77" s="4" t="n"/>
      <c r="J77" s="4" t="n"/>
      <c r="K77" s="4" t="n"/>
    </row>
    <row r="78">
      <c r="A78" s="13" t="n">
        <v>46372</v>
      </c>
      <c r="B78" s="9" t="inlineStr">
        <is>
          <t>Wed</t>
        </is>
      </c>
      <c r="C78" s="9" t="n">
        <v>11</v>
      </c>
      <c r="D78" s="9" t="inlineStr">
        <is>
          <t>Strength B (3-4 sets, main lifts 6-10 reps)</t>
        </is>
      </c>
      <c r="E78" s="4" t="n"/>
      <c r="F78" s="4" t="n"/>
      <c r="G78" s="4" t="n"/>
      <c r="H78" s="4" t="n"/>
      <c r="I78" s="4" t="n"/>
      <c r="J78" s="4" t="n"/>
      <c r="K78" s="4" t="n"/>
    </row>
    <row r="79">
      <c r="A79" s="13" t="n">
        <v>46373</v>
      </c>
      <c r="B79" s="9" t="inlineStr">
        <is>
          <t>Thu</t>
        </is>
      </c>
      <c r="C79" s="9" t="n">
        <v>11</v>
      </c>
      <c r="D79" s="9" t="inlineStr">
        <is>
          <t>Zone 2 cardio 35-40 min</t>
        </is>
      </c>
      <c r="E79" s="4" t="n"/>
      <c r="F79" s="4" t="n"/>
      <c r="G79" s="4" t="n"/>
      <c r="H79" s="4" t="n"/>
      <c r="I79" s="4" t="n"/>
      <c r="J79" s="4" t="n"/>
      <c r="K79" s="4" t="n"/>
    </row>
    <row r="80">
      <c r="A80" s="13" t="n">
        <v>46374</v>
      </c>
      <c r="B80" s="9" t="inlineStr">
        <is>
          <t>Fri</t>
        </is>
      </c>
      <c r="C80" s="9" t="n">
        <v>11</v>
      </c>
      <c r="D80" s="9" t="inlineStr">
        <is>
          <t>Strength A (3-4 sets, main lifts 6-10 reps)</t>
        </is>
      </c>
      <c r="E80" s="4" t="n"/>
      <c r="F80" s="4" t="n"/>
      <c r="G80" s="4" t="n"/>
      <c r="H80" s="4" t="n"/>
      <c r="I80" s="4" t="n"/>
      <c r="J80" s="4" t="n"/>
      <c r="K80" s="4" t="n"/>
    </row>
    <row r="81">
      <c r="A81" s="13" t="n">
        <v>46375</v>
      </c>
      <c r="B81" s="9" t="inlineStr">
        <is>
          <t>Sat</t>
        </is>
      </c>
      <c r="C81" s="9" t="n">
        <v>11</v>
      </c>
      <c r="D81" s="9" t="inlineStr">
        <is>
          <t>Activity 45-60 min (hike, sport, long walk)</t>
        </is>
      </c>
      <c r="E81" s="4" t="n"/>
      <c r="F81" s="4" t="n"/>
      <c r="G81" s="4" t="n"/>
      <c r="H81" s="4" t="n"/>
      <c r="I81" s="4" t="n"/>
      <c r="J81" s="4" t="n"/>
      <c r="K81" s="4" t="n"/>
    </row>
    <row r="82">
      <c r="A82" s="13" t="n">
        <v>46376</v>
      </c>
      <c r="B82" s="9" t="inlineStr">
        <is>
          <t>Sun</t>
        </is>
      </c>
      <c r="C82" s="9" t="n">
        <v>11</v>
      </c>
      <c r="D82" s="9" t="inlineStr">
        <is>
          <t>Mobility 20 min + weekly review</t>
        </is>
      </c>
      <c r="E82" s="4" t="n"/>
      <c r="F82" s="4" t="n"/>
      <c r="G82" s="4" t="n"/>
      <c r="H82" s="4" t="n"/>
      <c r="I82" s="4" t="n"/>
      <c r="J82" s="4" t="n"/>
      <c r="K82" s="4" t="n"/>
    </row>
    <row r="83">
      <c r="A83" s="13" t="n">
        <v>46377</v>
      </c>
      <c r="B83" s="9" t="inlineStr">
        <is>
          <t>Mon</t>
        </is>
      </c>
      <c r="C83" s="9" t="n">
        <v>12</v>
      </c>
      <c r="D83" s="9" t="inlineStr">
        <is>
          <t>Strength B (3-4 sets, main lifts 6-10 reps)</t>
        </is>
      </c>
      <c r="E83" s="4" t="n"/>
      <c r="F83" s="4" t="n"/>
      <c r="G83" s="4" t="n"/>
      <c r="H83" s="4" t="n"/>
      <c r="I83" s="4" t="n"/>
      <c r="J83" s="4" t="n"/>
      <c r="K83" s="4" t="n"/>
    </row>
    <row r="84">
      <c r="A84" s="13" t="n">
        <v>46378</v>
      </c>
      <c r="B84" s="9" t="inlineStr">
        <is>
          <t>Tue</t>
        </is>
      </c>
      <c r="C84" s="9" t="n">
        <v>12</v>
      </c>
      <c r="D84" s="9" t="inlineStr">
        <is>
          <t>Zone 2 cardio 35-40 min</t>
        </is>
      </c>
      <c r="E84" s="4" t="n"/>
      <c r="F84" s="4" t="n"/>
      <c r="G84" s="4" t="n"/>
      <c r="H84" s="4" t="n"/>
      <c r="I84" s="4" t="n"/>
      <c r="J84" s="4" t="n"/>
      <c r="K84" s="4" t="n"/>
    </row>
    <row r="85">
      <c r="A85" s="13" t="n">
        <v>46379</v>
      </c>
      <c r="B85" s="9" t="inlineStr">
        <is>
          <t>Wed</t>
        </is>
      </c>
      <c r="C85" s="9" t="n">
        <v>12</v>
      </c>
      <c r="D85" s="9" t="inlineStr">
        <is>
          <t>Strength A (3-4 sets, main lifts 6-10 reps)</t>
        </is>
      </c>
      <c r="E85" s="4" t="n"/>
      <c r="F85" s="4" t="n"/>
      <c r="G85" s="4" t="n"/>
      <c r="H85" s="4" t="n"/>
      <c r="I85" s="4" t="n"/>
      <c r="J85" s="4" t="n"/>
      <c r="K85" s="4" t="n"/>
    </row>
    <row r="86">
      <c r="A86" s="13" t="n">
        <v>46380</v>
      </c>
      <c r="B86" s="9" t="inlineStr">
        <is>
          <t>Thu</t>
        </is>
      </c>
      <c r="C86" s="9" t="n">
        <v>12</v>
      </c>
      <c r="D86" s="9" t="inlineStr">
        <is>
          <t>Zone 2 cardio 35-40 min</t>
        </is>
      </c>
      <c r="E86" s="4" t="n"/>
      <c r="F86" s="4" t="n"/>
      <c r="G86" s="4" t="n"/>
      <c r="H86" s="4" t="n"/>
      <c r="I86" s="4" t="n"/>
      <c r="J86" s="4" t="n"/>
      <c r="K86" s="4" t="n"/>
    </row>
    <row r="87">
      <c r="A87" s="13" t="n">
        <v>46381</v>
      </c>
      <c r="B87" s="9" t="inlineStr">
        <is>
          <t>Fri</t>
        </is>
      </c>
      <c r="C87" s="9" t="n">
        <v>12</v>
      </c>
      <c r="D87" s="9" t="inlineStr">
        <is>
          <t>Strength B (3-4 sets, main lifts 6-10 reps)</t>
        </is>
      </c>
      <c r="E87" s="4" t="n"/>
      <c r="F87" s="4" t="n"/>
      <c r="G87" s="4" t="n"/>
      <c r="H87" s="4" t="n"/>
      <c r="I87" s="4" t="n"/>
      <c r="J87" s="4" t="n"/>
      <c r="K87" s="4" t="n"/>
    </row>
    <row r="88">
      <c r="A88" s="13" t="n">
        <v>46382</v>
      </c>
      <c r="B88" s="9" t="inlineStr">
        <is>
          <t>Sat</t>
        </is>
      </c>
      <c r="C88" s="9" t="n">
        <v>12</v>
      </c>
      <c r="D88" s="9" t="inlineStr">
        <is>
          <t>Activity 45-60 min (hike, sport, long walk)</t>
        </is>
      </c>
      <c r="E88" s="4" t="n"/>
      <c r="F88" s="4" t="n"/>
      <c r="G88" s="4" t="n"/>
      <c r="H88" s="4" t="n"/>
      <c r="I88" s="4" t="n"/>
      <c r="J88" s="4" t="n"/>
      <c r="K88" s="4" t="n"/>
    </row>
    <row r="89">
      <c r="A89" s="13" t="n">
        <v>46383</v>
      </c>
      <c r="B89" s="9" t="inlineStr">
        <is>
          <t>Sun</t>
        </is>
      </c>
      <c r="C89" s="9" t="n">
        <v>12</v>
      </c>
      <c r="D89" s="9" t="inlineStr">
        <is>
          <t>Mobility 20 min + weekly review</t>
        </is>
      </c>
      <c r="E89" s="4" t="n"/>
      <c r="F89" s="4" t="n"/>
      <c r="G89" s="4" t="n"/>
      <c r="H89" s="4" t="n"/>
      <c r="I89" s="4" t="n"/>
      <c r="J89" s="4" t="n"/>
      <c r="K89" s="4" t="n"/>
    </row>
    <row r="90">
      <c r="A90" s="13" t="n">
        <v>46384</v>
      </c>
      <c r="B90" s="9" t="inlineStr">
        <is>
          <t>Mon</t>
        </is>
      </c>
      <c r="C90" s="9" t="n">
        <v>13</v>
      </c>
      <c r="D90" s="9" t="inlineStr">
        <is>
          <t>Benchmarks 1: back squat 5RM, bench press 5RM, push-ups to failure</t>
        </is>
      </c>
      <c r="E90" s="4" t="n"/>
      <c r="F90" s="4" t="n"/>
      <c r="G90" s="4" t="n"/>
      <c r="H90" s="4" t="n"/>
      <c r="I90" s="4" t="n"/>
      <c r="J90" s="4" t="n"/>
      <c r="K90" s="4" t="n"/>
    </row>
    <row r="91">
      <c r="A91" s="13" t="n">
        <v>46385</v>
      </c>
      <c r="B91" s="9" t="inlineStr">
        <is>
          <t>Tue</t>
        </is>
      </c>
      <c r="C91" s="9" t="n">
        <v>13</v>
      </c>
      <c r="D91" s="9" t="inlineStr">
        <is>
          <t>Zone 2 cardio 35-40 min</t>
        </is>
      </c>
      <c r="E91" s="4" t="n"/>
      <c r="F91" s="4" t="n"/>
      <c r="G91" s="4" t="n"/>
      <c r="H91" s="4" t="n"/>
      <c r="I91" s="4" t="n"/>
      <c r="J91" s="4" t="n"/>
      <c r="K91" s="4" t="n"/>
    </row>
    <row r="92">
      <c r="A92" s="13" t="n">
        <v>46386</v>
      </c>
      <c r="B92" s="9" t="inlineStr">
        <is>
          <t>Wed</t>
        </is>
      </c>
      <c r="C92" s="9" t="n">
        <v>13</v>
      </c>
      <c r="D92" s="9" t="inlineStr">
        <is>
          <t>Benchmarks 2: deadlift 5RM, strict chin-ups, dead hang, plank</t>
        </is>
      </c>
      <c r="E92" s="4" t="n"/>
      <c r="F92" s="4" t="n"/>
      <c r="G92" s="4" t="n"/>
      <c r="H92" s="4" t="n"/>
      <c r="I92" s="4" t="n"/>
      <c r="J92" s="4" t="n"/>
      <c r="K92" s="4" t="n"/>
    </row>
    <row r="93">
      <c r="A93" s="13" t="n">
        <v>46387</v>
      </c>
      <c r="B93" s="9" t="inlineStr">
        <is>
          <t>Thu</t>
        </is>
      </c>
      <c r="C93" s="9" t="n">
        <v>13</v>
      </c>
      <c r="D93" s="9" t="inlineStr">
        <is>
          <t>Zone 2 cardio 35-40 min</t>
        </is>
      </c>
      <c r="E93" s="4" t="n"/>
      <c r="F93" s="4" t="n"/>
      <c r="G93" s="4" t="n"/>
      <c r="H93" s="4" t="n"/>
      <c r="I93" s="4" t="n"/>
      <c r="J93" s="4" t="n"/>
      <c r="K93" s="4" t="n"/>
    </row>
    <row r="94">
      <c r="A94" s="13" t="n">
        <v>46388</v>
      </c>
      <c r="B94" s="9" t="inlineStr">
        <is>
          <t>Fri</t>
        </is>
      </c>
      <c r="C94" s="9" t="n">
        <v>13</v>
      </c>
      <c r="D94" s="9" t="inlineStr">
        <is>
          <t>Light full body + 12-min Cooper test</t>
        </is>
      </c>
      <c r="E94" s="4" t="n"/>
      <c r="F94" s="4" t="n"/>
      <c r="G94" s="4" t="n"/>
      <c r="H94" s="4" t="n"/>
      <c r="I94" s="4" t="n"/>
      <c r="J94" s="4" t="n"/>
      <c r="K94" s="4" t="n"/>
    </row>
    <row r="95">
      <c r="A95" s="13" t="n">
        <v>46389</v>
      </c>
      <c r="B95" s="9" t="inlineStr">
        <is>
          <t>Sat</t>
        </is>
      </c>
      <c r="C95" s="9" t="n">
        <v>13</v>
      </c>
      <c r="D95" s="9" t="inlineStr">
        <is>
          <t>Activity 45-60 min (hike, sport, long walk)</t>
        </is>
      </c>
      <c r="E95" s="4" t="n"/>
      <c r="F95" s="4" t="n"/>
      <c r="G95" s="4" t="n"/>
      <c r="H95" s="4" t="n"/>
      <c r="I95" s="4" t="n"/>
      <c r="J95" s="4" t="n"/>
      <c r="K95" s="4" t="n"/>
    </row>
    <row r="96">
      <c r="A96" s="13" t="n">
        <v>46390</v>
      </c>
      <c r="B96" s="9" t="inlineStr">
        <is>
          <t>Sun</t>
        </is>
      </c>
      <c r="C96" s="9" t="n">
        <v>13</v>
      </c>
      <c r="D96" s="9" t="inlineStr">
        <is>
          <t>Cycle 1 review + measurements + photos + rewrite rules</t>
        </is>
      </c>
      <c r="E96" s="4" t="n"/>
      <c r="F96" s="4" t="n"/>
      <c r="G96" s="4" t="n"/>
      <c r="H96" s="4" t="n"/>
      <c r="I96" s="4" t="n"/>
      <c r="J96" s="4" t="n"/>
      <c r="K96" s="4" t="n"/>
    </row>
    <row r="97">
      <c r="A97" s="13" t="n">
        <v>46391</v>
      </c>
      <c r="B97" s="9" t="inlineStr">
        <is>
          <t>Mon</t>
        </is>
      </c>
      <c r="C97" s="9" t="n">
        <v>14</v>
      </c>
      <c r="D97" s="9" t="inlineStr">
        <is>
          <t>Lower A</t>
        </is>
      </c>
      <c r="E97" s="4" t="n"/>
      <c r="F97" s="4" t="n"/>
      <c r="G97" s="4" t="n"/>
      <c r="H97" s="4" t="n"/>
      <c r="I97" s="4" t="n"/>
      <c r="J97" s="4" t="n"/>
      <c r="K97" s="4" t="n"/>
    </row>
    <row r="98">
      <c r="A98" s="13" t="n">
        <v>46392</v>
      </c>
      <c r="B98" s="9" t="inlineStr">
        <is>
          <t>Tue</t>
        </is>
      </c>
      <c r="C98" s="9" t="n">
        <v>14</v>
      </c>
      <c r="D98" s="9" t="inlineStr">
        <is>
          <t>Upper A</t>
        </is>
      </c>
      <c r="E98" s="4" t="n"/>
      <c r="F98" s="4" t="n"/>
      <c r="G98" s="4" t="n"/>
      <c r="H98" s="4" t="n"/>
      <c r="I98" s="4" t="n"/>
      <c r="J98" s="4" t="n"/>
      <c r="K98" s="4" t="n"/>
    </row>
    <row r="99">
      <c r="A99" s="13" t="n">
        <v>46393</v>
      </c>
      <c r="B99" s="9" t="inlineStr">
        <is>
          <t>Wed</t>
        </is>
      </c>
      <c r="C99" s="9" t="n">
        <v>14</v>
      </c>
      <c r="D99" s="9" t="inlineStr">
        <is>
          <t>Zone 2 cardio 40 min</t>
        </is>
      </c>
      <c r="E99" s="4" t="n"/>
      <c r="F99" s="4" t="n"/>
      <c r="G99" s="4" t="n"/>
      <c r="H99" s="4" t="n"/>
      <c r="I99" s="4" t="n"/>
      <c r="J99" s="4" t="n"/>
      <c r="K99" s="4" t="n"/>
    </row>
    <row r="100">
      <c r="A100" s="13" t="n">
        <v>46394</v>
      </c>
      <c r="B100" s="9" t="inlineStr">
        <is>
          <t>Thu</t>
        </is>
      </c>
      <c r="C100" s="9" t="n">
        <v>14</v>
      </c>
      <c r="D100" s="9" t="inlineStr">
        <is>
          <t>Lower B</t>
        </is>
      </c>
      <c r="E100" s="4" t="n"/>
      <c r="F100" s="4" t="n"/>
      <c r="G100" s="4" t="n"/>
      <c r="H100" s="4" t="n"/>
      <c r="I100" s="4" t="n"/>
      <c r="J100" s="4" t="n"/>
      <c r="K100" s="4" t="n"/>
    </row>
    <row r="101">
      <c r="A101" s="13" t="n">
        <v>46395</v>
      </c>
      <c r="B101" s="9" t="inlineStr">
        <is>
          <t>Fri</t>
        </is>
      </c>
      <c r="C101" s="9" t="n">
        <v>14</v>
      </c>
      <c r="D101" s="9" t="inlineStr">
        <is>
          <t>Upper B</t>
        </is>
      </c>
      <c r="E101" s="4" t="n"/>
      <c r="F101" s="4" t="n"/>
      <c r="G101" s="4" t="n"/>
      <c r="H101" s="4" t="n"/>
      <c r="I101" s="4" t="n"/>
      <c r="J101" s="4" t="n"/>
      <c r="K101" s="4" t="n"/>
    </row>
    <row r="102">
      <c r="A102" s="13" t="n">
        <v>46396</v>
      </c>
      <c r="B102" s="9" t="inlineStr">
        <is>
          <t>Sat</t>
        </is>
      </c>
      <c r="C102" s="9" t="n">
        <v>14</v>
      </c>
      <c r="D102" s="9" t="inlineStr">
        <is>
          <t>Intervals 8 x 1 min hard / 2 min easy, or sport 45-60 min</t>
        </is>
      </c>
      <c r="E102" s="4" t="n"/>
      <c r="F102" s="4" t="n"/>
      <c r="G102" s="4" t="n"/>
      <c r="H102" s="4" t="n"/>
      <c r="I102" s="4" t="n"/>
      <c r="J102" s="4" t="n"/>
      <c r="K102" s="4" t="n"/>
    </row>
    <row r="103">
      <c r="A103" s="13" t="n">
        <v>46397</v>
      </c>
      <c r="B103" s="9" t="inlineStr">
        <is>
          <t>Sun</t>
        </is>
      </c>
      <c r="C103" s="9" t="n">
        <v>14</v>
      </c>
      <c r="D103" s="9" t="inlineStr">
        <is>
          <t>Mobility 20 min + weekly review</t>
        </is>
      </c>
      <c r="E103" s="4" t="n"/>
      <c r="F103" s="4" t="n"/>
      <c r="G103" s="4" t="n"/>
      <c r="H103" s="4" t="n"/>
      <c r="I103" s="4" t="n"/>
      <c r="J103" s="4" t="n"/>
      <c r="K103" s="4" t="n"/>
    </row>
    <row r="104">
      <c r="A104" s="13" t="n">
        <v>46398</v>
      </c>
      <c r="B104" s="9" t="inlineStr">
        <is>
          <t>Mon</t>
        </is>
      </c>
      <c r="C104" s="9" t="n">
        <v>15</v>
      </c>
      <c r="D104" s="9" t="inlineStr">
        <is>
          <t>Lower A</t>
        </is>
      </c>
      <c r="E104" s="4" t="n"/>
      <c r="F104" s="4" t="n"/>
      <c r="G104" s="4" t="n"/>
      <c r="H104" s="4" t="n"/>
      <c r="I104" s="4" t="n"/>
      <c r="J104" s="4" t="n"/>
      <c r="K104" s="4" t="n"/>
    </row>
    <row r="105">
      <c r="A105" s="13" t="n">
        <v>46399</v>
      </c>
      <c r="B105" s="9" t="inlineStr">
        <is>
          <t>Tue</t>
        </is>
      </c>
      <c r="C105" s="9" t="n">
        <v>15</v>
      </c>
      <c r="D105" s="9" t="inlineStr">
        <is>
          <t>Upper A</t>
        </is>
      </c>
      <c r="E105" s="4" t="n"/>
      <c r="F105" s="4" t="n"/>
      <c r="G105" s="4" t="n"/>
      <c r="H105" s="4" t="n"/>
      <c r="I105" s="4" t="n"/>
      <c r="J105" s="4" t="n"/>
      <c r="K105" s="4" t="n"/>
    </row>
    <row r="106">
      <c r="A106" s="13" t="n">
        <v>46400</v>
      </c>
      <c r="B106" s="9" t="inlineStr">
        <is>
          <t>Wed</t>
        </is>
      </c>
      <c r="C106" s="9" t="n">
        <v>15</v>
      </c>
      <c r="D106" s="9" t="inlineStr">
        <is>
          <t>Zone 2 cardio 40 min</t>
        </is>
      </c>
      <c r="E106" s="4" t="n"/>
      <c r="F106" s="4" t="n"/>
      <c r="G106" s="4" t="n"/>
      <c r="H106" s="4" t="n"/>
      <c r="I106" s="4" t="n"/>
      <c r="J106" s="4" t="n"/>
      <c r="K106" s="4" t="n"/>
    </row>
    <row r="107">
      <c r="A107" s="13" t="n">
        <v>46401</v>
      </c>
      <c r="B107" s="9" t="inlineStr">
        <is>
          <t>Thu</t>
        </is>
      </c>
      <c r="C107" s="9" t="n">
        <v>15</v>
      </c>
      <c r="D107" s="9" t="inlineStr">
        <is>
          <t>Lower B</t>
        </is>
      </c>
      <c r="E107" s="4" t="n"/>
      <c r="F107" s="4" t="n"/>
      <c r="G107" s="4" t="n"/>
      <c r="H107" s="4" t="n"/>
      <c r="I107" s="4" t="n"/>
      <c r="J107" s="4" t="n"/>
      <c r="K107" s="4" t="n"/>
    </row>
    <row r="108">
      <c r="A108" s="13" t="n">
        <v>46402</v>
      </c>
      <c r="B108" s="9" t="inlineStr">
        <is>
          <t>Fri</t>
        </is>
      </c>
      <c r="C108" s="9" t="n">
        <v>15</v>
      </c>
      <c r="D108" s="9" t="inlineStr">
        <is>
          <t>Upper B</t>
        </is>
      </c>
      <c r="E108" s="4" t="n"/>
      <c r="F108" s="4" t="n"/>
      <c r="G108" s="4" t="n"/>
      <c r="H108" s="4" t="n"/>
      <c r="I108" s="4" t="n"/>
      <c r="J108" s="4" t="n"/>
      <c r="K108" s="4" t="n"/>
    </row>
    <row r="109">
      <c r="A109" s="13" t="n">
        <v>46403</v>
      </c>
      <c r="B109" s="9" t="inlineStr">
        <is>
          <t>Sat</t>
        </is>
      </c>
      <c r="C109" s="9" t="n">
        <v>15</v>
      </c>
      <c r="D109" s="9" t="inlineStr">
        <is>
          <t>Intervals 8 x 1 min hard / 2 min easy, or sport 45-60 min</t>
        </is>
      </c>
      <c r="E109" s="4" t="n"/>
      <c r="F109" s="4" t="n"/>
      <c r="G109" s="4" t="n"/>
      <c r="H109" s="4" t="n"/>
      <c r="I109" s="4" t="n"/>
      <c r="J109" s="4" t="n"/>
      <c r="K109" s="4" t="n"/>
    </row>
    <row r="110">
      <c r="A110" s="13" t="n">
        <v>46404</v>
      </c>
      <c r="B110" s="9" t="inlineStr">
        <is>
          <t>Sun</t>
        </is>
      </c>
      <c r="C110" s="9" t="n">
        <v>15</v>
      </c>
      <c r="D110" s="9" t="inlineStr">
        <is>
          <t>Mobility 20 min + weekly review</t>
        </is>
      </c>
      <c r="E110" s="4" t="n"/>
      <c r="F110" s="4" t="n"/>
      <c r="G110" s="4" t="n"/>
      <c r="H110" s="4" t="n"/>
      <c r="I110" s="4" t="n"/>
      <c r="J110" s="4" t="n"/>
      <c r="K110" s="4" t="n"/>
    </row>
    <row r="111">
      <c r="A111" s="13" t="n">
        <v>46405</v>
      </c>
      <c r="B111" s="9" t="inlineStr">
        <is>
          <t>Mon</t>
        </is>
      </c>
      <c r="C111" s="9" t="n">
        <v>16</v>
      </c>
      <c r="D111" s="9" t="inlineStr">
        <is>
          <t>Lower A</t>
        </is>
      </c>
      <c r="E111" s="4" t="n"/>
      <c r="F111" s="4" t="n"/>
      <c r="G111" s="4" t="n"/>
      <c r="H111" s="4" t="n"/>
      <c r="I111" s="4" t="n"/>
      <c r="J111" s="4" t="n"/>
      <c r="K111" s="4" t="n"/>
    </row>
    <row r="112">
      <c r="A112" s="13" t="n">
        <v>46406</v>
      </c>
      <c r="B112" s="9" t="inlineStr">
        <is>
          <t>Tue</t>
        </is>
      </c>
      <c r="C112" s="9" t="n">
        <v>16</v>
      </c>
      <c r="D112" s="9" t="inlineStr">
        <is>
          <t>Upper A</t>
        </is>
      </c>
      <c r="E112" s="4" t="n"/>
      <c r="F112" s="4" t="n"/>
      <c r="G112" s="4" t="n"/>
      <c r="H112" s="4" t="n"/>
      <c r="I112" s="4" t="n"/>
      <c r="J112" s="4" t="n"/>
      <c r="K112" s="4" t="n"/>
    </row>
    <row r="113">
      <c r="A113" s="13" t="n">
        <v>46407</v>
      </c>
      <c r="B113" s="9" t="inlineStr">
        <is>
          <t>Wed</t>
        </is>
      </c>
      <c r="C113" s="9" t="n">
        <v>16</v>
      </c>
      <c r="D113" s="9" t="inlineStr">
        <is>
          <t>Zone 2 cardio 40 min</t>
        </is>
      </c>
      <c r="E113" s="4" t="n"/>
      <c r="F113" s="4" t="n"/>
      <c r="G113" s="4" t="n"/>
      <c r="H113" s="4" t="n"/>
      <c r="I113" s="4" t="n"/>
      <c r="J113" s="4" t="n"/>
      <c r="K113" s="4" t="n"/>
    </row>
    <row r="114">
      <c r="A114" s="13" t="n">
        <v>46408</v>
      </c>
      <c r="B114" s="9" t="inlineStr">
        <is>
          <t>Thu</t>
        </is>
      </c>
      <c r="C114" s="9" t="n">
        <v>16</v>
      </c>
      <c r="D114" s="9" t="inlineStr">
        <is>
          <t>Lower B</t>
        </is>
      </c>
      <c r="E114" s="4" t="n"/>
      <c r="F114" s="4" t="n"/>
      <c r="G114" s="4" t="n"/>
      <c r="H114" s="4" t="n"/>
      <c r="I114" s="4" t="n"/>
      <c r="J114" s="4" t="n"/>
      <c r="K114" s="4" t="n"/>
    </row>
    <row r="115">
      <c r="A115" s="13" t="n">
        <v>46409</v>
      </c>
      <c r="B115" s="9" t="inlineStr">
        <is>
          <t>Fri</t>
        </is>
      </c>
      <c r="C115" s="9" t="n">
        <v>16</v>
      </c>
      <c r="D115" s="9" t="inlineStr">
        <is>
          <t>Upper B</t>
        </is>
      </c>
      <c r="E115" s="4" t="n"/>
      <c r="F115" s="4" t="n"/>
      <c r="G115" s="4" t="n"/>
      <c r="H115" s="4" t="n"/>
      <c r="I115" s="4" t="n"/>
      <c r="J115" s="4" t="n"/>
      <c r="K115" s="4" t="n"/>
    </row>
    <row r="116">
      <c r="A116" s="13" t="n">
        <v>46410</v>
      </c>
      <c r="B116" s="9" t="inlineStr">
        <is>
          <t>Sat</t>
        </is>
      </c>
      <c r="C116" s="9" t="n">
        <v>16</v>
      </c>
      <c r="D116" s="9" t="inlineStr">
        <is>
          <t>Intervals 8 x 1 min hard / 2 min easy, or sport 45-60 min</t>
        </is>
      </c>
      <c r="E116" s="4" t="n"/>
      <c r="F116" s="4" t="n"/>
      <c r="G116" s="4" t="n"/>
      <c r="H116" s="4" t="n"/>
      <c r="I116" s="4" t="n"/>
      <c r="J116" s="4" t="n"/>
      <c r="K116" s="4" t="n"/>
    </row>
    <row r="117">
      <c r="A117" s="13" t="n">
        <v>46411</v>
      </c>
      <c r="B117" s="9" t="inlineStr">
        <is>
          <t>Sun</t>
        </is>
      </c>
      <c r="C117" s="9" t="n">
        <v>16</v>
      </c>
      <c r="D117" s="9" t="inlineStr">
        <is>
          <t>Mobility 20 min + weekly review</t>
        </is>
      </c>
      <c r="E117" s="4" t="n"/>
      <c r="F117" s="4" t="n"/>
      <c r="G117" s="4" t="n"/>
      <c r="H117" s="4" t="n"/>
      <c r="I117" s="4" t="n"/>
      <c r="J117" s="4" t="n"/>
      <c r="K117" s="4" t="n"/>
    </row>
    <row r="118">
      <c r="A118" s="13" t="n">
        <v>46412</v>
      </c>
      <c r="B118" s="9" t="inlineStr">
        <is>
          <t>Mon</t>
        </is>
      </c>
      <c r="C118" s="9" t="n">
        <v>17</v>
      </c>
      <c r="D118" s="9" t="inlineStr">
        <is>
          <t>Lower A</t>
        </is>
      </c>
      <c r="E118" s="4" t="n"/>
      <c r="F118" s="4" t="n"/>
      <c r="G118" s="4" t="n"/>
      <c r="H118" s="4" t="n"/>
      <c r="I118" s="4" t="n"/>
      <c r="J118" s="4" t="n"/>
      <c r="K118" s="4" t="n"/>
    </row>
    <row r="119">
      <c r="A119" s="13" t="n">
        <v>46413</v>
      </c>
      <c r="B119" s="9" t="inlineStr">
        <is>
          <t>Tue</t>
        </is>
      </c>
      <c r="C119" s="9" t="n">
        <v>17</v>
      </c>
      <c r="D119" s="9" t="inlineStr">
        <is>
          <t>Upper A</t>
        </is>
      </c>
      <c r="E119" s="4" t="n"/>
      <c r="F119" s="4" t="n"/>
      <c r="G119" s="4" t="n"/>
      <c r="H119" s="4" t="n"/>
      <c r="I119" s="4" t="n"/>
      <c r="J119" s="4" t="n"/>
      <c r="K119" s="4" t="n"/>
    </row>
    <row r="120">
      <c r="A120" s="13" t="n">
        <v>46414</v>
      </c>
      <c r="B120" s="9" t="inlineStr">
        <is>
          <t>Wed</t>
        </is>
      </c>
      <c r="C120" s="9" t="n">
        <v>17</v>
      </c>
      <c r="D120" s="9" t="inlineStr">
        <is>
          <t>Zone 2 cardio 40 min</t>
        </is>
      </c>
      <c r="E120" s="4" t="n"/>
      <c r="F120" s="4" t="n"/>
      <c r="G120" s="4" t="n"/>
      <c r="H120" s="4" t="n"/>
      <c r="I120" s="4" t="n"/>
      <c r="J120" s="4" t="n"/>
      <c r="K120" s="4" t="n"/>
    </row>
    <row r="121">
      <c r="A121" s="13" t="n">
        <v>46415</v>
      </c>
      <c r="B121" s="9" t="inlineStr">
        <is>
          <t>Thu</t>
        </is>
      </c>
      <c r="C121" s="9" t="n">
        <v>17</v>
      </c>
      <c r="D121" s="9" t="inlineStr">
        <is>
          <t>Lower B</t>
        </is>
      </c>
      <c r="E121" s="4" t="n"/>
      <c r="F121" s="4" t="n"/>
      <c r="G121" s="4" t="n"/>
      <c r="H121" s="4" t="n"/>
      <c r="I121" s="4" t="n"/>
      <c r="J121" s="4" t="n"/>
      <c r="K121" s="4" t="n"/>
    </row>
    <row r="122">
      <c r="A122" s="13" t="n">
        <v>46416</v>
      </c>
      <c r="B122" s="9" t="inlineStr">
        <is>
          <t>Fri</t>
        </is>
      </c>
      <c r="C122" s="9" t="n">
        <v>17</v>
      </c>
      <c r="D122" s="9" t="inlineStr">
        <is>
          <t>Upper B</t>
        </is>
      </c>
      <c r="E122" s="4" t="n"/>
      <c r="F122" s="4" t="n"/>
      <c r="G122" s="4" t="n"/>
      <c r="H122" s="4" t="n"/>
      <c r="I122" s="4" t="n"/>
      <c r="J122" s="4" t="n"/>
      <c r="K122" s="4" t="n"/>
    </row>
    <row r="123">
      <c r="A123" s="13" t="n">
        <v>46417</v>
      </c>
      <c r="B123" s="9" t="inlineStr">
        <is>
          <t>Sat</t>
        </is>
      </c>
      <c r="C123" s="9" t="n">
        <v>17</v>
      </c>
      <c r="D123" s="9" t="inlineStr">
        <is>
          <t>Intervals 8 x 1 min hard / 2 min easy, or sport 45-60 min</t>
        </is>
      </c>
      <c r="E123" s="4" t="n"/>
      <c r="F123" s="4" t="n"/>
      <c r="G123" s="4" t="n"/>
      <c r="H123" s="4" t="n"/>
      <c r="I123" s="4" t="n"/>
      <c r="J123" s="4" t="n"/>
      <c r="K123" s="4" t="n"/>
    </row>
    <row r="124">
      <c r="A124" s="13" t="n">
        <v>46418</v>
      </c>
      <c r="B124" s="9" t="inlineStr">
        <is>
          <t>Sun</t>
        </is>
      </c>
      <c r="C124" s="9" t="n">
        <v>17</v>
      </c>
      <c r="D124" s="9" t="inlineStr">
        <is>
          <t>Mobility 20 min + weekly review</t>
        </is>
      </c>
      <c r="E124" s="4" t="n"/>
      <c r="F124" s="4" t="n"/>
      <c r="G124" s="4" t="n"/>
      <c r="H124" s="4" t="n"/>
      <c r="I124" s="4" t="n"/>
      <c r="J124" s="4" t="n"/>
      <c r="K124" s="4" t="n"/>
    </row>
    <row r="125">
      <c r="A125" s="13" t="n">
        <v>46419</v>
      </c>
      <c r="B125" s="9" t="inlineStr">
        <is>
          <t>Mon</t>
        </is>
      </c>
      <c r="C125" s="9" t="n">
        <v>18</v>
      </c>
      <c r="D125" s="9" t="inlineStr">
        <is>
          <t>Lower A</t>
        </is>
      </c>
      <c r="E125" s="4" t="n"/>
      <c r="F125" s="4" t="n"/>
      <c r="G125" s="4" t="n"/>
      <c r="H125" s="4" t="n"/>
      <c r="I125" s="4" t="n"/>
      <c r="J125" s="4" t="n"/>
      <c r="K125" s="4" t="n"/>
    </row>
    <row r="126">
      <c r="A126" s="13" t="n">
        <v>46420</v>
      </c>
      <c r="B126" s="9" t="inlineStr">
        <is>
          <t>Tue</t>
        </is>
      </c>
      <c r="C126" s="9" t="n">
        <v>18</v>
      </c>
      <c r="D126" s="9" t="inlineStr">
        <is>
          <t>Upper A</t>
        </is>
      </c>
      <c r="E126" s="4" t="n"/>
      <c r="F126" s="4" t="n"/>
      <c r="G126" s="4" t="n"/>
      <c r="H126" s="4" t="n"/>
      <c r="I126" s="4" t="n"/>
      <c r="J126" s="4" t="n"/>
      <c r="K126" s="4" t="n"/>
    </row>
    <row r="127">
      <c r="A127" s="13" t="n">
        <v>46421</v>
      </c>
      <c r="B127" s="9" t="inlineStr">
        <is>
          <t>Wed</t>
        </is>
      </c>
      <c r="C127" s="9" t="n">
        <v>18</v>
      </c>
      <c r="D127" s="9" t="inlineStr">
        <is>
          <t>Zone 2 cardio 40 min</t>
        </is>
      </c>
      <c r="E127" s="4" t="n"/>
      <c r="F127" s="4" t="n"/>
      <c r="G127" s="4" t="n"/>
      <c r="H127" s="4" t="n"/>
      <c r="I127" s="4" t="n"/>
      <c r="J127" s="4" t="n"/>
      <c r="K127" s="4" t="n"/>
    </row>
    <row r="128">
      <c r="A128" s="13" t="n">
        <v>46422</v>
      </c>
      <c r="B128" s="9" t="inlineStr">
        <is>
          <t>Thu</t>
        </is>
      </c>
      <c r="C128" s="9" t="n">
        <v>18</v>
      </c>
      <c r="D128" s="9" t="inlineStr">
        <is>
          <t>Lower B</t>
        </is>
      </c>
      <c r="E128" s="4" t="n"/>
      <c r="F128" s="4" t="n"/>
      <c r="G128" s="4" t="n"/>
      <c r="H128" s="4" t="n"/>
      <c r="I128" s="4" t="n"/>
      <c r="J128" s="4" t="n"/>
      <c r="K128" s="4" t="n"/>
    </row>
    <row r="129">
      <c r="A129" s="13" t="n">
        <v>46423</v>
      </c>
      <c r="B129" s="9" t="inlineStr">
        <is>
          <t>Fri</t>
        </is>
      </c>
      <c r="C129" s="9" t="n">
        <v>18</v>
      </c>
      <c r="D129" s="9" t="inlineStr">
        <is>
          <t>Upper B</t>
        </is>
      </c>
      <c r="E129" s="4" t="n"/>
      <c r="F129" s="4" t="n"/>
      <c r="G129" s="4" t="n"/>
      <c r="H129" s="4" t="n"/>
      <c r="I129" s="4" t="n"/>
      <c r="J129" s="4" t="n"/>
      <c r="K129" s="4" t="n"/>
    </row>
    <row r="130">
      <c r="A130" s="13" t="n">
        <v>46424</v>
      </c>
      <c r="B130" s="9" t="inlineStr">
        <is>
          <t>Sat</t>
        </is>
      </c>
      <c r="C130" s="9" t="n">
        <v>18</v>
      </c>
      <c r="D130" s="9" t="inlineStr">
        <is>
          <t>Intervals 8 x 1 min hard / 2 min easy, or sport 45-60 min</t>
        </is>
      </c>
      <c r="E130" s="4" t="n"/>
      <c r="F130" s="4" t="n"/>
      <c r="G130" s="4" t="n"/>
      <c r="H130" s="4" t="n"/>
      <c r="I130" s="4" t="n"/>
      <c r="J130" s="4" t="n"/>
      <c r="K130" s="4" t="n"/>
    </row>
    <row r="131">
      <c r="A131" s="13" t="n">
        <v>46425</v>
      </c>
      <c r="B131" s="9" t="inlineStr">
        <is>
          <t>Sun</t>
        </is>
      </c>
      <c r="C131" s="9" t="n">
        <v>18</v>
      </c>
      <c r="D131" s="9" t="inlineStr">
        <is>
          <t>Mobility 20 min + weekly review</t>
        </is>
      </c>
      <c r="E131" s="4" t="n"/>
      <c r="F131" s="4" t="n"/>
      <c r="G131" s="4" t="n"/>
      <c r="H131" s="4" t="n"/>
      <c r="I131" s="4" t="n"/>
      <c r="J131" s="4" t="n"/>
      <c r="K131" s="4" t="n"/>
    </row>
    <row r="132">
      <c r="A132" s="13" t="n">
        <v>46426</v>
      </c>
      <c r="B132" s="9" t="inlineStr">
        <is>
          <t>Mon</t>
        </is>
      </c>
      <c r="C132" s="9" t="n">
        <v>19</v>
      </c>
      <c r="D132" s="9" t="inlineStr">
        <is>
          <t>Lower A</t>
        </is>
      </c>
      <c r="E132" s="4" t="n"/>
      <c r="F132" s="4" t="n"/>
      <c r="G132" s="4" t="n"/>
      <c r="H132" s="4" t="n"/>
      <c r="I132" s="4" t="n"/>
      <c r="J132" s="4" t="n"/>
      <c r="K132" s="4" t="n"/>
    </row>
    <row r="133">
      <c r="A133" s="13" t="n">
        <v>46427</v>
      </c>
      <c r="B133" s="9" t="inlineStr">
        <is>
          <t>Tue</t>
        </is>
      </c>
      <c r="C133" s="9" t="n">
        <v>19</v>
      </c>
      <c r="D133" s="9" t="inlineStr">
        <is>
          <t>Upper A</t>
        </is>
      </c>
      <c r="E133" s="4" t="n"/>
      <c r="F133" s="4" t="n"/>
      <c r="G133" s="4" t="n"/>
      <c r="H133" s="4" t="n"/>
      <c r="I133" s="4" t="n"/>
      <c r="J133" s="4" t="n"/>
      <c r="K133" s="4" t="n"/>
    </row>
    <row r="134">
      <c r="A134" s="13" t="n">
        <v>46428</v>
      </c>
      <c r="B134" s="9" t="inlineStr">
        <is>
          <t>Wed</t>
        </is>
      </c>
      <c r="C134" s="9" t="n">
        <v>19</v>
      </c>
      <c r="D134" s="9" t="inlineStr">
        <is>
          <t>Zone 2 cardio 40 min</t>
        </is>
      </c>
      <c r="E134" s="4" t="n"/>
      <c r="F134" s="4" t="n"/>
      <c r="G134" s="4" t="n"/>
      <c r="H134" s="4" t="n"/>
      <c r="I134" s="4" t="n"/>
      <c r="J134" s="4" t="n"/>
      <c r="K134" s="4" t="n"/>
    </row>
    <row r="135">
      <c r="A135" s="13" t="n">
        <v>46429</v>
      </c>
      <c r="B135" s="9" t="inlineStr">
        <is>
          <t>Thu</t>
        </is>
      </c>
      <c r="C135" s="9" t="n">
        <v>19</v>
      </c>
      <c r="D135" s="9" t="inlineStr">
        <is>
          <t>Lower B</t>
        </is>
      </c>
      <c r="E135" s="4" t="n"/>
      <c r="F135" s="4" t="n"/>
      <c r="G135" s="4" t="n"/>
      <c r="H135" s="4" t="n"/>
      <c r="I135" s="4" t="n"/>
      <c r="J135" s="4" t="n"/>
      <c r="K135" s="4" t="n"/>
    </row>
    <row r="136">
      <c r="A136" s="13" t="n">
        <v>46430</v>
      </c>
      <c r="B136" s="9" t="inlineStr">
        <is>
          <t>Fri</t>
        </is>
      </c>
      <c r="C136" s="9" t="n">
        <v>19</v>
      </c>
      <c r="D136" s="9" t="inlineStr">
        <is>
          <t>Upper B</t>
        </is>
      </c>
      <c r="E136" s="4" t="n"/>
      <c r="F136" s="4" t="n"/>
      <c r="G136" s="4" t="n"/>
      <c r="H136" s="4" t="n"/>
      <c r="I136" s="4" t="n"/>
      <c r="J136" s="4" t="n"/>
      <c r="K136" s="4" t="n"/>
    </row>
    <row r="137">
      <c r="A137" s="13" t="n">
        <v>46431</v>
      </c>
      <c r="B137" s="9" t="inlineStr">
        <is>
          <t>Sat</t>
        </is>
      </c>
      <c r="C137" s="9" t="n">
        <v>19</v>
      </c>
      <c r="D137" s="9" t="inlineStr">
        <is>
          <t>Intervals 8 x 1 min hard / 2 min easy, or sport 45-60 min</t>
        </is>
      </c>
      <c r="E137" s="4" t="n"/>
      <c r="F137" s="4" t="n"/>
      <c r="G137" s="4" t="n"/>
      <c r="H137" s="4" t="n"/>
      <c r="I137" s="4" t="n"/>
      <c r="J137" s="4" t="n"/>
      <c r="K137" s="4" t="n"/>
    </row>
    <row r="138">
      <c r="A138" s="13" t="n">
        <v>46432</v>
      </c>
      <c r="B138" s="9" t="inlineStr">
        <is>
          <t>Sun</t>
        </is>
      </c>
      <c r="C138" s="9" t="n">
        <v>19</v>
      </c>
      <c r="D138" s="9" t="inlineStr">
        <is>
          <t>Mobility 20 min + weekly review</t>
        </is>
      </c>
      <c r="E138" s="4" t="n"/>
      <c r="F138" s="4" t="n"/>
      <c r="G138" s="4" t="n"/>
      <c r="H138" s="4" t="n"/>
      <c r="I138" s="4" t="n"/>
      <c r="J138" s="4" t="n"/>
      <c r="K138" s="4" t="n"/>
    </row>
    <row r="139">
      <c r="A139" s="13" t="n">
        <v>46433</v>
      </c>
      <c r="B139" s="9" t="inlineStr">
        <is>
          <t>Mon</t>
        </is>
      </c>
      <c r="C139" s="9" t="n">
        <v>20</v>
      </c>
      <c r="D139" s="9" t="inlineStr">
        <is>
          <t>Lower A</t>
        </is>
      </c>
      <c r="E139" s="4" t="n"/>
      <c r="F139" s="4" t="n"/>
      <c r="G139" s="4" t="n"/>
      <c r="H139" s="4" t="n"/>
      <c r="I139" s="4" t="n"/>
      <c r="J139" s="4" t="n"/>
      <c r="K139" s="4" t="n"/>
    </row>
    <row r="140">
      <c r="A140" s="13" t="n">
        <v>46434</v>
      </c>
      <c r="B140" s="9" t="inlineStr">
        <is>
          <t>Tue</t>
        </is>
      </c>
      <c r="C140" s="9" t="n">
        <v>20</v>
      </c>
      <c r="D140" s="9" t="inlineStr">
        <is>
          <t>Upper A</t>
        </is>
      </c>
      <c r="E140" s="4" t="n"/>
      <c r="F140" s="4" t="n"/>
      <c r="G140" s="4" t="n"/>
      <c r="H140" s="4" t="n"/>
      <c r="I140" s="4" t="n"/>
      <c r="J140" s="4" t="n"/>
      <c r="K140" s="4" t="n"/>
    </row>
    <row r="141">
      <c r="A141" s="13" t="n">
        <v>46435</v>
      </c>
      <c r="B141" s="9" t="inlineStr">
        <is>
          <t>Wed</t>
        </is>
      </c>
      <c r="C141" s="9" t="n">
        <v>20</v>
      </c>
      <c r="D141" s="9" t="inlineStr">
        <is>
          <t>Zone 2 cardio 40 min</t>
        </is>
      </c>
      <c r="E141" s="4" t="n"/>
      <c r="F141" s="4" t="n"/>
      <c r="G141" s="4" t="n"/>
      <c r="H141" s="4" t="n"/>
      <c r="I141" s="4" t="n"/>
      <c r="J141" s="4" t="n"/>
      <c r="K141" s="4" t="n"/>
    </row>
    <row r="142">
      <c r="A142" s="13" t="n">
        <v>46436</v>
      </c>
      <c r="B142" s="9" t="inlineStr">
        <is>
          <t>Thu</t>
        </is>
      </c>
      <c r="C142" s="9" t="n">
        <v>20</v>
      </c>
      <c r="D142" s="9" t="inlineStr">
        <is>
          <t>Lower B</t>
        </is>
      </c>
      <c r="E142" s="4" t="n"/>
      <c r="F142" s="4" t="n"/>
      <c r="G142" s="4" t="n"/>
      <c r="H142" s="4" t="n"/>
      <c r="I142" s="4" t="n"/>
      <c r="J142" s="4" t="n"/>
      <c r="K142" s="4" t="n"/>
    </row>
    <row r="143">
      <c r="A143" s="13" t="n">
        <v>46437</v>
      </c>
      <c r="B143" s="9" t="inlineStr">
        <is>
          <t>Fri</t>
        </is>
      </c>
      <c r="C143" s="9" t="n">
        <v>20</v>
      </c>
      <c r="D143" s="9" t="inlineStr">
        <is>
          <t>Upper B</t>
        </is>
      </c>
      <c r="E143" s="4" t="n"/>
      <c r="F143" s="4" t="n"/>
      <c r="G143" s="4" t="n"/>
      <c r="H143" s="4" t="n"/>
      <c r="I143" s="4" t="n"/>
      <c r="J143" s="4" t="n"/>
      <c r="K143" s="4" t="n"/>
    </row>
    <row r="144">
      <c r="A144" s="13" t="n">
        <v>46438</v>
      </c>
      <c r="B144" s="9" t="inlineStr">
        <is>
          <t>Sat</t>
        </is>
      </c>
      <c r="C144" s="9" t="n">
        <v>20</v>
      </c>
      <c r="D144" s="9" t="inlineStr">
        <is>
          <t>Intervals 8 x 1 min hard / 2 min easy, or sport 45-60 min</t>
        </is>
      </c>
      <c r="E144" s="4" t="n"/>
      <c r="F144" s="4" t="n"/>
      <c r="G144" s="4" t="n"/>
      <c r="H144" s="4" t="n"/>
      <c r="I144" s="4" t="n"/>
      <c r="J144" s="4" t="n"/>
      <c r="K144" s="4" t="n"/>
    </row>
    <row r="145">
      <c r="A145" s="13" t="n">
        <v>46439</v>
      </c>
      <c r="B145" s="9" t="inlineStr">
        <is>
          <t>Sun</t>
        </is>
      </c>
      <c r="C145" s="9" t="n">
        <v>20</v>
      </c>
      <c r="D145" s="9" t="inlineStr">
        <is>
          <t>Mobility 20 min + weekly review</t>
        </is>
      </c>
      <c r="E145" s="4" t="n"/>
      <c r="F145" s="4" t="n"/>
      <c r="G145" s="4" t="n"/>
      <c r="H145" s="4" t="n"/>
      <c r="I145" s="4" t="n"/>
      <c r="J145" s="4" t="n"/>
      <c r="K145" s="4" t="n"/>
    </row>
    <row r="146">
      <c r="A146" s="13" t="n">
        <v>46440</v>
      </c>
      <c r="B146" s="9" t="inlineStr">
        <is>
          <t>Mon</t>
        </is>
      </c>
      <c r="C146" s="9" t="n">
        <v>21</v>
      </c>
      <c r="D146" s="9" t="inlineStr">
        <is>
          <t>Lower A</t>
        </is>
      </c>
      <c r="E146" s="4" t="n"/>
      <c r="F146" s="4" t="n"/>
      <c r="G146" s="4" t="n"/>
      <c r="H146" s="4" t="n"/>
      <c r="I146" s="4" t="n"/>
      <c r="J146" s="4" t="n"/>
      <c r="K146" s="4" t="n"/>
    </row>
    <row r="147">
      <c r="A147" s="13" t="n">
        <v>46441</v>
      </c>
      <c r="B147" s="9" t="inlineStr">
        <is>
          <t>Tue</t>
        </is>
      </c>
      <c r="C147" s="9" t="n">
        <v>21</v>
      </c>
      <c r="D147" s="9" t="inlineStr">
        <is>
          <t>Upper A</t>
        </is>
      </c>
      <c r="E147" s="4" t="n"/>
      <c r="F147" s="4" t="n"/>
      <c r="G147" s="4" t="n"/>
      <c r="H147" s="4" t="n"/>
      <c r="I147" s="4" t="n"/>
      <c r="J147" s="4" t="n"/>
      <c r="K147" s="4" t="n"/>
    </row>
    <row r="148">
      <c r="A148" s="13" t="n">
        <v>46442</v>
      </c>
      <c r="B148" s="9" t="inlineStr">
        <is>
          <t>Wed</t>
        </is>
      </c>
      <c r="C148" s="9" t="n">
        <v>21</v>
      </c>
      <c r="D148" s="9" t="inlineStr">
        <is>
          <t>Zone 2 cardio 40 min</t>
        </is>
      </c>
      <c r="E148" s="4" t="n"/>
      <c r="F148" s="4" t="n"/>
      <c r="G148" s="4" t="n"/>
      <c r="H148" s="4" t="n"/>
      <c r="I148" s="4" t="n"/>
      <c r="J148" s="4" t="n"/>
      <c r="K148" s="4" t="n"/>
    </row>
    <row r="149">
      <c r="A149" s="13" t="n">
        <v>46443</v>
      </c>
      <c r="B149" s="9" t="inlineStr">
        <is>
          <t>Thu</t>
        </is>
      </c>
      <c r="C149" s="9" t="n">
        <v>21</v>
      </c>
      <c r="D149" s="9" t="inlineStr">
        <is>
          <t>Lower B</t>
        </is>
      </c>
      <c r="E149" s="4" t="n"/>
      <c r="F149" s="4" t="n"/>
      <c r="G149" s="4" t="n"/>
      <c r="H149" s="4" t="n"/>
      <c r="I149" s="4" t="n"/>
      <c r="J149" s="4" t="n"/>
      <c r="K149" s="4" t="n"/>
    </row>
    <row r="150">
      <c r="A150" s="13" t="n">
        <v>46444</v>
      </c>
      <c r="B150" s="9" t="inlineStr">
        <is>
          <t>Fri</t>
        </is>
      </c>
      <c r="C150" s="9" t="n">
        <v>21</v>
      </c>
      <c r="D150" s="9" t="inlineStr">
        <is>
          <t>Upper B</t>
        </is>
      </c>
      <c r="E150" s="4" t="n"/>
      <c r="F150" s="4" t="n"/>
      <c r="G150" s="4" t="n"/>
      <c r="H150" s="4" t="n"/>
      <c r="I150" s="4" t="n"/>
      <c r="J150" s="4" t="n"/>
      <c r="K150" s="4" t="n"/>
    </row>
    <row r="151">
      <c r="A151" s="13" t="n">
        <v>46445</v>
      </c>
      <c r="B151" s="9" t="inlineStr">
        <is>
          <t>Sat</t>
        </is>
      </c>
      <c r="C151" s="9" t="n">
        <v>21</v>
      </c>
      <c r="D151" s="9" t="inlineStr">
        <is>
          <t>Intervals 8 x 1 min hard / 2 min easy, or sport 45-60 min</t>
        </is>
      </c>
      <c r="E151" s="4" t="n"/>
      <c r="F151" s="4" t="n"/>
      <c r="G151" s="4" t="n"/>
      <c r="H151" s="4" t="n"/>
      <c r="I151" s="4" t="n"/>
      <c r="J151" s="4" t="n"/>
      <c r="K151" s="4" t="n"/>
    </row>
    <row r="152">
      <c r="A152" s="13" t="n">
        <v>46446</v>
      </c>
      <c r="B152" s="9" t="inlineStr">
        <is>
          <t>Sun</t>
        </is>
      </c>
      <c r="C152" s="9" t="n">
        <v>21</v>
      </c>
      <c r="D152" s="9" t="inlineStr">
        <is>
          <t>Mobility 20 min + weekly review</t>
        </is>
      </c>
      <c r="E152" s="4" t="n"/>
      <c r="F152" s="4" t="n"/>
      <c r="G152" s="4" t="n"/>
      <c r="H152" s="4" t="n"/>
      <c r="I152" s="4" t="n"/>
      <c r="J152" s="4" t="n"/>
      <c r="K152" s="4" t="n"/>
    </row>
    <row r="153">
      <c r="A153" s="13" t="n">
        <v>46447</v>
      </c>
      <c r="B153" s="9" t="inlineStr">
        <is>
          <t>Mon</t>
        </is>
      </c>
      <c r="C153" s="9" t="n">
        <v>22</v>
      </c>
      <c r="D153" s="9" t="inlineStr">
        <is>
          <t>Lower A (deload: 2 sets, -40% load)</t>
        </is>
      </c>
      <c r="E153" s="4" t="n"/>
      <c r="F153" s="4" t="n"/>
      <c r="G153" s="4" t="n"/>
      <c r="H153" s="4" t="n"/>
      <c r="I153" s="4" t="n"/>
      <c r="J153" s="4" t="n"/>
      <c r="K153" s="4" t="n"/>
    </row>
    <row r="154">
      <c r="A154" s="13" t="n">
        <v>46448</v>
      </c>
      <c r="B154" s="9" t="inlineStr">
        <is>
          <t>Tue</t>
        </is>
      </c>
      <c r="C154" s="9" t="n">
        <v>22</v>
      </c>
      <c r="D154" s="9" t="inlineStr">
        <is>
          <t>Upper A (deload: 2 sets, -40% load)</t>
        </is>
      </c>
      <c r="E154" s="4" t="n"/>
      <c r="F154" s="4" t="n"/>
      <c r="G154" s="4" t="n"/>
      <c r="H154" s="4" t="n"/>
      <c r="I154" s="4" t="n"/>
      <c r="J154" s="4" t="n"/>
      <c r="K154" s="4" t="n"/>
    </row>
    <row r="155">
      <c r="A155" s="13" t="n">
        <v>46449</v>
      </c>
      <c r="B155" s="9" t="inlineStr">
        <is>
          <t>Wed</t>
        </is>
      </c>
      <c r="C155" s="9" t="n">
        <v>22</v>
      </c>
      <c r="D155" s="9" t="inlineStr">
        <is>
          <t>Zone 2 cardio 40 min</t>
        </is>
      </c>
      <c r="E155" s="4" t="n"/>
      <c r="F155" s="4" t="n"/>
      <c r="G155" s="4" t="n"/>
      <c r="H155" s="4" t="n"/>
      <c r="I155" s="4" t="n"/>
      <c r="J155" s="4" t="n"/>
      <c r="K155" s="4" t="n"/>
    </row>
    <row r="156">
      <c r="A156" s="13" t="n">
        <v>46450</v>
      </c>
      <c r="B156" s="9" t="inlineStr">
        <is>
          <t>Thu</t>
        </is>
      </c>
      <c r="C156" s="9" t="n">
        <v>22</v>
      </c>
      <c r="D156" s="9" t="inlineStr">
        <is>
          <t>Lower B (deload: 2 sets, -40% load)</t>
        </is>
      </c>
      <c r="E156" s="4" t="n"/>
      <c r="F156" s="4" t="n"/>
      <c r="G156" s="4" t="n"/>
      <c r="H156" s="4" t="n"/>
      <c r="I156" s="4" t="n"/>
      <c r="J156" s="4" t="n"/>
      <c r="K156" s="4" t="n"/>
    </row>
    <row r="157">
      <c r="A157" s="13" t="n">
        <v>46451</v>
      </c>
      <c r="B157" s="9" t="inlineStr">
        <is>
          <t>Fri</t>
        </is>
      </c>
      <c r="C157" s="9" t="n">
        <v>22</v>
      </c>
      <c r="D157" s="9" t="inlineStr">
        <is>
          <t>Upper B (deload: 2 sets, -40% load)</t>
        </is>
      </c>
      <c r="E157" s="4" t="n"/>
      <c r="F157" s="4" t="n"/>
      <c r="G157" s="4" t="n"/>
      <c r="H157" s="4" t="n"/>
      <c r="I157" s="4" t="n"/>
      <c r="J157" s="4" t="n"/>
      <c r="K157" s="4" t="n"/>
    </row>
    <row r="158">
      <c r="A158" s="13" t="n">
        <v>46452</v>
      </c>
      <c r="B158" s="9" t="inlineStr">
        <is>
          <t>Sat</t>
        </is>
      </c>
      <c r="C158" s="9" t="n">
        <v>22</v>
      </c>
      <c r="D158" s="9" t="inlineStr">
        <is>
          <t>Intervals 8 x 1 min hard / 2 min easy, or sport 45-60 min</t>
        </is>
      </c>
      <c r="E158" s="4" t="n"/>
      <c r="F158" s="4" t="n"/>
      <c r="G158" s="4" t="n"/>
      <c r="H158" s="4" t="n"/>
      <c r="I158" s="4" t="n"/>
      <c r="J158" s="4" t="n"/>
      <c r="K158" s="4" t="n"/>
    </row>
    <row r="159">
      <c r="A159" s="13" t="n">
        <v>46453</v>
      </c>
      <c r="B159" s="9" t="inlineStr">
        <is>
          <t>Sun</t>
        </is>
      </c>
      <c r="C159" s="9" t="n">
        <v>22</v>
      </c>
      <c r="D159" s="9" t="inlineStr">
        <is>
          <t>Mobility 20 min + weekly review</t>
        </is>
      </c>
      <c r="E159" s="4" t="n"/>
      <c r="F159" s="4" t="n"/>
      <c r="G159" s="4" t="n"/>
      <c r="H159" s="4" t="n"/>
      <c r="I159" s="4" t="n"/>
      <c r="J159" s="4" t="n"/>
      <c r="K159" s="4" t="n"/>
    </row>
    <row r="160">
      <c r="A160" s="13" t="n">
        <v>46454</v>
      </c>
      <c r="B160" s="9" t="inlineStr">
        <is>
          <t>Mon</t>
        </is>
      </c>
      <c r="C160" s="9" t="n">
        <v>23</v>
      </c>
      <c r="D160" s="9" t="inlineStr">
        <is>
          <t>Lower A (peak: main lifts 4 x 5-6)</t>
        </is>
      </c>
      <c r="E160" s="4" t="n"/>
      <c r="F160" s="4" t="n"/>
      <c r="G160" s="4" t="n"/>
      <c r="H160" s="4" t="n"/>
      <c r="I160" s="4" t="n"/>
      <c r="J160" s="4" t="n"/>
      <c r="K160" s="4" t="n"/>
    </row>
    <row r="161">
      <c r="A161" s="13" t="n">
        <v>46455</v>
      </c>
      <c r="B161" s="9" t="inlineStr">
        <is>
          <t>Tue</t>
        </is>
      </c>
      <c r="C161" s="9" t="n">
        <v>23</v>
      </c>
      <c r="D161" s="9" t="inlineStr">
        <is>
          <t>Upper A (peak: main lifts 4 x 5-6)</t>
        </is>
      </c>
      <c r="E161" s="4" t="n"/>
      <c r="F161" s="4" t="n"/>
      <c r="G161" s="4" t="n"/>
      <c r="H161" s="4" t="n"/>
      <c r="I161" s="4" t="n"/>
      <c r="J161" s="4" t="n"/>
      <c r="K161" s="4" t="n"/>
    </row>
    <row r="162">
      <c r="A162" s="13" t="n">
        <v>46456</v>
      </c>
      <c r="B162" s="9" t="inlineStr">
        <is>
          <t>Wed</t>
        </is>
      </c>
      <c r="C162" s="9" t="n">
        <v>23</v>
      </c>
      <c r="D162" s="9" t="inlineStr">
        <is>
          <t>Zone 2 cardio 40 min</t>
        </is>
      </c>
      <c r="E162" s="4" t="n"/>
      <c r="F162" s="4" t="n"/>
      <c r="G162" s="4" t="n"/>
      <c r="H162" s="4" t="n"/>
      <c r="I162" s="4" t="n"/>
      <c r="J162" s="4" t="n"/>
      <c r="K162" s="4" t="n"/>
    </row>
    <row r="163">
      <c r="A163" s="13" t="n">
        <v>46457</v>
      </c>
      <c r="B163" s="9" t="inlineStr">
        <is>
          <t>Thu</t>
        </is>
      </c>
      <c r="C163" s="9" t="n">
        <v>23</v>
      </c>
      <c r="D163" s="9" t="inlineStr">
        <is>
          <t>Lower B (peak: main lifts 4 x 5-6)</t>
        </is>
      </c>
      <c r="E163" s="4" t="n"/>
      <c r="F163" s="4" t="n"/>
      <c r="G163" s="4" t="n"/>
      <c r="H163" s="4" t="n"/>
      <c r="I163" s="4" t="n"/>
      <c r="J163" s="4" t="n"/>
      <c r="K163" s="4" t="n"/>
    </row>
    <row r="164">
      <c r="A164" s="13" t="n">
        <v>46458</v>
      </c>
      <c r="B164" s="9" t="inlineStr">
        <is>
          <t>Fri</t>
        </is>
      </c>
      <c r="C164" s="9" t="n">
        <v>23</v>
      </c>
      <c r="D164" s="9" t="inlineStr">
        <is>
          <t>Upper B (peak: main lifts 4 x 5-6)</t>
        </is>
      </c>
      <c r="E164" s="4" t="n"/>
      <c r="F164" s="4" t="n"/>
      <c r="G164" s="4" t="n"/>
      <c r="H164" s="4" t="n"/>
      <c r="I164" s="4" t="n"/>
      <c r="J164" s="4" t="n"/>
      <c r="K164" s="4" t="n"/>
    </row>
    <row r="165">
      <c r="A165" s="13" t="n">
        <v>46459</v>
      </c>
      <c r="B165" s="9" t="inlineStr">
        <is>
          <t>Sat</t>
        </is>
      </c>
      <c r="C165" s="9" t="n">
        <v>23</v>
      </c>
      <c r="D165" s="9" t="inlineStr">
        <is>
          <t>Intervals 8 x 1 min hard / 2 min easy, or sport 45-60 min</t>
        </is>
      </c>
      <c r="E165" s="4" t="n"/>
      <c r="F165" s="4" t="n"/>
      <c r="G165" s="4" t="n"/>
      <c r="H165" s="4" t="n"/>
      <c r="I165" s="4" t="n"/>
      <c r="J165" s="4" t="n"/>
      <c r="K165" s="4" t="n"/>
    </row>
    <row r="166">
      <c r="A166" s="13" t="n">
        <v>46460</v>
      </c>
      <c r="B166" s="9" t="inlineStr">
        <is>
          <t>Sun</t>
        </is>
      </c>
      <c r="C166" s="9" t="n">
        <v>23</v>
      </c>
      <c r="D166" s="9" t="inlineStr">
        <is>
          <t>Mobility 20 min + weekly review</t>
        </is>
      </c>
      <c r="E166" s="4" t="n"/>
      <c r="F166" s="4" t="n"/>
      <c r="G166" s="4" t="n"/>
      <c r="H166" s="4" t="n"/>
      <c r="I166" s="4" t="n"/>
      <c r="J166" s="4" t="n"/>
      <c r="K166" s="4" t="n"/>
    </row>
    <row r="167">
      <c r="A167" s="13" t="n">
        <v>46461</v>
      </c>
      <c r="B167" s="9" t="inlineStr">
        <is>
          <t>Mon</t>
        </is>
      </c>
      <c r="C167" s="9" t="n">
        <v>24</v>
      </c>
      <c r="D167" s="9" t="inlineStr">
        <is>
          <t>Lower A (peak: main lifts 4 x 5-6)</t>
        </is>
      </c>
      <c r="E167" s="4" t="n"/>
      <c r="F167" s="4" t="n"/>
      <c r="G167" s="4" t="n"/>
      <c r="H167" s="4" t="n"/>
      <c r="I167" s="4" t="n"/>
      <c r="J167" s="4" t="n"/>
      <c r="K167" s="4" t="n"/>
    </row>
    <row r="168">
      <c r="A168" s="13" t="n">
        <v>46462</v>
      </c>
      <c r="B168" s="9" t="inlineStr">
        <is>
          <t>Tue</t>
        </is>
      </c>
      <c r="C168" s="9" t="n">
        <v>24</v>
      </c>
      <c r="D168" s="9" t="inlineStr">
        <is>
          <t>Upper A (peak: main lifts 4 x 5-6)</t>
        </is>
      </c>
      <c r="E168" s="4" t="n"/>
      <c r="F168" s="4" t="n"/>
      <c r="G168" s="4" t="n"/>
      <c r="H168" s="4" t="n"/>
      <c r="I168" s="4" t="n"/>
      <c r="J168" s="4" t="n"/>
      <c r="K168" s="4" t="n"/>
    </row>
    <row r="169">
      <c r="A169" s="13" t="n">
        <v>46463</v>
      </c>
      <c r="B169" s="9" t="inlineStr">
        <is>
          <t>Wed</t>
        </is>
      </c>
      <c r="C169" s="9" t="n">
        <v>24</v>
      </c>
      <c r="D169" s="9" t="inlineStr">
        <is>
          <t>Zone 2 cardio 40 min</t>
        </is>
      </c>
      <c r="E169" s="4" t="n"/>
      <c r="F169" s="4" t="n"/>
      <c r="G169" s="4" t="n"/>
      <c r="H169" s="4" t="n"/>
      <c r="I169" s="4" t="n"/>
      <c r="J169" s="4" t="n"/>
      <c r="K169" s="4" t="n"/>
    </row>
    <row r="170">
      <c r="A170" s="13" t="n">
        <v>46464</v>
      </c>
      <c r="B170" s="9" t="inlineStr">
        <is>
          <t>Thu</t>
        </is>
      </c>
      <c r="C170" s="9" t="n">
        <v>24</v>
      </c>
      <c r="D170" s="9" t="inlineStr">
        <is>
          <t>Lower B (peak: main lifts 4 x 5-6)</t>
        </is>
      </c>
      <c r="E170" s="4" t="n"/>
      <c r="F170" s="4" t="n"/>
      <c r="G170" s="4" t="n"/>
      <c r="H170" s="4" t="n"/>
      <c r="I170" s="4" t="n"/>
      <c r="J170" s="4" t="n"/>
      <c r="K170" s="4" t="n"/>
    </row>
    <row r="171">
      <c r="A171" s="13" t="n">
        <v>46465</v>
      </c>
      <c r="B171" s="9" t="inlineStr">
        <is>
          <t>Fri</t>
        </is>
      </c>
      <c r="C171" s="9" t="n">
        <v>24</v>
      </c>
      <c r="D171" s="9" t="inlineStr">
        <is>
          <t>Upper B (peak: main lifts 4 x 5-6)</t>
        </is>
      </c>
      <c r="E171" s="4" t="n"/>
      <c r="F171" s="4" t="n"/>
      <c r="G171" s="4" t="n"/>
      <c r="H171" s="4" t="n"/>
      <c r="I171" s="4" t="n"/>
      <c r="J171" s="4" t="n"/>
      <c r="K171" s="4" t="n"/>
    </row>
    <row r="172">
      <c r="A172" s="13" t="n">
        <v>46466</v>
      </c>
      <c r="B172" s="9" t="inlineStr">
        <is>
          <t>Sat</t>
        </is>
      </c>
      <c r="C172" s="9" t="n">
        <v>24</v>
      </c>
      <c r="D172" s="9" t="inlineStr">
        <is>
          <t>Intervals 8 x 1 min hard / 2 min easy, or sport 45-60 min</t>
        </is>
      </c>
      <c r="E172" s="4" t="n"/>
      <c r="F172" s="4" t="n"/>
      <c r="G172" s="4" t="n"/>
      <c r="H172" s="4" t="n"/>
      <c r="I172" s="4" t="n"/>
      <c r="J172" s="4" t="n"/>
      <c r="K172" s="4" t="n"/>
    </row>
    <row r="173">
      <c r="A173" s="13" t="n">
        <v>46467</v>
      </c>
      <c r="B173" s="9" t="inlineStr">
        <is>
          <t>Sun</t>
        </is>
      </c>
      <c r="C173" s="9" t="n">
        <v>24</v>
      </c>
      <c r="D173" s="9" t="inlineStr">
        <is>
          <t>Mobility 20 min + weekly review</t>
        </is>
      </c>
      <c r="E173" s="4" t="n"/>
      <c r="F173" s="4" t="n"/>
      <c r="G173" s="4" t="n"/>
      <c r="H173" s="4" t="n"/>
      <c r="I173" s="4" t="n"/>
      <c r="J173" s="4" t="n"/>
      <c r="K173" s="4" t="n"/>
    </row>
    <row r="174">
      <c r="A174" s="13" t="n">
        <v>46468</v>
      </c>
      <c r="B174" s="9" t="inlineStr">
        <is>
          <t>Mon</t>
        </is>
      </c>
      <c r="C174" s="9" t="n">
        <v>25</v>
      </c>
      <c r="D174" s="9" t="inlineStr">
        <is>
          <t>Lower A (peak: main lifts 4 x 5-6)</t>
        </is>
      </c>
      <c r="E174" s="4" t="n"/>
      <c r="F174" s="4" t="n"/>
      <c r="G174" s="4" t="n"/>
      <c r="H174" s="4" t="n"/>
      <c r="I174" s="4" t="n"/>
      <c r="J174" s="4" t="n"/>
      <c r="K174" s="4" t="n"/>
    </row>
    <row r="175">
      <c r="A175" s="13" t="n">
        <v>46469</v>
      </c>
      <c r="B175" s="9" t="inlineStr">
        <is>
          <t>Tue</t>
        </is>
      </c>
      <c r="C175" s="9" t="n">
        <v>25</v>
      </c>
      <c r="D175" s="9" t="inlineStr">
        <is>
          <t>Upper A (peak: main lifts 4 x 5-6)</t>
        </is>
      </c>
      <c r="E175" s="4" t="n"/>
      <c r="F175" s="4" t="n"/>
      <c r="G175" s="4" t="n"/>
      <c r="H175" s="4" t="n"/>
      <c r="I175" s="4" t="n"/>
      <c r="J175" s="4" t="n"/>
      <c r="K175" s="4" t="n"/>
    </row>
    <row r="176">
      <c r="A176" s="13" t="n">
        <v>46470</v>
      </c>
      <c r="B176" s="9" t="inlineStr">
        <is>
          <t>Wed</t>
        </is>
      </c>
      <c r="C176" s="9" t="n">
        <v>25</v>
      </c>
      <c r="D176" s="9" t="inlineStr">
        <is>
          <t>Zone 2 cardio 40 min</t>
        </is>
      </c>
      <c r="E176" s="4" t="n"/>
      <c r="F176" s="4" t="n"/>
      <c r="G176" s="4" t="n"/>
      <c r="H176" s="4" t="n"/>
      <c r="I176" s="4" t="n"/>
      <c r="J176" s="4" t="n"/>
      <c r="K176" s="4" t="n"/>
    </row>
    <row r="177">
      <c r="A177" s="13" t="n">
        <v>46471</v>
      </c>
      <c r="B177" s="9" t="inlineStr">
        <is>
          <t>Thu</t>
        </is>
      </c>
      <c r="C177" s="9" t="n">
        <v>25</v>
      </c>
      <c r="D177" s="9" t="inlineStr">
        <is>
          <t>Lower B (peak: main lifts 4 x 5-6)</t>
        </is>
      </c>
      <c r="E177" s="4" t="n"/>
      <c r="F177" s="4" t="n"/>
      <c r="G177" s="4" t="n"/>
      <c r="H177" s="4" t="n"/>
      <c r="I177" s="4" t="n"/>
      <c r="J177" s="4" t="n"/>
      <c r="K177" s="4" t="n"/>
    </row>
    <row r="178">
      <c r="A178" s="13" t="n">
        <v>46472</v>
      </c>
      <c r="B178" s="9" t="inlineStr">
        <is>
          <t>Fri</t>
        </is>
      </c>
      <c r="C178" s="9" t="n">
        <v>25</v>
      </c>
      <c r="D178" s="9" t="inlineStr">
        <is>
          <t>Upper B (peak: main lifts 4 x 5-6)</t>
        </is>
      </c>
      <c r="E178" s="4" t="n"/>
      <c r="F178" s="4" t="n"/>
      <c r="G178" s="4" t="n"/>
      <c r="H178" s="4" t="n"/>
      <c r="I178" s="4" t="n"/>
      <c r="J178" s="4" t="n"/>
      <c r="K178" s="4" t="n"/>
    </row>
    <row r="179">
      <c r="A179" s="13" t="n">
        <v>46473</v>
      </c>
      <c r="B179" s="9" t="inlineStr">
        <is>
          <t>Sat</t>
        </is>
      </c>
      <c r="C179" s="9" t="n">
        <v>25</v>
      </c>
      <c r="D179" s="9" t="inlineStr">
        <is>
          <t>Intervals 8 x 1 min hard / 2 min easy, or sport 45-60 min</t>
        </is>
      </c>
      <c r="E179" s="4" t="n"/>
      <c r="F179" s="4" t="n"/>
      <c r="G179" s="4" t="n"/>
      <c r="H179" s="4" t="n"/>
      <c r="I179" s="4" t="n"/>
      <c r="J179" s="4" t="n"/>
      <c r="K179" s="4" t="n"/>
    </row>
    <row r="180">
      <c r="A180" s="13" t="n">
        <v>46474</v>
      </c>
      <c r="B180" s="9" t="inlineStr">
        <is>
          <t>Sun</t>
        </is>
      </c>
      <c r="C180" s="9" t="n">
        <v>25</v>
      </c>
      <c r="D180" s="9" t="inlineStr">
        <is>
          <t>Mobility 20 min + weekly review</t>
        </is>
      </c>
      <c r="E180" s="4" t="n"/>
      <c r="F180" s="4" t="n"/>
      <c r="G180" s="4" t="n"/>
      <c r="H180" s="4" t="n"/>
      <c r="I180" s="4" t="n"/>
      <c r="J180" s="4" t="n"/>
      <c r="K180" s="4" t="n"/>
    </row>
    <row r="181">
      <c r="A181" s="13" t="n">
        <v>46475</v>
      </c>
      <c r="B181" s="9" t="inlineStr">
        <is>
          <t>Mon</t>
        </is>
      </c>
      <c r="C181" s="9" t="n">
        <v>26</v>
      </c>
      <c r="D181" s="9" t="inlineStr">
        <is>
          <t>Final benchmarks 1: back squat 5RM, bench press 5RM, push-ups to failure</t>
        </is>
      </c>
      <c r="E181" s="4" t="n"/>
      <c r="F181" s="4" t="n"/>
      <c r="G181" s="4" t="n"/>
      <c r="H181" s="4" t="n"/>
      <c r="I181" s="4" t="n"/>
      <c r="J181" s="4" t="n"/>
      <c r="K181" s="4" t="n"/>
    </row>
    <row r="182">
      <c r="A182" s="13" t="n">
        <v>46476</v>
      </c>
      <c r="B182" s="9" t="inlineStr">
        <is>
          <t>Tue</t>
        </is>
      </c>
      <c r="C182" s="9" t="n">
        <v>26</v>
      </c>
      <c r="D182" s="9" t="inlineStr">
        <is>
          <t>Upper A (light)</t>
        </is>
      </c>
      <c r="E182" s="4" t="n"/>
      <c r="F182" s="4" t="n"/>
      <c r="G182" s="4" t="n"/>
      <c r="H182" s="4" t="n"/>
      <c r="I182" s="4" t="n"/>
      <c r="J182" s="4" t="n"/>
      <c r="K182" s="4" t="n"/>
    </row>
    <row r="183">
      <c r="A183" s="13" t="n">
        <v>46477</v>
      </c>
      <c r="B183" s="9" t="inlineStr">
        <is>
          <t>Wed</t>
        </is>
      </c>
      <c r="C183" s="9" t="n">
        <v>26</v>
      </c>
      <c r="D183" s="9" t="inlineStr">
        <is>
          <t>Zone 2 + 12-min Cooper test</t>
        </is>
      </c>
      <c r="E183" s="4" t="n"/>
      <c r="F183" s="4" t="n"/>
      <c r="G183" s="4" t="n"/>
      <c r="H183" s="4" t="n"/>
      <c r="I183" s="4" t="n"/>
      <c r="J183" s="4" t="n"/>
      <c r="K183" s="4" t="n"/>
    </row>
    <row r="184">
      <c r="A184" s="13" t="n">
        <v>46478</v>
      </c>
      <c r="B184" s="9" t="inlineStr">
        <is>
          <t>Thu</t>
        </is>
      </c>
      <c r="C184" s="9" t="n">
        <v>26</v>
      </c>
      <c r="D184" s="9" t="inlineStr">
        <is>
          <t>Final benchmarks 2: deadlift 5RM, strict chin-ups, dead hang, plank</t>
        </is>
      </c>
      <c r="E184" s="4" t="n"/>
      <c r="F184" s="4" t="n"/>
      <c r="G184" s="4" t="n"/>
      <c r="H184" s="4" t="n"/>
      <c r="I184" s="4" t="n"/>
      <c r="J184" s="4" t="n"/>
      <c r="K184" s="4" t="n"/>
    </row>
    <row r="185">
      <c r="A185" s="13" t="n">
        <v>46479</v>
      </c>
      <c r="B185" s="9" t="inlineStr">
        <is>
          <t>Fri</t>
        </is>
      </c>
      <c r="C185" s="9" t="n">
        <v>26</v>
      </c>
      <c r="D185" s="9" t="inlineStr">
        <is>
          <t>Upper B (light)</t>
        </is>
      </c>
      <c r="E185" s="4" t="n"/>
      <c r="F185" s="4" t="n"/>
      <c r="G185" s="4" t="n"/>
      <c r="H185" s="4" t="n"/>
      <c r="I185" s="4" t="n"/>
      <c r="J185" s="4" t="n"/>
      <c r="K185" s="4" t="n"/>
    </row>
    <row r="186">
      <c r="A186" s="13" t="n">
        <v>46480</v>
      </c>
      <c r="B186" s="9" t="inlineStr">
        <is>
          <t>Sat</t>
        </is>
      </c>
      <c r="C186" s="9" t="n">
        <v>26</v>
      </c>
      <c r="D186" s="9" t="inlineStr">
        <is>
          <t>Activity 45-60 min</t>
        </is>
      </c>
      <c r="E186" s="4" t="n"/>
      <c r="F186" s="4" t="n"/>
      <c r="G186" s="4" t="n"/>
      <c r="H186" s="4" t="n"/>
      <c r="I186" s="4" t="n"/>
      <c r="J186" s="4" t="n"/>
      <c r="K186" s="4" t="n"/>
    </row>
    <row r="187">
      <c r="A187" s="13" t="n">
        <v>46481</v>
      </c>
      <c r="B187" s="9" t="inlineStr">
        <is>
          <t>Sun</t>
        </is>
      </c>
      <c r="C187" s="9" t="n">
        <v>26</v>
      </c>
      <c r="D187" s="9" t="inlineStr">
        <is>
          <t>Final review + measurements + photos + next 6-month plan</t>
        </is>
      </c>
      <c r="E187" s="4" t="n"/>
      <c r="F187" s="4" t="n"/>
      <c r="G187" s="4" t="n"/>
      <c r="H187" s="4" t="n"/>
      <c r="I187" s="4" t="n"/>
      <c r="J187" s="4" t="n"/>
      <c r="K187" s="4" t="n"/>
    </row>
  </sheetData>
  <conditionalFormatting sqref="E2:E187">
    <cfRule type="cellIs" priority="1" operator="equal" dxfId="0">
      <formula>1</formula>
    </cfRule>
    <cfRule type="cellIs" priority="2" operator="equal" dxfId="1">
      <formula>0</formula>
    </cfRule>
  </conditionalFormatting>
  <dataValidations count="1">
    <dataValidation sqref="E2:E187" showDropDown="0" showInputMessage="0" showErrorMessage="0" allowBlank="1" type="list">
      <formula1>"1,0"</formula1>
    </dataValidation>
  </dataValidations>
  <pageMargins left="0.4" right="0.4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62" customWidth="1" min="4" max="4"/>
    <col width="44" customWidth="1" min="5" max="5"/>
    <col width="40" customWidth="1" min="6" max="6"/>
    <col width="9" customWidth="1" min="7" max="7"/>
    <col width="9" customWidth="1" min="8" max="8"/>
    <col width="30" customWidth="1" min="9" max="9"/>
  </cols>
  <sheetData>
    <row r="1">
      <c r="A1" s="1" t="inlineStr">
        <is>
          <t>Skill block: GIS and remote sensing</t>
        </is>
      </c>
    </row>
    <row r="2">
      <c r="A2" s="2" t="inlineStr">
        <is>
          <t>60 min Mon-Fri (20:45-21:45), optional 90 min Saturday project session, one commit pushed every Friday. One study area for all modules.</t>
        </is>
      </c>
    </row>
    <row r="4">
      <c r="A4" s="6" t="inlineStr">
        <is>
          <t>Week</t>
        </is>
      </c>
      <c r="B4" s="6" t="inlineStr">
        <is>
          <t>Dates</t>
        </is>
      </c>
      <c r="C4" s="6" t="inlineStr">
        <is>
          <t>Module</t>
        </is>
      </c>
      <c r="D4" s="6" t="inlineStr">
        <is>
          <t>Focus this week</t>
        </is>
      </c>
      <c r="E4" s="6" t="inlineStr">
        <is>
          <t>Resources (free unless noted)</t>
        </is>
      </c>
      <c r="F4" s="6" t="inlineStr">
        <is>
          <t>Friday deliverable</t>
        </is>
      </c>
      <c r="G4" s="6" t="inlineStr">
        <is>
          <t>Done (Y/N)</t>
        </is>
      </c>
      <c r="H4" s="6" t="inlineStr">
        <is>
          <t>Hours logged</t>
        </is>
      </c>
      <c r="I4" s="6" t="inlineStr">
        <is>
          <t>Notes / link</t>
        </is>
      </c>
    </row>
    <row r="5" ht="78" customHeight="1">
      <c r="A5" s="7" t="n">
        <v>0</v>
      </c>
      <c r="B5" s="7" t="inlineStr">
        <is>
          <t>01 Oct - 04 Oct</t>
        </is>
      </c>
      <c r="C5" s="7" t="inlineStr">
        <is>
          <t>Setup</t>
        </is>
      </c>
      <c r="D5" s="7" t="inlineStr">
        <is>
          <t>Install Miniforge/conda env (geopandas, rasterio, rioxarray, xarray, rasterstats, matplotlib, jupyterlab, scikit-learn, earthengine-api, geemap), VS Code, Git. Create the public portfolio repo. Register for Google Earth Engine (approval can take days). Choose the study area and download admin boundaries, roads, DEM.</t>
        </is>
      </c>
      <c r="E5" s="7" t="inlineStr">
        <is>
          <t>Miniforge docs; GitHub; earthengine.google.com</t>
        </is>
      </c>
      <c r="F5" s="7" t="inlineStr">
        <is>
          <t>Portfolio repo with README: study area + 26-week plan</t>
        </is>
      </c>
      <c r="G5" s="22" t="n"/>
      <c r="H5" s="22" t="n"/>
      <c r="I5" s="22" t="n"/>
    </row>
    <row r="6" ht="33" customHeight="1">
      <c r="A6" s="7" t="n">
        <v>1</v>
      </c>
      <c r="B6" s="7" t="inlineStr">
        <is>
          <t>05 Oct - 11 Oct</t>
        </is>
      </c>
      <c r="C6" s="7" t="inlineStr">
        <is>
          <t>Python for geospatial</t>
        </is>
      </c>
      <c r="D6" s="7" t="inlineStr">
        <is>
          <t>Python and pandas refresh: types, functions, DataFrames, reading CSV, plotting.</t>
        </is>
      </c>
      <c r="E6" s="7" t="inlineStr">
        <is>
          <t>Spatial Thoughts - Python Foundation for Spatial Analysis (part 1)</t>
        </is>
      </c>
      <c r="F6" s="7" t="inlineStr">
        <is>
          <t>Notebook 01: pandas analysis of an attribute table exported from ArcGIS Pro</t>
        </is>
      </c>
      <c r="G6" s="22" t="n"/>
      <c r="H6" s="22" t="n"/>
      <c r="I6" s="22" t="n"/>
    </row>
    <row r="7" ht="33" customHeight="1">
      <c r="A7" s="7" t="n">
        <v>2</v>
      </c>
      <c r="B7" s="7" t="inlineStr">
        <is>
          <t>12 Oct - 18 Oct</t>
        </is>
      </c>
      <c r="C7" s="7" t="inlineStr">
        <is>
          <t>Python for geospatial</t>
        </is>
      </c>
      <c r="D7" s="7" t="inlineStr">
        <is>
          <t>GeoPandas vectors: read shapefile/GDB, CRS and reprojection (EPSG:4326 vs UTM), buffer, overlay, spatial join, dissolve.</t>
        </is>
      </c>
      <c r="E7" s="7" t="inlineStr">
        <is>
          <t>Spatial Thoughts - Python Foundation (GeoPandas); GeoPandas docs</t>
        </is>
      </c>
      <c r="F7" s="7" t="inlineStr">
        <is>
          <t>Notebook 02: vector analysis of the study area (buffers + spatial join) with a map</t>
        </is>
      </c>
      <c r="G7" s="22" t="n"/>
      <c r="H7" s="22" t="n"/>
      <c r="I7" s="22" t="n"/>
    </row>
    <row r="8" ht="33" customHeight="1">
      <c r="A8" s="7" t="n">
        <v>3</v>
      </c>
      <c r="B8" s="7" t="inlineStr">
        <is>
          <t>19 Oct - 25 Oct</t>
        </is>
      </c>
      <c r="C8" s="7" t="inlineStr">
        <is>
          <t>Python for geospatial</t>
        </is>
      </c>
      <c r="D8" s="7" t="inlineStr">
        <is>
          <t>Rasters with rasterio/rioxarray: open DEM, reproject, clip to boundary, slope and hillshade with numpy, zonal statistics (rasterstats).</t>
        </is>
      </c>
      <c r="E8" s="7" t="inlineStr">
        <is>
          <t>Rasterio and rioxarray docs; rasterstats docs</t>
        </is>
      </c>
      <c r="F8" s="7" t="inlineStr">
        <is>
          <t>Notebook 03: terrain statistics per district</t>
        </is>
      </c>
      <c r="G8" s="22" t="n"/>
      <c r="H8" s="22" t="n"/>
      <c r="I8" s="22" t="n"/>
    </row>
    <row r="9" ht="33" customHeight="1">
      <c r="A9" s="7" t="n">
        <v>4</v>
      </c>
      <c r="B9" s="7" t="inlineStr">
        <is>
          <t>26 Oct - 01 Nov</t>
        </is>
      </c>
      <c r="C9" s="7" t="inlineStr">
        <is>
          <t>Python for geospatial</t>
        </is>
      </c>
      <c r="D9" s="7" t="inlineStr">
        <is>
          <t>Integration project: reproduce one ArcGIS Pro Day-1 exercise end to end (buffers, overlay, zonal stats), export to GeoPackage, write README.</t>
        </is>
      </c>
      <c r="E9" s="7" t="inlineStr">
        <is>
          <t>Own course material</t>
        </is>
      </c>
      <c r="F9" s="7" t="inlineStr">
        <is>
          <t>Project 1 folder: README, figures, GeoPackage</t>
        </is>
      </c>
      <c r="G9" s="22" t="n"/>
      <c r="H9" s="22" t="n"/>
      <c r="I9" s="22" t="n"/>
    </row>
    <row r="10" ht="33" customHeight="1">
      <c r="A10" s="7" t="n">
        <v>5</v>
      </c>
      <c r="B10" s="7" t="inlineStr">
        <is>
          <t>02 Nov - 08 Nov</t>
        </is>
      </c>
      <c r="C10" s="7" t="inlineStr">
        <is>
          <t>Google Earth Engine</t>
        </is>
      </c>
      <c r="D10" s="7" t="inlineStr">
        <is>
          <t>Code Editor, Image and ImageCollection, filters, Sentinel-2 cloud masking (SCL / Cloud Score+), median composites, visualisation.</t>
        </is>
      </c>
      <c r="E10" s="7" t="inlineStr">
        <is>
          <t>Spatial Thoughts - End-to-End GEE (modules 1-2); EEFA open-access book F1</t>
        </is>
      </c>
      <c r="F10" s="7" t="inlineStr">
        <is>
          <t>Script 01: cloud-free Sentinel-2 composite of the study area</t>
        </is>
      </c>
      <c r="G10" s="22" t="n"/>
      <c r="H10" s="22" t="n"/>
      <c r="I10" s="22" t="n"/>
    </row>
    <row r="11" ht="33" customHeight="1">
      <c r="A11" s="7" t="n">
        <v>6</v>
      </c>
      <c r="B11" s="7" t="inlineStr">
        <is>
          <t>09 Nov - 15 Nov</t>
        </is>
      </c>
      <c r="C11" s="7" t="inlineStr">
        <is>
          <t>Google Earth Engine</t>
        </is>
      </c>
      <c r="D11" s="7" t="inlineStr">
        <is>
          <t>Reducers and indices: NDVI/NDWI/NDBI, zonal statistics by admin unit (reduceRegions), exports to Drive/Assets.</t>
        </is>
      </c>
      <c r="E11" s="7" t="inlineStr">
        <is>
          <t>End-to-End GEE (modules 2-3); EEFA F2-F3</t>
        </is>
      </c>
      <c r="F11" s="7" t="inlineStr">
        <is>
          <t>Script 02: mean NDVI per district table + map export</t>
        </is>
      </c>
      <c r="G11" s="22" t="n"/>
      <c r="H11" s="22" t="n"/>
      <c r="I11" s="22" t="n"/>
    </row>
    <row r="12" ht="33" customHeight="1">
      <c r="A12" s="7" t="n">
        <v>7</v>
      </c>
      <c r="B12" s="7" t="inlineStr">
        <is>
          <t>16 Nov - 22 Nov</t>
        </is>
      </c>
      <c r="C12" s="7" t="inlineStr">
        <is>
          <t>Google Earth Engine</t>
        </is>
      </c>
      <c r="D12" s="7" t="inlineStr">
        <is>
          <t>Time series: monthly NDVI 2019-2026, charts (ui.Chart), simple anomalies, GEE Apps basics.</t>
        </is>
      </c>
      <c r="E12" s="7" t="inlineStr">
        <is>
          <t>End-to-End GEE (modules 3-4); EEFA F4</t>
        </is>
      </c>
      <c r="F12" s="7" t="inlineStr">
        <is>
          <t>NDVI time-series chart + a published GEE App</t>
        </is>
      </c>
      <c r="G12" s="22" t="n"/>
      <c r="H12" s="22" t="n"/>
      <c r="I12" s="22" t="n"/>
    </row>
    <row r="13" ht="33" customHeight="1">
      <c r="A13" s="7" t="n">
        <v>8</v>
      </c>
      <c r="B13" s="7" t="inlineStr">
        <is>
          <t>23 Nov - 29 Nov</t>
        </is>
      </c>
      <c r="C13" s="7" t="inlineStr">
        <is>
          <t>Google Earth Engine</t>
        </is>
      </c>
      <c r="D13" s="7" t="inlineStr">
        <is>
          <t>GEE Python API and geemap: authenticate, replicate the scripts in Jupyter, interactive maps, export GeoTIFF.</t>
        </is>
      </c>
      <c r="E13" s="7" t="inlineStr">
        <is>
          <t>End-to-End GEE (Python module); geemap docs</t>
        </is>
      </c>
      <c r="F13" s="7" t="inlineStr">
        <is>
          <t>Notebook 04: GEE composites and time series in Python</t>
        </is>
      </c>
      <c r="G13" s="22" t="n"/>
      <c r="H13" s="22" t="n"/>
      <c r="I13" s="22" t="n"/>
    </row>
    <row r="14" ht="33" customHeight="1">
      <c r="A14" s="7" t="n">
        <v>9</v>
      </c>
      <c r="B14" s="7" t="inlineStr">
        <is>
          <t>30 Nov - 06 Dec</t>
        </is>
      </c>
      <c r="C14" s="7" t="inlineStr">
        <is>
          <t>RS analytics (deload week: theory)</t>
        </is>
      </c>
      <c r="D14" s="7" t="inlineStr">
        <is>
          <t>Supervised vs unsupervised classification, spectral signatures, training-sample design, Random Forest, accuracy metrics.</t>
        </is>
      </c>
      <c r="E14" s="7" t="inlineStr">
        <is>
          <t>EEFA F2.1-F2.2; NASA ARSET - Using GEE for Land Monitoring (part 1)</t>
        </is>
      </c>
      <c r="F14" s="7" t="inlineStr">
        <is>
          <t>One-page methods note + training sample scheme (5-6 classes)</t>
        </is>
      </c>
      <c r="G14" s="22" t="n"/>
      <c r="H14" s="22" t="n"/>
      <c r="I14" s="22" t="n"/>
    </row>
    <row r="15" ht="33" customHeight="1">
      <c r="A15" s="7" t="n">
        <v>10</v>
      </c>
      <c r="B15" s="7" t="inlineStr">
        <is>
          <t>07 Dec - 13 Dec</t>
        </is>
      </c>
      <c r="C15" s="7" t="inlineStr">
        <is>
          <t>RS analytics</t>
        </is>
      </c>
      <c r="D15" s="7" t="inlineStr">
        <is>
          <t>Random Forest classification in GEE: collect training samples, train, classify the Sentinel-2 composite, visualise.</t>
        </is>
      </c>
      <c r="E15" s="7" t="inlineStr">
        <is>
          <t>EEFA F2.1; End-to-End GEE supervised classification</t>
        </is>
      </c>
      <c r="F15" s="7" t="inlineStr">
        <is>
          <t>Land-cover map v1 of the study area</t>
        </is>
      </c>
      <c r="G15" s="22" t="n"/>
      <c r="H15" s="22" t="n"/>
      <c r="I15" s="22" t="n"/>
    </row>
    <row r="16" ht="48" customHeight="1">
      <c r="A16" s="7" t="n">
        <v>11</v>
      </c>
      <c r="B16" s="7" t="inlineStr">
        <is>
          <t>14 Dec - 20 Dec</t>
        </is>
      </c>
      <c r="C16" s="7" t="inlineStr">
        <is>
          <t>RS analytics</t>
        </is>
      </c>
      <c r="D16" s="7" t="inlineStr">
        <is>
          <t>Accuracy assessment: stratified random validation points, confusion matrix, overall/producer/user accuracy, F1; add features (indices, texture, DEM) and iterate.</t>
        </is>
      </c>
      <c r="E16" s="7" t="inlineStr">
        <is>
          <t>EEFA F2.2; ARSET GEE part 2 (classification and accuracy)</t>
        </is>
      </c>
      <c r="F16" s="7" t="inlineStr">
        <is>
          <t>Accuracy report + land-cover map v2 (target &gt;= 85% OA)</t>
        </is>
      </c>
      <c r="G16" s="22" t="n"/>
      <c r="H16" s="22" t="n"/>
      <c r="I16" s="22" t="n"/>
    </row>
    <row r="17" ht="48" customHeight="1">
      <c r="A17" s="7" t="n">
        <v>12</v>
      </c>
      <c r="B17" s="7" t="inlineStr">
        <is>
          <t>21 Dec - 27 Dec</t>
        </is>
      </c>
      <c r="C17" s="7" t="inlineStr">
        <is>
          <t>RS analytics</t>
        </is>
      </c>
      <c r="D17" s="7" t="inlineStr">
        <is>
          <t>Change detection: classify a 2016 composite, post-classification comparison, change matrix, area statistics per district; repeat in Python with scikit-learn on an exported stack.</t>
        </is>
      </c>
      <c r="E17" s="7" t="inlineStr">
        <is>
          <t>EEFA F4.4 / A1; scikit-learn RandomForest docs</t>
        </is>
      </c>
      <c r="F17" s="7" t="inlineStr">
        <is>
          <t>Change map 2016-2026 + change matrix table</t>
        </is>
      </c>
      <c r="G17" s="22" t="n"/>
      <c r="H17" s="22" t="n"/>
      <c r="I17" s="22" t="n"/>
    </row>
    <row r="18" ht="33" customHeight="1">
      <c r="A18" s="7" t="n">
        <v>13</v>
      </c>
      <c r="B18" s="7" t="inlineStr">
        <is>
          <t>28 Dec - 03 Jan</t>
        </is>
      </c>
      <c r="C18" s="7" t="inlineStr">
        <is>
          <t>Capstone 1</t>
        </is>
      </c>
      <c r="D18" s="7" t="inlineStr">
        <is>
          <t>Write-up: methods, maps, tables, limitations in the README; publish; review the skill plan for Cycle 2.</t>
        </is>
      </c>
      <c r="E18" s="7" t="inlineStr">
        <is>
          <t>Own results</t>
        </is>
      </c>
      <c r="F18" s="7" t="inlineStr">
        <is>
          <t>Capstone 1 published in the portfolio</t>
        </is>
      </c>
      <c r="G18" s="22" t="n"/>
      <c r="H18" s="22" t="n"/>
      <c r="I18" s="22" t="n"/>
    </row>
    <row r="19" ht="33" customHeight="1">
      <c r="A19" s="7" t="n">
        <v>14</v>
      </c>
      <c r="B19" s="7" t="inlineStr">
        <is>
          <t>04 Jan - 10 Jan</t>
        </is>
      </c>
      <c r="C19" s="7" t="inlineStr">
        <is>
          <t>ArcPy and automation</t>
        </is>
      </c>
      <c r="D19" s="7" t="inlineStr">
        <is>
          <t>ArcPy basics: env settings, Describe, arcpy.da Search/Update cursors, running geoprocessing tools from scripts, logging.</t>
        </is>
      </c>
      <c r="E19" s="7" t="inlineStr">
        <is>
          <t>Esri ArcPy docs; Esri Academy free Python web courses</t>
        </is>
      </c>
      <c r="F19" s="7" t="inlineStr">
        <is>
          <t>batch_project_clip.py over a folder of feature classes</t>
        </is>
      </c>
      <c r="G19" s="22" t="n"/>
      <c r="H19" s="22" t="n"/>
      <c r="I19" s="22" t="n"/>
    </row>
    <row r="20" ht="48" customHeight="1">
      <c r="A20" s="7" t="n">
        <v>15</v>
      </c>
      <c r="B20" s="7" t="inlineStr">
        <is>
          <t>11 Jan - 17 Jan</t>
        </is>
      </c>
      <c r="C20" s="7" t="inlineStr">
        <is>
          <t>ArcPy and automation</t>
        </is>
      </c>
      <c r="D20" s="7" t="inlineStr">
        <is>
          <t>Geodatabase automation: create domains, subtypes and relationship classes in code; QA checks (empty geometry, missing attributes, CRS) with a report.</t>
        </is>
      </c>
      <c r="E20" s="7" t="inlineStr">
        <is>
          <t>Esri ArcPy data management docs</t>
        </is>
      </c>
      <c r="F20" s="7" t="inlineStr">
        <is>
          <t>gdb_qa_report.py producing a CSV/Excel report</t>
        </is>
      </c>
      <c r="G20" s="22" t="n"/>
      <c r="H20" s="22" t="n"/>
      <c r="I20" s="22" t="n"/>
    </row>
    <row r="21" ht="33" customHeight="1">
      <c r="A21" s="7" t="n">
        <v>16</v>
      </c>
      <c r="B21" s="7" t="inlineStr">
        <is>
          <t>18 Jan - 24 Jan</t>
        </is>
      </c>
      <c r="C21" s="7" t="inlineStr">
        <is>
          <t>ArcPy and automation</t>
        </is>
      </c>
      <c r="D21" s="7" t="inlineStr">
        <is>
          <t>Python toolbox (.pyt): parameters, validation, messages; package for colleagues.</t>
        </is>
      </c>
      <c r="E21" s="7" t="inlineStr">
        <is>
          <t>Esri Python toolbox docs</t>
        </is>
      </c>
      <c r="F21" s="7" t="inlineStr">
        <is>
          <t>Toolbox v1 (QA report or coverage buffers from tower points) + usage README</t>
        </is>
      </c>
      <c r="G21" s="22" t="n"/>
      <c r="H21" s="22" t="n"/>
      <c r="I21" s="22" t="n"/>
    </row>
    <row r="22" ht="33" customHeight="1">
      <c r="A22" s="7" t="n">
        <v>17</v>
      </c>
      <c r="B22" s="7" t="inlineStr">
        <is>
          <t>25 Jan - 31 Jan</t>
        </is>
      </c>
      <c r="C22" s="7" t="inlineStr">
        <is>
          <t>PostGIS and spatial SQL</t>
        </is>
      </c>
      <c r="D22" s="7" t="inlineStr">
        <is>
          <t>Install PostgreSQL + PostGIS, create DB, load data (ogr2ogr / QGIS DB Manager), spatial indexes, basic SELECTs.</t>
        </is>
      </c>
      <c r="E22" s="7" t="inlineStr">
        <is>
          <t>postgis.net - Introduction to PostGIS workshop (sections 1-9)</t>
        </is>
      </c>
      <c r="F22" s="7" t="inlineStr">
        <is>
          <t>Database loaded with study-area layers + 3 queries</t>
        </is>
      </c>
      <c r="G22" s="22" t="n"/>
      <c r="H22" s="22" t="n"/>
      <c r="I22" s="22" t="n"/>
    </row>
    <row r="23" ht="33" customHeight="1">
      <c r="A23" s="7" t="n">
        <v>18</v>
      </c>
      <c r="B23" s="7" t="inlineStr">
        <is>
          <t>01 Feb - 07 Feb</t>
        </is>
      </c>
      <c r="C23" s="7" t="inlineStr">
        <is>
          <t>PostGIS and spatial SQL</t>
        </is>
      </c>
      <c r="D23" s="7" t="inlineStr">
        <is>
          <t>Spatial SQL: ST_Buffer, ST_Intersects, ST_Within, ST_DWithin, spatial joins, GROUP BY aggregation, KNN nearest neighbour.</t>
        </is>
      </c>
      <c r="E23" s="7" t="inlineStr">
        <is>
          <t>PostGIS workshop (sections 10-20)</t>
        </is>
      </c>
      <c r="F23" s="7" t="inlineStr">
        <is>
          <t>8 analytical queries with results in the README</t>
        </is>
      </c>
      <c r="G23" s="22" t="n"/>
      <c r="H23" s="22" t="n"/>
      <c r="I23" s="22" t="n"/>
    </row>
    <row r="24" ht="33" customHeight="1">
      <c r="A24" s="7" t="n">
        <v>19</v>
      </c>
      <c r="B24" s="7" t="inlineStr">
        <is>
          <t>08 Feb - 14 Feb</t>
        </is>
      </c>
      <c r="C24" s="7" t="inlineStr">
        <is>
          <t>PostGIS and spatial SQL</t>
        </is>
      </c>
      <c r="D24" s="7" t="inlineStr">
        <is>
          <t>Integration: connect QGIS and ArcGIS Pro (query layers) to PostGIS, views, raster basics; compare with enterprise geodatabase concepts.</t>
        </is>
      </c>
      <c r="E24" s="7" t="inlineStr">
        <is>
          <t>QGIS / ArcGIS Pro docs</t>
        </is>
      </c>
      <c r="F24" s="7" t="inlineStr">
        <is>
          <t>Project 3 README + views + screenshots</t>
        </is>
      </c>
      <c r="G24" s="22" t="n"/>
      <c r="H24" s="22" t="n"/>
      <c r="I24" s="22" t="n"/>
    </row>
    <row r="25" ht="48" customHeight="1">
      <c r="A25" s="7" t="n">
        <v>20</v>
      </c>
      <c r="B25" s="7" t="inlineStr">
        <is>
          <t>15 Feb - 21 Feb</t>
        </is>
      </c>
      <c r="C25" s="7" t="inlineStr">
        <is>
          <t>Web GIS and dashboards</t>
        </is>
      </c>
      <c r="D25" s="7" t="inlineStr">
        <is>
          <t>Publish classification and change results as hosted layers/tiles (ArcGIS Online) or COG + tiles. Book the certification exam and buy the voucher.</t>
        </is>
      </c>
      <c r="E25" s="7" t="inlineStr">
        <is>
          <t>ArcGIS Online docs; Esri Academy exam page</t>
        </is>
      </c>
      <c r="F25" s="7" t="inlineStr">
        <is>
          <t>Published layers + exam date booked</t>
        </is>
      </c>
      <c r="G25" s="22" t="n"/>
      <c r="H25" s="22" t="n"/>
      <c r="I25" s="22" t="n"/>
    </row>
    <row r="26" ht="33" customHeight="1">
      <c r="A26" s="7" t="n">
        <v>21</v>
      </c>
      <c r="B26" s="7" t="inlineStr">
        <is>
          <t>22 Feb - 28 Feb</t>
        </is>
      </c>
      <c r="C26" s="7" t="inlineStr">
        <is>
          <t>Web GIS and dashboards</t>
        </is>
      </c>
      <c r="D26" s="7" t="inlineStr">
        <is>
          <t>Dashboard / web app: ArcGIS Dashboards or Experience Builder, or Streamlit + leafmap; filter by district, change-statistics charts.</t>
        </is>
      </c>
      <c r="E26" s="7" t="inlineStr">
        <is>
          <t>Spatial Thoughts - Mapping and Data Visualization with Python</t>
        </is>
      </c>
      <c r="F26" s="7" t="inlineStr">
        <is>
          <t>Public web app link</t>
        </is>
      </c>
      <c r="G26" s="22" t="n"/>
      <c r="H26" s="22" t="n"/>
      <c r="I26" s="22" t="n"/>
    </row>
    <row r="27" ht="33" customHeight="1">
      <c r="A27" s="7" t="n">
        <v>22</v>
      </c>
      <c r="B27" s="7" t="inlineStr">
        <is>
          <t>01 Mar - 07 Mar</t>
        </is>
      </c>
      <c r="C27" s="7" t="inlineStr">
        <is>
          <t>Web GIS (deload week: polish)</t>
        </is>
      </c>
      <c r="D27" s="7" t="inlineStr">
        <is>
          <t>Polish repos and write a 600-900 word article about Capstone 1 (LinkedIn or blog).</t>
        </is>
      </c>
      <c r="E27" s="7" t="inlineStr">
        <is>
          <t>Own results</t>
        </is>
      </c>
      <c r="F27" s="7" t="inlineStr">
        <is>
          <t>Article published</t>
        </is>
      </c>
      <c r="G27" s="22" t="n"/>
      <c r="H27" s="22" t="n"/>
      <c r="I27" s="22" t="n"/>
    </row>
    <row r="28" ht="33" customHeight="1">
      <c r="A28" s="7" t="n">
        <v>23</v>
      </c>
      <c r="B28" s="7" t="inlineStr">
        <is>
          <t>08 Mar - 14 Mar</t>
        </is>
      </c>
      <c r="C28" s="7" t="inlineStr">
        <is>
          <t>Capstone 2</t>
        </is>
      </c>
      <c r="D28" s="7" t="inlineStr">
        <is>
          <t>Pipeline: GEE classification (2016, 2026) -&gt; export -&gt; PostGIS -&gt; toolbox automation.</t>
        </is>
      </c>
      <c r="E28" s="7" t="inlineStr">
        <is>
          <t>All previous modules</t>
        </is>
      </c>
      <c r="F28" s="7" t="inlineStr">
        <is>
          <t>Pipeline running end to end on the study area</t>
        </is>
      </c>
      <c r="G28" s="22" t="n"/>
      <c r="H28" s="22" t="n"/>
      <c r="I28" s="22" t="n"/>
    </row>
    <row r="29" ht="33" customHeight="1">
      <c r="A29" s="7" t="n">
        <v>24</v>
      </c>
      <c r="B29" s="7" t="inlineStr">
        <is>
          <t>15 Mar - 21 Mar</t>
        </is>
      </c>
      <c r="C29" s="7" t="inlineStr">
        <is>
          <t>Capstone 2</t>
        </is>
      </c>
      <c r="D29" s="7" t="inlineStr">
        <is>
          <t>Validation (&gt;= 85% OA), change statistics, web app updated, documentation.</t>
        </is>
      </c>
      <c r="E29" s="7" t="inlineStr">
        <is>
          <t>All previous modules</t>
        </is>
      </c>
      <c r="F29" s="7" t="inlineStr">
        <is>
          <t>Capstone 2 published</t>
        </is>
      </c>
      <c r="G29" s="22" t="n"/>
      <c r="H29" s="22" t="n"/>
      <c r="I29" s="22" t="n"/>
    </row>
    <row r="30" ht="33" customHeight="1">
      <c r="A30" s="7" t="n">
        <v>25</v>
      </c>
      <c r="B30" s="7" t="inlineStr">
        <is>
          <t>22 Mar - 28 Mar</t>
        </is>
      </c>
      <c r="C30" s="7" t="inlineStr">
        <is>
          <t>Certification prep</t>
        </is>
      </c>
      <c r="D30" s="7" t="inlineStr">
        <is>
          <t>Esri exam learning plan, Exam Information Guide sections, practice questions, weak-area review.</t>
        </is>
      </c>
      <c r="E30" s="7" t="inlineStr">
        <is>
          <t>Esri Academy learning plan; Esri Community EIG</t>
        </is>
      </c>
      <c r="F30" s="7" t="inlineStr">
        <is>
          <t>Practice test &gt;= 80%</t>
        </is>
      </c>
      <c r="G30" s="22" t="n"/>
      <c r="H30" s="22" t="n"/>
      <c r="I30" s="22" t="n"/>
    </row>
    <row r="31" ht="18" customHeight="1">
      <c r="A31" s="7" t="n">
        <v>26</v>
      </c>
      <c r="B31" s="7" t="inlineStr">
        <is>
          <t>29 Mar - 04 Apr</t>
        </is>
      </c>
      <c r="C31" s="7" t="inlineStr">
        <is>
          <t>Exam + review</t>
        </is>
      </c>
      <c r="D31" s="7" t="inlineStr">
        <is>
          <t>Sit the exam; portfolio review; write the next six-month skill plan.</t>
        </is>
      </c>
      <c r="E31" s="7" t="inlineStr">
        <is>
          <t>-</t>
        </is>
      </c>
      <c r="F31" s="7" t="inlineStr">
        <is>
          <t>Exam taken; next plan committed</t>
        </is>
      </c>
      <c r="G31" s="22" t="n"/>
      <c r="H31" s="22" t="n"/>
      <c r="I31" s="22" t="n"/>
    </row>
    <row r="33" ht="48" customHeight="1">
      <c r="A33" s="8" t="inlineStr">
        <is>
          <t>Certification: primary Esri ArcGIS Pro Associate 2025 (75 questions, 90 min; aimed at 2-4 years of experience) or ArcGIS Pro Professional 2025 if you have more than 4 years. Stretch option matching the new skills: ArcGIS API for Python Associate 2026. Buy the voucher and book the date in week 20. Optional paid cohort: Spatial Thoughts live 'Python Foundation for Spatial Analysis', 21-22 and 28-29 Oct 2026 (aligns with weeks 3-4). NASA ARSET trainings are free: join any GEE or land-cover session scheduled Oct-Mar.</t>
        </is>
      </c>
    </row>
    <row r="35">
      <c r="D35" s="3" t="inlineStr">
        <is>
          <t>Key free resources</t>
        </is>
      </c>
    </row>
    <row r="36">
      <c r="D36" s="6" t="inlineStr">
        <is>
          <t>Resource</t>
        </is>
      </c>
      <c r="E36" s="6" t="inlineStr">
        <is>
          <t>URL</t>
        </is>
      </c>
    </row>
    <row r="37" ht="48" customHeight="1">
      <c r="D37" s="7" t="inlineStr">
        <is>
          <t>Spatial Thoughts OpenCourseWare (Python Foundation, End-to-End GEE, Mapping and Data Visualization with Python, Cloud Native Remote Sensing with Python)</t>
        </is>
      </c>
      <c r="E37" s="7" t="inlineStr">
        <is>
          <t>https://courses.spatialthoughts.com/</t>
        </is>
      </c>
    </row>
    <row r="38" ht="33" customHeight="1">
      <c r="D38" s="7" t="inlineStr">
        <is>
          <t>Cloud-Based Remote Sensing with Google Earth Engine: Fundamentals and Applications (open access)</t>
        </is>
      </c>
      <c r="E38" s="7" t="inlineStr">
        <is>
          <t>https://link.springer.com/book/10.1007/978-3-031-26588-4</t>
        </is>
      </c>
    </row>
    <row r="39" ht="48" customHeight="1">
      <c r="D39" s="7" t="inlineStr">
        <is>
          <t>NASA ARSET - Using Google Earth Engine for Land Monitoring Applications</t>
        </is>
      </c>
      <c r="E39" s="7" t="inlineStr">
        <is>
          <t>https://www.earthdata.nasa.gov/learn/trainings/using-google-earth-engine-land-monitoring-applications</t>
        </is>
      </c>
    </row>
    <row r="40" ht="18" customHeight="1">
      <c r="D40" s="7" t="inlineStr">
        <is>
          <t>NASA ARSET training catalogue</t>
        </is>
      </c>
      <c r="E40" s="7" t="inlineStr">
        <is>
          <t>https://www.earthdata.nasa.gov/learn/trainings</t>
        </is>
      </c>
    </row>
    <row r="41" ht="18" customHeight="1">
      <c r="D41" s="7" t="inlineStr">
        <is>
          <t>Introduction to PostGIS workshop</t>
        </is>
      </c>
      <c r="E41" s="7" t="inlineStr">
        <is>
          <t>https://postgis.net/workshops/postgis-intro/</t>
        </is>
      </c>
    </row>
    <row r="42" ht="18" customHeight="1">
      <c r="D42" s="7" t="inlineStr">
        <is>
          <t>GeoPandas documentation</t>
        </is>
      </c>
      <c r="E42" s="7" t="inlineStr">
        <is>
          <t>https://geopandas.org/</t>
        </is>
      </c>
    </row>
    <row r="43" ht="18" customHeight="1">
      <c r="D43" s="7" t="inlineStr">
        <is>
          <t>Rasterio documentation</t>
        </is>
      </c>
      <c r="E43" s="7" t="inlineStr">
        <is>
          <t>https://rasterio.readthedocs.io/</t>
        </is>
      </c>
    </row>
    <row r="44" ht="18" customHeight="1">
      <c r="D44" s="7" t="inlineStr">
        <is>
          <t>geemap documentation</t>
        </is>
      </c>
      <c r="E44" s="7" t="inlineStr">
        <is>
          <t>https://geemap.org/</t>
        </is>
      </c>
    </row>
    <row r="45" ht="18" customHeight="1">
      <c r="D45" s="7" t="inlineStr">
        <is>
          <t>Esri Technical Certification (exam list, learning plans)</t>
        </is>
      </c>
      <c r="E45" s="7" t="inlineStr">
        <is>
          <t>https://www.esri.com/training/certification/</t>
        </is>
      </c>
    </row>
  </sheetData>
  <mergeCells count="1">
    <mergeCell ref="A33:F33"/>
  </mergeCells>
  <conditionalFormatting sqref="G5:G31">
    <cfRule type="cellIs" priority="1" operator="equal" dxfId="0">
      <formula>"Y"</formula>
    </cfRule>
  </conditionalFormatting>
  <dataValidations count="1">
    <dataValidation sqref="G5:G31" showDropDown="0" showInputMessage="0" showErrorMessage="0" allowBlank="1" type="list">
      <formula1>"Y,N"</formula1>
    </dataValidation>
  </dataValidations>
  <pageMargins left="0.4" right="0.4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84" customWidth="1" min="3" max="3"/>
    <col width="12" customWidth="1" min="4" max="4"/>
    <col width="12" customWidth="1" min="5" max="5"/>
  </cols>
  <sheetData>
    <row r="1">
      <c r="A1" s="1" t="inlineStr">
        <is>
          <t>Meal framework</t>
        </is>
      </c>
    </row>
    <row r="2">
      <c r="A2" s="2" t="inlineStr">
        <is>
          <t>Numbers come from the Targets sheet. Protein first on every plate; oil measured with a spoon; no liquid calories.</t>
        </is>
      </c>
    </row>
    <row r="4">
      <c r="A4" s="3" t="inlineStr">
        <is>
          <t>Live targets</t>
        </is>
      </c>
    </row>
    <row r="5">
      <c r="A5" s="6" t="inlineStr">
        <is>
          <t>Target</t>
        </is>
      </c>
      <c r="B5" s="6" t="inlineStr">
        <is>
          <t>Value</t>
        </is>
      </c>
      <c r="C5" s="6" t="inlineStr">
        <is>
          <t>Note</t>
        </is>
      </c>
    </row>
    <row r="6" ht="33" customHeight="1">
      <c r="A6" s="7" t="inlineStr">
        <is>
          <t>Calories (kcal)</t>
        </is>
      </c>
      <c r="B6" s="26">
        <f>Targets!B17</f>
        <v/>
      </c>
      <c r="C6" s="7" t="inlineStr">
        <is>
          <t>Weeks 0-13 deficit. Week 13 checkpoint: waist &lt; 87 cm -&gt; set deficit to 0 on Targets. Week 22: deficit 0 for 7 days.</t>
        </is>
      </c>
    </row>
    <row r="7" ht="18" customHeight="1">
      <c r="A7" s="7" t="inlineStr">
        <is>
          <t>Protein (g)</t>
        </is>
      </c>
      <c r="B7" s="26">
        <f>Targets!B18</f>
        <v/>
      </c>
      <c r="C7" s="7" t="inlineStr">
        <is>
          <t>130-150 g; spread over 4-5 meals</t>
        </is>
      </c>
    </row>
    <row r="8" ht="18" customHeight="1">
      <c r="A8" s="7" t="inlineStr">
        <is>
          <t>Fat (g)</t>
        </is>
      </c>
      <c r="B8" s="26">
        <f>Targets!B19</f>
        <v/>
      </c>
      <c r="C8" s="7" t="inlineStr"/>
    </row>
    <row r="9" ht="18" customHeight="1">
      <c r="A9" s="7" t="inlineStr">
        <is>
          <t>Carbohydrate (g)</t>
        </is>
      </c>
      <c r="B9" s="26">
        <f>Targets!B20</f>
        <v/>
      </c>
      <c r="C9" s="7" t="inlineStr">
        <is>
          <t>Breakfast, pre-gym, dinner</t>
        </is>
      </c>
    </row>
    <row r="10" ht="33" customHeight="1">
      <c r="A10" s="7" t="inlineStr">
        <is>
          <t>Water, training day (L)</t>
        </is>
      </c>
      <c r="B10" s="27">
        <f>Targets!B22</f>
        <v/>
      </c>
      <c r="C10" s="7" t="inlineStr">
        <is>
          <t>500 ml on waking, 500 ml pre-gym, 500-750 ml during training; rest days 0.5 L less</t>
        </is>
      </c>
    </row>
    <row r="11" ht="18" customHeight="1">
      <c r="A11" s="7" t="inlineStr">
        <is>
          <t>Fibre (g)</t>
        </is>
      </c>
      <c r="B11" s="26" t="n">
        <v>30</v>
      </c>
      <c r="C11" s="7" t="inlineStr">
        <is>
          <t>Vegetables, legumes, oats, fruit</t>
        </is>
      </c>
    </row>
    <row r="12" ht="33" customHeight="1">
      <c r="A12" s="7" t="inlineStr">
        <is>
          <t>Sugary drinks / juice</t>
        </is>
      </c>
      <c r="B12" s="26" t="n">
        <v>0</v>
      </c>
      <c r="C12" s="7" t="inlineStr">
        <is>
          <t>Fastest belly-fat lever</t>
        </is>
      </c>
    </row>
    <row r="13" ht="18" customHeight="1">
      <c r="A13" s="7" t="inlineStr">
        <is>
          <t>Alcohol</t>
        </is>
      </c>
      <c r="B13" s="28" t="inlineStr">
        <is>
          <t>None or social only</t>
        </is>
      </c>
      <c r="C13" s="7" t="inlineStr">
        <is>
          <t>Decide before Day 1</t>
        </is>
      </c>
    </row>
    <row r="14" ht="18" customHeight="1">
      <c r="A14" s="7" t="inlineStr">
        <is>
          <t>Sweets</t>
        </is>
      </c>
      <c r="B14" s="28" t="inlineStr">
        <is>
          <t>0 in Oct; 2 planned/week from Nov</t>
        </is>
      </c>
      <c r="C14" s="7" t="inlineStr">
        <is>
          <t>Planned treats are not misses</t>
        </is>
      </c>
    </row>
    <row r="15" ht="33" customHeight="1">
      <c r="A15" s="7" t="inlineStr">
        <is>
          <t>Expected rate</t>
        </is>
      </c>
      <c r="B15" s="28" t="inlineStr">
        <is>
          <t>0.3-0.5 kg/week; waist ~1 cm / 2 weeks</t>
        </is>
      </c>
      <c r="C15" s="7" t="inlineStr">
        <is>
          <t>Slower on the scale if muscle is gained</t>
        </is>
      </c>
    </row>
    <row r="17">
      <c r="A17" s="3" t="inlineStr">
        <is>
          <t>Daily template: base 2,150 kcal / 145 g protein; the optional 21:30 snack adds 150 kcal / 15 g. To land near the calorie target, skip the optional snack and halve the lunch starch.</t>
        </is>
      </c>
    </row>
    <row r="18">
      <c r="A18" s="6" t="inlineStr">
        <is>
          <t>Time</t>
        </is>
      </c>
      <c r="B18" s="6" t="inlineStr">
        <is>
          <t>Meal</t>
        </is>
      </c>
      <c r="C18" s="6" t="inlineStr">
        <is>
          <t>Example</t>
        </is>
      </c>
      <c r="D18" s="6" t="inlineStr">
        <is>
          <t>kcal</t>
        </is>
      </c>
      <c r="E18" s="6" t="inlineStr">
        <is>
          <t>Protein (g)</t>
        </is>
      </c>
    </row>
    <row r="19" ht="33" customHeight="1">
      <c r="A19" s="7" t="inlineStr">
        <is>
          <t>06:45</t>
        </is>
      </c>
      <c r="B19" s="7" t="inlineStr">
        <is>
          <t>Breakfast</t>
        </is>
      </c>
      <c r="C19" s="7" t="inlineStr">
        <is>
          <t>3 eggs or 250 g strained yogurt; 60 g oats or 2 slices wholegrain bread; 1 fruit; tea/coffee without sugar</t>
        </is>
      </c>
      <c r="D19" s="7" t="n">
        <v>500</v>
      </c>
      <c r="E19" s="7" t="n">
        <v>35</v>
      </c>
    </row>
    <row r="20" ht="18" customHeight="1">
      <c r="A20" s="7" t="inlineStr">
        <is>
          <t>10:30</t>
        </is>
      </c>
      <c r="B20" s="7" t="inlineStr">
        <is>
          <t>Snack</t>
        </is>
      </c>
      <c r="C20" s="7" t="inlineStr">
        <is>
          <t>200 g yogurt, or 30 g nuts + fruit, or 2 boiled eggs</t>
        </is>
      </c>
      <c r="D20" s="7" t="n">
        <v>200</v>
      </c>
      <c r="E20" s="7" t="n">
        <v>15</v>
      </c>
    </row>
    <row r="21" ht="33" customHeight="1">
      <c r="A21" s="7" t="inlineStr">
        <is>
          <t>12:30</t>
        </is>
      </c>
      <c r="B21" s="7" t="inlineStr">
        <is>
          <t>Lunch (packed)</t>
        </is>
      </c>
      <c r="C21" s="7" t="inlineStr">
        <is>
          <t>150 g cooked chicken/fish/lean meat or 200 g legumes; 1 cup cooked rice/bulgur or 2 flatbreads; large salad or cooked vegetables; 1 tbsp olive oil</t>
        </is>
      </c>
      <c r="D21" s="7" t="n">
        <v>600</v>
      </c>
      <c r="E21" s="7" t="n">
        <v>40</v>
      </c>
    </row>
    <row r="22" ht="18" customHeight="1">
      <c r="A22" s="7" t="inlineStr">
        <is>
          <t>16:30</t>
        </is>
      </c>
      <c r="B22" s="7" t="inlineStr">
        <is>
          <t>Pre-gym</t>
        </is>
      </c>
      <c r="C22" s="7" t="inlineStr">
        <is>
          <t>Banana + 3 dates, or bread with cheese/peanut butter; 500 ml water</t>
        </is>
      </c>
      <c r="D22" s="7" t="n">
        <v>250</v>
      </c>
      <c r="E22" s="7" t="n">
        <v>10</v>
      </c>
    </row>
    <row r="23" ht="18" customHeight="1">
      <c r="A23" s="7" t="inlineStr">
        <is>
          <t>18:00-19:15</t>
        </is>
      </c>
      <c r="B23" s="7" t="inlineStr">
        <is>
          <t>Gym</t>
        </is>
      </c>
      <c r="C23" s="7" t="inlineStr">
        <is>
          <t>500-750 ml water</t>
        </is>
      </c>
      <c r="D23" s="7" t="n">
        <v>0</v>
      </c>
      <c r="E23" s="7" t="n">
        <v>0</v>
      </c>
    </row>
    <row r="24" ht="18" customHeight="1">
      <c r="A24" s="7" t="inlineStr">
        <is>
          <t>19:45</t>
        </is>
      </c>
      <c r="B24" s="7" t="inlineStr">
        <is>
          <t>Dinner</t>
        </is>
      </c>
      <c r="C24" s="7" t="inlineStr">
        <is>
          <t>150-200 g protein source; 2 cups vegetables; one fist of potatoes or rice; 1 tbsp oil</t>
        </is>
      </c>
      <c r="D24" s="7" t="n">
        <v>600</v>
      </c>
      <c r="E24" s="7" t="n">
        <v>45</v>
      </c>
    </row>
    <row r="25" ht="18" customHeight="1">
      <c r="A25" s="7" t="inlineStr">
        <is>
          <t>21:30 (optional)</t>
        </is>
      </c>
      <c r="B25" s="7" t="inlineStr">
        <is>
          <t>If hungry</t>
        </is>
      </c>
      <c r="C25" s="7" t="inlineStr">
        <is>
          <t>Cottage cheese, yogurt or a protein shake; kitchen closed at 22:00</t>
        </is>
      </c>
      <c r="D25" s="7" t="n">
        <v>150</v>
      </c>
      <c r="E25" s="7" t="n">
        <v>15</v>
      </c>
    </row>
    <row r="26" ht="33" customHeight="1">
      <c r="A26" s="7" t="inlineStr"/>
      <c r="B26" s="29" t="inlineStr">
        <is>
          <t>Total, base (without optional snack)</t>
        </is>
      </c>
      <c r="C26" s="7" t="inlineStr"/>
      <c r="D26" s="29">
        <f>SUM(D19:D24)</f>
        <v/>
      </c>
      <c r="E26" s="29">
        <f>SUM(E19:E24)</f>
        <v/>
      </c>
    </row>
    <row r="27" ht="18" customHeight="1">
      <c r="A27" s="7" t="inlineStr"/>
      <c r="B27" s="29" t="inlineStr">
        <is>
          <t>Total with optional snack</t>
        </is>
      </c>
      <c r="C27" s="7" t="inlineStr"/>
      <c r="D27" s="29">
        <f>SUM(D19:D25)</f>
        <v/>
      </c>
      <c r="E27" s="29">
        <f>SUM(E19:E25)</f>
        <v/>
      </c>
    </row>
    <row r="29">
      <c r="A29" s="3" t="inlineStr">
        <is>
          <t>Rules</t>
        </is>
      </c>
    </row>
    <row r="30">
      <c r="A30" s="6" t="inlineStr">
        <is>
          <t>#</t>
        </is>
      </c>
      <c r="B30" s="6" t="inlineStr">
        <is>
          <t>Rule</t>
        </is>
      </c>
      <c r="C30" s="25" t="n"/>
    </row>
    <row r="31" ht="18" customHeight="1">
      <c r="A31" s="7" t="n">
        <v>1</v>
      </c>
      <c r="B31" s="7" t="inlineStr">
        <is>
          <t>Protein first on every plate; vegetables at lunch and dinner; oil measured with a spoon.</t>
        </is>
      </c>
      <c r="C31" s="25" t="n"/>
    </row>
    <row r="32" ht="18" customHeight="1">
      <c r="A32" s="7" t="n">
        <v>2</v>
      </c>
      <c r="B32" s="7" t="inlineStr">
        <is>
          <t>Eat out at most twice a week; order protein plus vegetables first; the rest is 80/20.</t>
        </is>
      </c>
      <c r="C32" s="25" t="n"/>
    </row>
    <row r="33" ht="18" customHeight="1">
      <c r="A33" s="7" t="n">
        <v>3</v>
      </c>
      <c r="B33" s="7" t="inlineStr">
        <is>
          <t>Sunday prep (60 min): cook 1 kg chicken or legumes, 4 cups rice, chop vegetables for 4 days, boil 8 eggs, portion 5 lunches.</t>
        </is>
      </c>
      <c r="C33" s="25" t="n"/>
    </row>
    <row r="34" ht="33" customHeight="1">
      <c r="A34" s="7" t="n">
        <v>4</v>
      </c>
      <c r="B34" s="7" t="inlineStr">
        <is>
          <t>Adjust every 2 weeks, not every day: if weight and waist have not moved in 14 days, remove 150 kcal (the dinner starch) or add 1,500 steps. One change at a time.</t>
        </is>
      </c>
      <c r="C34" s="25" t="n"/>
    </row>
    <row r="35" ht="18" customHeight="1">
      <c r="A35" s="7" t="n">
        <v>5</v>
      </c>
      <c r="B35" s="7" t="inlineStr">
        <is>
          <t>Week 13 checkpoint: waist below 87 cm -&gt; maintenance (deficit 0 on Targets) and train for muscle; otherwise continue the deficit.</t>
        </is>
      </c>
      <c r="C35" s="25" t="n"/>
    </row>
    <row r="36" ht="18" customHeight="1">
      <c r="A36" s="7" t="n">
        <v>6</v>
      </c>
      <c r="B36" s="7" t="inlineStr">
        <is>
          <t>Week 22: 7-day diet break at maintenance, deliberately, together with the training deload.</t>
        </is>
      </c>
      <c r="C36" s="25" t="n"/>
    </row>
    <row r="37" ht="18" customHeight="1">
      <c r="A37" s="7" t="n">
        <v>7</v>
      </c>
      <c r="B37" s="7" t="inlineStr">
        <is>
          <t>Sleep 7-8 h. Short sleep raises appetite and stores fat around the waist.</t>
        </is>
      </c>
      <c r="C37" s="25" t="n"/>
    </row>
    <row r="39">
      <c r="A39" s="3" t="inlineStr">
        <is>
          <t>Sunday prep checklist</t>
        </is>
      </c>
    </row>
    <row r="40">
      <c r="B40" s="6" t="inlineStr">
        <is>
          <t>Item</t>
        </is>
      </c>
      <c r="C40" s="6" t="inlineStr">
        <is>
          <t>Done</t>
        </is>
      </c>
    </row>
    <row r="41" ht="33" customHeight="1">
      <c r="B41" s="7" t="inlineStr">
        <is>
          <t>1 kg chicken / fish / legumes cooked</t>
        </is>
      </c>
      <c r="C41" s="7" t="n"/>
    </row>
    <row r="42" ht="18" customHeight="1">
      <c r="B42" s="7" t="inlineStr">
        <is>
          <t>4 cups rice or bulgur cooked</t>
        </is>
      </c>
      <c r="C42" s="7" t="n"/>
    </row>
    <row r="43" ht="18" customHeight="1">
      <c r="B43" s="7" t="inlineStr">
        <is>
          <t>Vegetables chopped for 4 days</t>
        </is>
      </c>
      <c r="C43" s="7" t="n"/>
    </row>
    <row r="44" ht="18" customHeight="1">
      <c r="B44" s="7" t="inlineStr">
        <is>
          <t>8 eggs boiled</t>
        </is>
      </c>
      <c r="C44" s="7" t="n"/>
    </row>
    <row r="45" ht="18" customHeight="1">
      <c r="B45" s="7" t="inlineStr">
        <is>
          <t>5 lunches portioned</t>
        </is>
      </c>
      <c r="C45" s="7" t="n"/>
    </row>
    <row r="46" ht="33" customHeight="1">
      <c r="B46" s="7" t="inlineStr">
        <is>
          <t>Yogurt, fruit, nuts for snacks bought</t>
        </is>
      </c>
      <c r="C46" s="7" t="n"/>
    </row>
    <row r="47" ht="33" customHeight="1">
      <c r="B47" s="7" t="inlineStr">
        <is>
          <t>Water bottle (1 L) ready for work and gym</t>
        </is>
      </c>
      <c r="C47" s="7" t="n"/>
    </row>
  </sheetData>
  <mergeCells count="8">
    <mergeCell ref="B30:C30"/>
    <mergeCell ref="B33:C33"/>
    <mergeCell ref="B34:C34"/>
    <mergeCell ref="B37:C37"/>
    <mergeCell ref="B36:C36"/>
    <mergeCell ref="B32:C32"/>
    <mergeCell ref="B31:C31"/>
    <mergeCell ref="B35:C35"/>
  </mergeCells>
  <pageMargins left="0.4" right="0.4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30" customWidth="1" min="5" max="5"/>
    <col width="30" customWidth="1" min="6" max="6"/>
    <col width="34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Monthly review (30 min) and cycle reviews (60 min)</t>
        </is>
      </c>
    </row>
    <row r="2">
      <c r="A2" s="2" t="inlineStr">
        <is>
          <t>Month completion % is computed from DailyLog. Read the whole plan before the Week 13 and Week 26 reviews; do not revise from memory.</t>
        </is>
      </c>
    </row>
    <row r="4" ht="40" customHeight="1">
      <c r="A4" s="6" t="inlineStr">
        <is>
          <t>Month</t>
        </is>
      </c>
      <c r="B4" s="6" t="inlineStr">
        <is>
          <t>From</t>
        </is>
      </c>
      <c r="C4" s="6" t="inlineStr">
        <is>
          <t>Review date (Sunday)</t>
        </is>
      </c>
      <c r="D4" s="6" t="inlineStr">
        <is>
          <t>Completion %</t>
        </is>
      </c>
      <c r="E4" s="6" t="inlineStr">
        <is>
          <t>What worked</t>
        </is>
      </c>
      <c r="F4" s="6" t="inlineStr">
        <is>
          <t>What broke</t>
        </is>
      </c>
      <c r="G4" s="6" t="inlineStr">
        <is>
          <t>Which metrics moved (waist, weight, lifts, skill)</t>
        </is>
      </c>
      <c r="H4" s="6" t="inlineStr">
        <is>
          <t>One change for next month</t>
        </is>
      </c>
      <c r="I4" s="6" t="inlineStr">
        <is>
          <t>Rules to simplify or drop</t>
        </is>
      </c>
      <c r="J4" s="6" t="inlineStr">
        <is>
          <t>Measurements + photos done (Y/N)</t>
        </is>
      </c>
    </row>
    <row r="5" ht="70" customHeight="1">
      <c r="A5" s="9" t="inlineStr">
        <is>
          <t>M1</t>
        </is>
      </c>
      <c r="B5" s="13" t="n">
        <v>46296</v>
      </c>
      <c r="C5" s="13" t="n">
        <v>46327</v>
      </c>
      <c r="D5" s="14">
        <f>IFERROR(SUMIFS(DailyLog!$O$2:$O$187,DailyLog!$B$2:$B$187,"&gt;="&amp;B5,DailyLog!$B$2:$B$187,"&lt;="&amp;C5)/SUMIFS(DailyLog!$R$2:$R$187,DailyLog!$B$2:$B$187,"&gt;="&amp;B5,DailyLog!$B$2:$B$187,"&lt;="&amp;C5),"")</f>
        <v/>
      </c>
      <c r="E5" s="22" t="n"/>
      <c r="F5" s="22" t="n"/>
      <c r="G5" s="22" t="n"/>
      <c r="H5" s="22" t="n"/>
      <c r="I5" s="22" t="n"/>
      <c r="J5" s="22" t="n"/>
    </row>
    <row r="6" ht="70" customHeight="1">
      <c r="A6" s="9" t="inlineStr">
        <is>
          <t>M2</t>
        </is>
      </c>
      <c r="B6" s="13" t="n">
        <v>46328</v>
      </c>
      <c r="C6" s="13" t="n">
        <v>46355</v>
      </c>
      <c r="D6" s="14">
        <f>IFERROR(SUMIFS(DailyLog!$O$2:$O$187,DailyLog!$B$2:$B$187,"&gt;="&amp;B6,DailyLog!$B$2:$B$187,"&lt;="&amp;C6)/SUMIFS(DailyLog!$R$2:$R$187,DailyLog!$B$2:$B$187,"&gt;="&amp;B6,DailyLog!$B$2:$B$187,"&lt;="&amp;C6),"")</f>
        <v/>
      </c>
      <c r="E6" s="22" t="n"/>
      <c r="F6" s="22" t="n"/>
      <c r="G6" s="22" t="n"/>
      <c r="H6" s="22" t="n"/>
      <c r="I6" s="22" t="n"/>
      <c r="J6" s="22" t="n"/>
    </row>
    <row r="7" ht="70" customHeight="1">
      <c r="A7" s="9" t="inlineStr">
        <is>
          <t>M3 (Cycle 1 review)</t>
        </is>
      </c>
      <c r="B7" s="13" t="n">
        <v>46356</v>
      </c>
      <c r="C7" s="13" t="n">
        <v>46390</v>
      </c>
      <c r="D7" s="14">
        <f>IFERROR(SUMIFS(DailyLog!$O$2:$O$187,DailyLog!$B$2:$B$187,"&gt;="&amp;B7,DailyLog!$B$2:$B$187,"&lt;="&amp;C7)/SUMIFS(DailyLog!$R$2:$R$187,DailyLog!$B$2:$B$187,"&gt;="&amp;B7,DailyLog!$B$2:$B$187,"&lt;="&amp;C7),"")</f>
        <v/>
      </c>
      <c r="E7" s="22" t="n"/>
      <c r="F7" s="22" t="n"/>
      <c r="G7" s="22" t="n"/>
      <c r="H7" s="22" t="n"/>
      <c r="I7" s="22" t="n"/>
      <c r="J7" s="22" t="n"/>
    </row>
    <row r="8" ht="70" customHeight="1">
      <c r="A8" s="9" t="inlineStr">
        <is>
          <t>M4</t>
        </is>
      </c>
      <c r="B8" s="13" t="n">
        <v>46391</v>
      </c>
      <c r="C8" s="13" t="n">
        <v>46418</v>
      </c>
      <c r="D8" s="14">
        <f>IFERROR(SUMIFS(DailyLog!$O$2:$O$187,DailyLog!$B$2:$B$187,"&gt;="&amp;B8,DailyLog!$B$2:$B$187,"&lt;="&amp;C8)/SUMIFS(DailyLog!$R$2:$R$187,DailyLog!$B$2:$B$187,"&gt;="&amp;B8,DailyLog!$B$2:$B$187,"&lt;="&amp;C8),"")</f>
        <v/>
      </c>
      <c r="E8" s="22" t="n"/>
      <c r="F8" s="22" t="n"/>
      <c r="G8" s="22" t="n"/>
      <c r="H8" s="22" t="n"/>
      <c r="I8" s="22" t="n"/>
      <c r="J8" s="22" t="n"/>
    </row>
    <row r="9" ht="70" customHeight="1">
      <c r="A9" s="9" t="inlineStr">
        <is>
          <t>M5</t>
        </is>
      </c>
      <c r="B9" s="13" t="n">
        <v>46419</v>
      </c>
      <c r="C9" s="13" t="n">
        <v>46446</v>
      </c>
      <c r="D9" s="14">
        <f>IFERROR(SUMIFS(DailyLog!$O$2:$O$187,DailyLog!$B$2:$B$187,"&gt;="&amp;B9,DailyLog!$B$2:$B$187,"&lt;="&amp;C9)/SUMIFS(DailyLog!$R$2:$R$187,DailyLog!$B$2:$B$187,"&gt;="&amp;B9,DailyLog!$B$2:$B$187,"&lt;="&amp;C9),"")</f>
        <v/>
      </c>
      <c r="E9" s="22" t="n"/>
      <c r="F9" s="22" t="n"/>
      <c r="G9" s="22" t="n"/>
      <c r="H9" s="22" t="n"/>
      <c r="I9" s="22" t="n"/>
      <c r="J9" s="22" t="n"/>
    </row>
    <row r="10" ht="70" customHeight="1">
      <c r="A10" s="9" t="inlineStr">
        <is>
          <t>M6 (final review)</t>
        </is>
      </c>
      <c r="B10" s="13" t="n">
        <v>46447</v>
      </c>
      <c r="C10" s="13" t="n">
        <v>46481</v>
      </c>
      <c r="D10" s="14">
        <f>IFERROR(SUMIFS(DailyLog!$O$2:$O$187,DailyLog!$B$2:$B$187,"&gt;="&amp;B10,DailyLog!$B$2:$B$187,"&lt;="&amp;C10)/SUMIFS(DailyLog!$R$2:$R$187,DailyLog!$B$2:$B$187,"&gt;="&amp;B10,DailyLog!$B$2:$B$187,"&lt;="&amp;C10),"")</f>
        <v/>
      </c>
      <c r="E10" s="22" t="n"/>
      <c r="F10" s="22" t="n"/>
      <c r="G10" s="22" t="n"/>
      <c r="H10" s="22" t="n"/>
      <c r="I10" s="22" t="n"/>
      <c r="J10" s="22" t="n"/>
    </row>
    <row r="12">
      <c r="A12" s="3" t="inlineStr">
        <is>
          <t>Cycle review questions (Week 13 and Week 26)</t>
        </is>
      </c>
    </row>
    <row r="13" ht="18" customHeight="1">
      <c r="A13" s="8" t="inlineStr">
        <is>
          <t>1. Do I have the time and energy for each rule as written? If not, what is the baseline version?</t>
        </is>
      </c>
    </row>
    <row r="14" ht="18" customHeight="1">
      <c r="A14" s="8" t="inlineStr">
        <is>
          <t>2. Am I getting results that match the effort? If effort is high and results are flat, change the approach, not the goal.</t>
        </is>
      </c>
    </row>
    <row r="15" ht="18" customHeight="1">
      <c r="A15" s="8" t="inlineStr">
        <is>
          <t>3. Does each rule still fit my life and values? Keep, simplify or drop.</t>
        </is>
      </c>
    </row>
    <row r="16" ht="18" customHeight="1">
      <c r="A16" s="8" t="inlineStr">
        <is>
          <t>4. What evidence of progress do I have (waist, lifts, deliverables, books)? Compare to Day 1, not to the ideal.</t>
        </is>
      </c>
    </row>
    <row r="17" ht="18" customHeight="1">
      <c r="A17" s="8" t="inlineStr">
        <is>
          <t>5. Nutrition checkpoint: is the waist below 87 cm? If yes, set the deficit to 0 and train for muscle.</t>
        </is>
      </c>
    </row>
    <row r="18" ht="18" customHeight="1">
      <c r="A18" s="8" t="inlineStr">
        <is>
          <t>6. Skill: what is public in the portfolio? What is the next deliverable that would matter to an employer or client?</t>
        </is>
      </c>
    </row>
    <row r="19" ht="18" customHeight="1">
      <c r="A19" s="8" t="inlineStr">
        <is>
          <t>7. What is the one bold move for the next 13 weeks?</t>
        </is>
      </c>
    </row>
  </sheetData>
  <mergeCells count="7">
    <mergeCell ref="A14:J14"/>
    <mergeCell ref="A17:J17"/>
    <mergeCell ref="A18:J18"/>
    <mergeCell ref="A15:J15"/>
    <mergeCell ref="A19:J19"/>
    <mergeCell ref="A16:J16"/>
    <mergeCell ref="A13:J13"/>
  </mergeCells>
  <dataValidations count="1">
    <dataValidation sqref="J5:J10" showDropDown="0" showInputMessage="0" showErrorMessage="0" allowBlank="1" type="list">
      <formula1>"Y,N"</formula1>
    </dataValidation>
  </dataValidations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2026-09-30T11:49:28Z</dcterms:created>
  <dcterms:modified xsi:type="dcterms:W3CDTF">2026-09-30T11:49:28Z</dcterms:modified>
</cp:coreProperties>
</file>