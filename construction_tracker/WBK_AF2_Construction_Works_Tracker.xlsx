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Package_Summary" sheetId="4" state="visible" r:id="rId4"/>
    <sheet name="10_By_Contractor" sheetId="5" state="visible" r:id="rId5"/>
    <sheet name="11_Package_Status" sheetId="6" state="visible" r:id="rId6"/>
    <sheet name="04_Date_Rules" sheetId="7" state="visible" r:id="rId7"/>
    <sheet name="05_Example_Filled" sheetId="8" state="visible" r:id="rId8"/>
    <sheet name="06_Status_Pipeline" sheetId="9" state="visible" r:id="rId9"/>
    <sheet name="07_Domains" sheetId="10" state="visible" r:id="rId10"/>
    <sheet name="08_Geography" sheetId="11" state="visible" r:id="rId11"/>
    <sheet name="09_Lookups" sheetId="12" state="visible" r:id="rId12"/>
  </sheets>
  <definedNames>
    <definedName name="Interventions">='07_Domains'!$A$3:$A$37</definedName>
    <definedName name="Donors">='07_Domains'!$B$3:$B$31</definedName>
    <definedName name="Projects">='07_Domains'!$C$3:$C$26</definedName>
    <definedName name="Regions">='07_Domains'!$D$3:$D$31</definedName>
    <definedName name="Statuses">='07_Domains'!$E$3:$E$36</definedName>
    <definedName name="All_Provinces">='07_Domains'!$F$3:$F$57</definedName>
    <definedName name="All_Districts">='07_Domains'!$G$3:$G$371</definedName>
    <definedName name="AwardGroups">='07_Domains'!$H$3:$H$25</definedName>
    <definedName name="Families">='07_Domains'!$I$3:$I$28</definedName>
    <definedName name="Contractors">='07_Domains'!$J$3:$J$136</definedName>
    <definedName name="_xlnm.Print_Titles" localSheetId="0">'00_How_to_Use'!$1:$2</definedName>
    <definedName name="_xlnm._FilterDatabase" localSheetId="1" hidden="1">'01_Scheme_Tracker'!$A$3:$BI$453</definedName>
    <definedName name="_xlnm.Print_Titles" localSheetId="1">'01_Scheme_Tracker'!$1:$3</definedName>
    <definedName name="_xlnm._FilterDatabase" localSheetId="3" hidden="1">'03_Package_Summary'!$A$3:$P$85</definedName>
    <definedName name="_xlnm.Print_Titles" localSheetId="3">'03_Package_Summary'!$1:$3</definedName>
    <definedName name="_xlnm._FilterDatabase" localSheetId="4" hidden="1">'10_By_Contractor'!$A$3:$J$44</definedName>
    <definedName name="_xlnm.Print_Titles" localSheetId="4">'10_By_Contractor'!$1:$3</definedName>
    <definedName name="_xlnm.Print_Titles" localSheetId="5">'11_Package_Status'!$1:$3</definedName>
    <definedName name="_xlnm.Print_Titles" localSheetId="6">'04_Date_Rules'!$1:$2</definedName>
    <definedName name="_xlnm._FilterDatabase" localSheetId="7" hidden="1">'05_Example_Filled'!$A$3:$BI$453</definedName>
    <definedName name="_xlnm.Print_Titles" localSheetId="7">'05_Example_Filled'!$1:$3</definedName>
    <definedName name="_xlnm._FilterDatabase" localSheetId="9" hidden="1">'07_Domains'!$A$2:$J$2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2">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F2A33"/>
      <sz val="10"/>
    </font>
    <font>
      <name val="Calibri"/>
      <b val="1"/>
      <color rgb="001B365D"/>
      <sz val="18"/>
    </font>
  </fonts>
  <fills count="32">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7F1E3"/>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
      <patternFill patternType="solid">
        <fgColor rgb="00E4EBF3"/>
      </patternFill>
    </fill>
    <fill>
      <patternFill patternType="solid">
        <fgColor rgb="00F6F0E4"/>
      </patternFill>
    </fill>
    <fill>
      <patternFill patternType="solid">
        <fgColor rgb="00E6EFE6"/>
      </patternFill>
    </fill>
    <fill>
      <patternFill patternType="solid">
        <fgColor rgb="00F4EBE0"/>
      </patternFill>
    </fill>
    <fill>
      <patternFill patternType="solid">
        <fgColor rgb="00D0D4D8"/>
      </patternFill>
    </fill>
    <fill>
      <patternFill patternType="solid">
        <fgColor rgb="00C6E0B4"/>
      </patternFill>
    </fill>
    <fill>
      <patternFill patternType="solid">
        <fgColor rgb="00F4B183"/>
      </patternFill>
    </fill>
    <fill>
      <patternFill patternType="solid">
        <fgColor rgb="00FFE699"/>
      </patternFill>
    </fill>
  </fills>
  <borders count="7">
    <border>
      <left/>
      <right/>
      <top/>
      <bottom/>
      <diagonal/>
    </border>
    <border>
      <left style="thin">
        <color rgb="00C5CDD6"/>
      </left>
      <right style="thin">
        <color rgb="00C5CDD6"/>
      </right>
      <top style="thin">
        <color rgb="00C5CDD6"/>
      </top>
      <bottom style="thin">
        <color rgb="00C5CDD6"/>
      </bottom>
    </border>
    <border>
      <left style="thin">
        <color rgb="00C5CDD6"/>
      </left>
      <right style="thin">
        <color rgb="00C5CDD6"/>
      </right>
      <top style="medium">
        <color rgb="001B365D"/>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120">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8" borderId="1" applyAlignment="1" pivotButton="0" quotePrefix="0" xfId="0">
      <alignment horizontal="center" vertical="center" wrapText="1"/>
    </xf>
    <xf numFmtId="0" fontId="0" fillId="18"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2" applyAlignment="1" pivotButton="0" quotePrefix="0" xfId="0">
      <alignment horizontal="center" vertical="center" wrapText="1"/>
    </xf>
    <xf numFmtId="0" fontId="10" fillId="24" borderId="2" applyAlignment="1" pivotButton="0" quotePrefix="0" xfId="0">
      <alignment horizontal="left" vertical="center" wrapText="1"/>
    </xf>
    <xf numFmtId="0" fontId="4" fillId="14" borderId="2" applyAlignment="1" pivotButton="0" quotePrefix="0" xfId="0">
      <alignment horizontal="left" vertical="center" wrapText="1"/>
    </xf>
    <xf numFmtId="3" fontId="4" fillId="14" borderId="2" applyAlignment="1" pivotButton="0" quotePrefix="0" xfId="0">
      <alignment horizontal="center" vertical="center" wrapText="1"/>
    </xf>
    <xf numFmtId="164" fontId="9" fillId="22" borderId="2" applyAlignment="1" pivotButton="0" quotePrefix="0" xfId="0">
      <alignment horizontal="center" vertical="center" wrapText="1"/>
    </xf>
    <xf numFmtId="164" fontId="4" fillId="14" borderId="2" applyAlignment="1" pivotButton="0" quotePrefix="0" xfId="0">
      <alignment horizontal="center" vertical="center" wrapText="1"/>
    </xf>
    <xf numFmtId="1" fontId="4" fillId="14" borderId="2" applyAlignment="1" pivotButton="0" quotePrefix="0" xfId="0">
      <alignment horizontal="center" vertical="center" wrapText="1"/>
    </xf>
    <xf numFmtId="1" fontId="9" fillId="22" borderId="2" applyAlignment="1" pivotButton="0" quotePrefix="0" xfId="0">
      <alignment horizontal="center" vertical="center" wrapText="1"/>
    </xf>
    <xf numFmtId="164" fontId="4" fillId="15" borderId="2" applyAlignment="1" pivotButton="0" quotePrefix="0" xfId="0">
      <alignment horizontal="center" vertical="center" wrapText="1"/>
    </xf>
    <xf numFmtId="0" fontId="5" fillId="15" borderId="2" applyAlignment="1" pivotButton="0" quotePrefix="0" xfId="0">
      <alignment horizontal="left" vertical="center" wrapText="1"/>
    </xf>
    <xf numFmtId="0" fontId="9" fillId="22" borderId="1" applyAlignment="1" pivotButton="0" quotePrefix="0" xfId="0">
      <alignment horizontal="center" vertical="center" wrapText="1"/>
    </xf>
    <xf numFmtId="0" fontId="4" fillId="24"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64" fontId="9" fillId="22" borderId="1" applyAlignment="1" pivotButton="0" quotePrefix="0" xfId="0">
      <alignment horizontal="center" vertical="center" wrapText="1"/>
    </xf>
    <xf numFmtId="164"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14" borderId="1" applyAlignment="1" pivotButton="0" quotePrefix="0" xfId="0">
      <alignment horizontal="left" vertical="center" wrapText="1"/>
    </xf>
    <xf numFmtId="3" fontId="4" fillId="14" borderId="1" applyAlignment="1" pivotButton="0" quotePrefix="0" xfId="0">
      <alignment horizontal="center" vertical="center" wrapText="1"/>
    </xf>
    <xf numFmtId="164" fontId="4" fillId="14" borderId="1" applyAlignment="1" pivotButton="0" quotePrefix="0" xfId="0">
      <alignment horizontal="center" vertical="center" wrapText="1"/>
    </xf>
    <xf numFmtId="1" fontId="4" fillId="14" borderId="1" applyAlignment="1" pivotButton="0" quotePrefix="0" xfId="0">
      <alignment horizontal="center" vertical="center" wrapText="1"/>
    </xf>
    <xf numFmtId="0" fontId="10" fillId="25" borderId="2" applyAlignment="1" pivotButton="0" quotePrefix="0" xfId="0">
      <alignment horizontal="left" vertical="center" wrapText="1"/>
    </xf>
    <xf numFmtId="0" fontId="4" fillId="23" borderId="2" applyAlignment="1" pivotButton="0" quotePrefix="0" xfId="0">
      <alignment horizontal="left" vertical="center" wrapText="1"/>
    </xf>
    <xf numFmtId="3" fontId="4" fillId="23" borderId="2" applyAlignment="1" pivotButton="0" quotePrefix="0" xfId="0">
      <alignment horizontal="center" vertical="center" wrapText="1"/>
    </xf>
    <xf numFmtId="164" fontId="4" fillId="23" borderId="2" applyAlignment="1" pivotButton="0" quotePrefix="0" xfId="0">
      <alignment horizontal="center" vertical="center" wrapText="1"/>
    </xf>
    <xf numFmtId="1" fontId="4" fillId="23" borderId="2" applyAlignment="1" pivotButton="0" quotePrefix="0" xfId="0">
      <alignment horizontal="center" vertical="center" wrapText="1"/>
    </xf>
    <xf numFmtId="0" fontId="4" fillId="25" borderId="1" applyAlignment="1" pivotButton="0" quotePrefix="0" xfId="0">
      <alignment horizontal="left" vertical="center" wrapText="1"/>
    </xf>
    <xf numFmtId="0" fontId="10" fillId="26" borderId="2" applyAlignment="1" pivotButton="0" quotePrefix="0" xfId="0">
      <alignment horizontal="left" vertical="center" wrapText="1"/>
    </xf>
    <xf numFmtId="0" fontId="4" fillId="26" borderId="1" applyAlignment="1" pivotButton="0" quotePrefix="0" xfId="0">
      <alignment horizontal="left" vertical="center" wrapText="1"/>
    </xf>
    <xf numFmtId="0" fontId="10" fillId="27" borderId="2" applyAlignment="1" pivotButton="0" quotePrefix="0" xfId="0">
      <alignment horizontal="left" vertical="center" wrapText="1"/>
    </xf>
    <xf numFmtId="0" fontId="4" fillId="27" borderId="1" applyAlignment="1" pivotButton="0" quotePrefix="0" xfId="0">
      <alignment horizontal="left" vertical="center" wrapText="1"/>
    </xf>
    <xf numFmtId="164" fontId="4" fillId="4" borderId="2" applyAlignment="1" pivotButton="0" quotePrefix="0" xfId="0">
      <alignment horizontal="center" vertical="center" wrapText="1"/>
    </xf>
    <xf numFmtId="164" fontId="4" fillId="4"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1"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17" borderId="0" applyAlignment="1" pivotButton="0" quotePrefix="0" xfId="0">
      <alignment horizontal="left" vertical="center" wrapText="1"/>
    </xf>
    <xf numFmtId="0" fontId="6" fillId="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166" fontId="11"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0" fontId="10" fillId="14" borderId="1" applyAlignment="1" pivotButton="0" quotePrefix="0" xfId="0">
      <alignment horizontal="left" vertical="center" wrapText="1"/>
    </xf>
    <xf numFmtId="0" fontId="4" fillId="14" borderId="1" applyAlignment="1" pivotButton="0" quotePrefix="0" xfId="0">
      <alignment horizontal="center" vertical="center" wrapText="1"/>
    </xf>
    <xf numFmtId="0" fontId="4" fillId="11" borderId="1" applyAlignment="1" pivotButton="0" quotePrefix="0" xfId="0">
      <alignment horizontal="center" vertical="center" wrapText="1"/>
    </xf>
    <xf numFmtId="4" fontId="9" fillId="22" borderId="1" applyAlignment="1" pivotButton="0" quotePrefix="0" xfId="0">
      <alignment horizontal="right" vertical="center"/>
    </xf>
    <xf numFmtId="0" fontId="5" fillId="14" borderId="1" applyAlignment="1" pivotButton="0" quotePrefix="0" xfId="0">
      <alignment horizontal="left" vertical="center" wrapText="1"/>
    </xf>
    <xf numFmtId="0" fontId="10" fillId="23" borderId="1" applyAlignment="1" pivotButton="0" quotePrefix="0" xfId="0">
      <alignment horizontal="left" vertical="center" wrapText="1"/>
    </xf>
    <xf numFmtId="0" fontId="4" fillId="23" borderId="1" applyAlignment="1" pivotButton="0" quotePrefix="0" xfId="0">
      <alignment horizontal="center" vertical="center" wrapText="1"/>
    </xf>
    <xf numFmtId="0" fontId="4" fillId="9" borderId="1" applyAlignment="1" pivotButton="0" quotePrefix="0" xfId="0">
      <alignment horizontal="center" vertical="center" wrapText="1"/>
    </xf>
    <xf numFmtId="0" fontId="5" fillId="23" borderId="1" applyAlignment="1" pivotButton="0" quotePrefix="0" xfId="0">
      <alignment horizontal="left"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4" fillId="13"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2"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7" fillId="18" borderId="0" applyAlignment="1" pivotButton="0" quotePrefix="0" xfId="0">
      <alignment horizontal="center" vertical="center" wrapText="1"/>
    </xf>
    <xf numFmtId="0" fontId="7" fillId="19" borderId="0" applyAlignment="1" pivotButton="0" quotePrefix="0" xfId="0">
      <alignment horizontal="center" vertical="center" wrapText="1"/>
    </xf>
    <xf numFmtId="0" fontId="7" fillId="20" borderId="0" applyAlignment="1" pivotButton="0" quotePrefix="0" xfId="0">
      <alignment horizontal="center" vertical="center" wrapText="1"/>
    </xf>
    <xf numFmtId="1" fontId="11" fillId="3" borderId="1" applyAlignment="1" pivotButton="0" quotePrefix="0" xfId="0">
      <alignment horizontal="center" vertical="center" wrapText="1"/>
    </xf>
    <xf numFmtId="1" fontId="11" fillId="17" borderId="1" applyAlignment="1" pivotButton="0" quotePrefix="0" xfId="0">
      <alignment horizontal="center" vertical="center" wrapText="1"/>
    </xf>
    <xf numFmtId="0" fontId="0" fillId="17" borderId="1" applyAlignment="1" pivotButton="0" quotePrefix="0" xfId="0">
      <alignment horizontal="center" vertical="center" wrapText="1"/>
    </xf>
    <xf numFmtId="1" fontId="11" fillId="8" borderId="1" applyAlignment="1" pivotButton="0" quotePrefix="0" xfId="0">
      <alignment horizontal="center" vertical="center" wrapText="1"/>
    </xf>
    <xf numFmtId="0" fontId="0" fillId="8" borderId="1" applyAlignment="1" pivotButton="0" quotePrefix="0" xfId="0">
      <alignment horizontal="center" vertical="center" wrapText="1"/>
    </xf>
    <xf numFmtId="0" fontId="4" fillId="8" borderId="0" applyAlignment="1" pivotButton="0" quotePrefix="0" xfId="0">
      <alignment horizontal="left" vertical="center" wrapText="1"/>
    </xf>
    <xf numFmtId="0" fontId="4" fillId="28" borderId="1" applyAlignment="1" pivotButton="0" quotePrefix="0" xfId="0">
      <alignment horizontal="left" vertical="center" wrapText="1"/>
    </xf>
    <xf numFmtId="0" fontId="7" fillId="5" borderId="1" applyAlignment="1" pivotButton="0" quotePrefix="0" xfId="0">
      <alignment horizontal="left" vertical="center" wrapText="1"/>
    </xf>
    <xf numFmtId="0" fontId="5" fillId="28" borderId="1" applyAlignment="1" pivotButton="0" quotePrefix="0" xfId="0">
      <alignment horizontal="left" vertical="center" wrapText="1"/>
    </xf>
    <xf numFmtId="0" fontId="5" fillId="29" borderId="1" applyAlignment="1" pivotButton="0" quotePrefix="0" xfId="0">
      <alignment horizontal="left" vertical="center" wrapText="1"/>
    </xf>
    <xf numFmtId="0" fontId="5" fillId="30" borderId="1" applyAlignment="1" pivotButton="0" quotePrefix="0" xfId="0">
      <alignment horizontal="left" vertical="center" wrapText="1"/>
    </xf>
    <xf numFmtId="0" fontId="5" fillId="31" borderId="1" applyAlignment="1" pivotButton="0" quotePrefix="0" xfId="0">
      <alignment horizontal="left" vertical="center" wrapText="1"/>
    </xf>
    <xf numFmtId="0" fontId="4" fillId="15" borderId="1" applyAlignment="1" pivotButton="0" quotePrefix="0" xfId="0">
      <alignment horizontal="center" vertical="center" wrapText="1"/>
    </xf>
    <xf numFmtId="0" fontId="4" fillId="15" borderId="1" applyAlignment="1" pivotButton="0" quotePrefix="0" xfId="0">
      <alignment horizontal="left" vertical="center" wrapText="1"/>
    </xf>
    <xf numFmtId="1" fontId="4" fillId="15" borderId="1" applyAlignment="1" pivotButton="0" quotePrefix="0" xfId="0">
      <alignment horizontal="center" vertical="center" wrapText="1"/>
    </xf>
    <xf numFmtId="0" fontId="4" fillId="16" borderId="1" applyAlignment="1" pivotButton="0" quotePrefix="0" xfId="0">
      <alignment horizontal="left" vertical="center" wrapText="1"/>
    </xf>
    <xf numFmtId="0" fontId="8" fillId="17" borderId="0" applyAlignment="1" pivotButton="0" quotePrefix="0" xfId="0">
      <alignment horizontal="left" vertical="center" wrapText="1"/>
    </xf>
    <xf numFmtId="0" fontId="8" fillId="8" borderId="0" applyAlignment="1" pivotButton="0" quotePrefix="0" xfId="0">
      <alignment horizontal="left" vertical="center" wrapText="1"/>
    </xf>
  </cellXfs>
  <cellStyles count="1">
    <cellStyle name="Normal" xfId="0" builtinId="0" hidden="0"/>
  </cellStyles>
  <dxfs count="17">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7F1E3"/>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D0D4D8"/>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
      <font>
        <name val="Calibri"/>
        <color rgb="001F2A33"/>
        <sz val="10"/>
      </font>
      <fill>
        <patternFill patternType="solid">
          <fgColor rgb="00C6E0B4"/>
        </patternFill>
      </fill>
    </dxf>
    <dxf>
      <font>
        <name val="Calibri"/>
        <color rgb="001F2A33"/>
        <sz val="10"/>
      </font>
      <fill>
        <patternFill patternType="solid">
          <fgColor rgb="00FFE699"/>
        </patternFill>
      </fill>
    </dxf>
    <dxf>
      <font>
        <name val="Calibri"/>
        <b val="1"/>
        <color rgb="00842029"/>
        <sz val="10"/>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'02_Dashboard'!$A$9:$A$20</f>
            </numRef>
          </cat>
          <val>
            <numRef>
              <f>'02_Dashboard'!$B$9:$B$20</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Packages by status</a:t>
            </a:r>
          </a:p>
        </rich>
      </tx>
    </title>
    <plotArea>
      <barChart>
        <barDir val="bar"/>
        <grouping val="clustered"/>
        <ser>
          <idx val="0"/>
          <order val="0"/>
          <tx>
            <strRef>
              <f>'11_Package_Status'!B8</f>
            </strRef>
          </tx>
          <spPr>
            <a:ln>
              <a:prstDash val="solid"/>
            </a:ln>
          </spPr>
          <cat>
            <numRef>
              <f>'11_Package_Status'!$A$9:$A$21</f>
            </numRef>
          </cat>
          <val>
            <numRef>
              <f>'11_Package_Status'!$B$9:$B$21</f>
            </numRef>
          </val>
        </ser>
        <dLbls>
          <showVal val="1"/>
        </dLbls>
        <gapWidth val="150"/>
        <axId val="10"/>
        <axId val="100"/>
      </barChart>
      <catAx>
        <axId val="10"/>
        <scaling>
          <orientation val="minMax"/>
        </scaling>
        <axPos val="l"/>
        <title>
          <tx>
            <rich>
              <a:bodyPr/>
              <a:p>
                <a:pPr>
                  <a:defRPr/>
                </a:pPr>
                <a:r>
                  <a:t>Packages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omments/comment1.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Q3" authorId="0" shapeId="0">
      <text>
        <t>Repeated on every sub-project of the same contract. To count unique contracts for this company, filter 10_By_Contractor or 03_Package_Summary — do not count the number of rows here. ZSCC on Package #10 is one contract / four canals.</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comments/comment2.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Q3" authorId="0" shapeId="0">
      <text>
        <t>Repeated on every sub-project of the same contract. To count unique contracts for this company, filter 10_By_Contractor or 03_Package_Summary — do not count the number of rows here. ZSCC on Package #10 is one contract / four canals.</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5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(one row per sub-project). 02_Dashboard summarises counts and average durations. 03_Package_Summary rolls every contract package to one row (Package #8 and #10 sit here as single packages). 10_By_Contractor lists each company once, with how many unique contracts it holds (Zahid Saeed / ZSCC is one awarded contract covering four canals). 11_Package_Status counts unique packages in each pipeline step (Under Design, WRI Review, LTO, PR, ITB, Awarding, Construction, …) — not every canal row. 04_Date_Rules explains how each date is used and how schedule health is coloured. 05_Example_Filled shows two worked examples so you can see the day-count formulas. 06_Status_Pipeline is the ordered list of steps. 07_Domains holds dropdown lists (major intervention, sub-type, donor, project, region, Awarded / Not awarded). 08_Geography holds province and district lists. 09_Lookups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Choose Major intervention first (Watershed Management, Irrigation Scheme, Drip Irrigation, Agroforestry saplings / seeds, or Laser Land Leveler), then Intervention sub-type (protection wall, irrigation canal, check dam, and so on). Dropdowns are also attached for Project, Region, Province, District, Donor, Awarded / Not awarded, and Reported Status.</t>
        </is>
      </c>
      <c r="D10" s="6" t="inlineStr">
        <is>
          <t>01_Scheme_Tracker</t>
        </is>
      </c>
    </row>
    <row r="11" ht="64" customHeight="1">
      <c r="B11" s="4" t="inlineStr">
        <is>
          <t>Packages that cover several sites</t>
        </is>
      </c>
      <c r="C11" s="5" t="inlineStr">
        <is>
          <t>One Package / Contract Name can cover several canals or check dams in different districts. Keep one row per sub-project (location) so province, district, village, and progress stay honest. Give every row of that contract the same Package ID and the same Package / Contract Name. Sub-project in package shows 1 of 4, 2 of 4, … Example: Package #8-AF2 IS (Khas Kunar Lower canal + Bahrabad canal) is two rows, one Package ID. Package #10-AF2 IS (Baraki, Darbal, Nawikhar, Mangali) is four rows, one Package ID. On the tracker, extra rows of the same package are grouped — use the outline +/- at the left margin to collapse them. 03_Package_Summary lists each package once.</t>
        </is>
      </c>
      <c r="D11" s="6" t="inlineStr">
        <is>
          <t>01_Scheme_Tracker / 03_Package_Summary</t>
        </is>
      </c>
    </row>
    <row r="12" ht="64" customHeight="1">
      <c r="B12" s="4" t="inlineStr">
        <is>
          <t>Find contracts awarded to one company</t>
        </is>
      </c>
      <c r="C12" s="5" t="inlineStr">
        <is>
          <t>The contractor name is repeated on every sub-project of that contract. Filtering Contractor Name on 01_Scheme_Tracker for 'Zahid Saeed Engineering and Construction Company (ZSCC)' shows four rows — those are four canals on the same Package #10 contract (057/2025), not four contracts. To see unique contracts: open 10_By_Contractor and filter the company (ZSCC = 1 awarded contract, 4 sub-projects), or open 03_Package_Summary and filter Contractor Name. Count Package IDs / Contract Numbers, not the number of tracker rows.</t>
        </is>
      </c>
      <c r="D12" s="6" t="inlineStr">
        <is>
          <t>10_By_Contractor / 03_Package_Summary</t>
        </is>
      </c>
    </row>
    <row r="13" ht="64" customHeight="1">
      <c r="B13" s="4" t="inlineStr">
        <is>
          <t>How many packages are in each status</t>
        </is>
      </c>
      <c r="C13" s="5" t="inlineStr">
        <is>
          <t>02_Dashboard counts sub-projects. That overstates a step when one contract has many sites (50 LLL units and 39 agroforestry rows are each one package still Under Awarding). Open 11_Package_Status for unique-package counts: Under Design, Under Review of WRI, Under LTO Review, PR to be Raised, ITB Launched, Retendered, Technical Evaluation, Under Awarding, Awarded, Under Construction, Completed. A package takes the least-advanced status of its unfinished sites. It is Completed only when every sub-project is completed. Filter Package status on 03_Package_Summary to list them.</t>
        </is>
      </c>
      <c r="D13" s="6" t="inlineStr">
        <is>
          <t>11_Package_Status</t>
        </is>
      </c>
    </row>
    <row r="14" ht="64" customHeight="1">
      <c r="B14" s="4" t="inlineStr">
        <is>
          <t>Enter status dates</t>
        </is>
      </c>
      <c r="C14"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4" s="6" t="inlineStr">
        <is>
          <t>Section 4 of the tracker</t>
        </is>
      </c>
    </row>
    <row r="15" ht="64" customHeight="1">
      <c r="B15" s="4" t="inlineStr">
        <is>
          <t>Awarded date and contract duration</t>
        </is>
      </c>
      <c r="C15"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5" s="6" t="inlineStr">
        <is>
          <t>Sections 2 and 4 of the tracker</t>
        </is>
      </c>
    </row>
    <row r="16" ht="64" customHeight="1">
      <c r="B16" s="4" t="inlineStr">
        <is>
          <t>Reading the day counts</t>
        </is>
      </c>
      <c r="C16"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06_Status_Pipeline (blank if there is no target).</t>
        </is>
      </c>
      <c r="D16" s="6" t="inlineStr">
        <is>
          <t>Sections 3 and 5</t>
        </is>
      </c>
    </row>
    <row r="17" ht="64" customHeight="1">
      <c r="B17" s="4" t="inlineStr">
        <is>
          <t>Schedule health colours</t>
        </is>
      </c>
      <c r="C17" s="5" t="inlineStr">
        <is>
          <t>Schedule health is calculated from planned dates and TODAY() — it changes every calendar day. GREEN — On track, or completed. AMBER — At risk / close to off track: the planned award or contract end is within 30 days. RED — Behind: today is after the expected award date (Not awarded) or after the contract end date (Awarded), or physical progress is more than 15 percentage points behind the share of the contract period that has already elapsed. 'Days vs planned date' is days remaining (positive) or days overdue (negative). Full rules, including which date each condition uses, are on 04_Date_Rules.</t>
        </is>
      </c>
      <c r="D17" s="6" t="inlineStr">
        <is>
          <t>04_Date_Rules</t>
        </is>
      </c>
    </row>
    <row r="18" ht="64" customHeight="1">
      <c r="B18" s="4" t="inlineStr">
        <is>
          <t>What a status date means</t>
        </is>
      </c>
      <c r="C18" s="5" t="inlineStr">
        <is>
          <t>Type the calendar day the scheme reached that step (the day the step started or was achieved), not a forecast. Leave later steps blank until they happen. Current Status is the latest dated step. If no dates are entered yet, Current Status uses Reported Status. Awarded Date copies Date: Awarded. Planned End Date uses the contract end if you typed one, otherwise EDATE(Awarded Date, duration months). Not awarded rows are judged against Expected award date (and, if that is blank, the expected end). Awarded rows are judged against the planned / contract end and against physical progress over elapsed time.</t>
        </is>
      </c>
      <c r="D18" s="6" t="inlineStr">
        <is>
          <t>04_Date_Rules</t>
        </is>
      </c>
    </row>
    <row r="20" ht="22" customHeight="1">
      <c r="B20" s="7" t="inlineStr">
        <is>
          <t>Add or remove domains (dropdown values)</t>
        </is>
      </c>
      <c r="C20" s="8" t="n"/>
      <c r="D20" s="8" t="n"/>
    </row>
    <row r="21" ht="64" customHeight="1">
      <c r="B21" s="4" t="inlineStr">
        <is>
          <t>Add an intervention type, donor, project, or region</t>
        </is>
      </c>
      <c r="C21" s="5" t="inlineStr">
        <is>
          <t>Open 07_Domains. Type the new value in the first empty cell at the bottom of that column. Do not leave a blank row in the middle of the list. The dropdowns expand automatically (named ranges use COUNTA). You do not need to re-run the generator for this.</t>
        </is>
      </c>
      <c r="D21" s="6" t="inlineStr">
        <is>
          <t>07_Domains</t>
        </is>
      </c>
    </row>
    <row r="22" ht="64" customHeight="1">
      <c r="B22" s="4" t="inlineStr">
        <is>
          <t>Remove a domain value</t>
        </is>
      </c>
      <c r="C22" s="5" t="inlineStr">
        <is>
          <t>Delete the cell on 07_Domains (or 08_Geography). Existing scheme rows that already use that value keep showing it; new rows will no longer offer it in the dropdown.</t>
        </is>
      </c>
      <c r="D22" s="6" t="inlineStr">
        <is>
          <t>07_Domains / 08_Geography</t>
        </is>
      </c>
    </row>
    <row r="23" ht="64" customHeight="1">
      <c r="B23" s="4" t="inlineStr">
        <is>
          <t>Add a province</t>
        </is>
      </c>
      <c r="C23" s="5" t="inlineStr">
        <is>
          <t>1) On 08_Geography, under the correct region code column in the province block, type the province name. 2) Add a new district column for that province in the district block (copy an adjacent column). 3) On 09_Lookups, add a row: Province name | Dist_&lt;Province&gt; named range. 4) Define the named range Dist_&lt;Province&gt; (Formulas → Name Manager) pointing at the district cells. The reliable alternative is to add the province in tracker_config.py GEOGRAPHY and run generate_tracker.py.</t>
        </is>
      </c>
      <c r="D23" s="6" t="inlineStr">
        <is>
          <t>08_Geography + 09_Lookups</t>
        </is>
      </c>
    </row>
    <row r="24" ht="64" customHeight="1">
      <c r="B24" s="4" t="inlineStr">
        <is>
          <t>Add a district</t>
        </is>
      </c>
      <c r="C24" s="5" t="inlineStr">
        <is>
          <t>On 08_Geography find the province column in the district block and type the district in the next empty cell. The Dist_ named range grows automatically. No other change is required.</t>
        </is>
      </c>
      <c r="D24" s="6" t="inlineStr">
        <is>
          <t>08_Geography</t>
        </is>
      </c>
    </row>
    <row r="26" ht="22" customHeight="1">
      <c r="B26" s="7" t="inlineStr">
        <is>
          <t>Add or remove status steps (the tracking pipeline)</t>
        </is>
      </c>
      <c r="C26" s="8" t="n"/>
      <c r="D26" s="8" t="n"/>
    </row>
    <row r="27" ht="64" customHeight="1">
      <c r="B27" s="4" t="inlineStr">
        <is>
          <t>Add a step at the end (no script)</t>
        </is>
      </c>
      <c r="C27" s="5" t="inlineStr">
        <is>
          <t>Open 06_Status_Pipeline.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7" s="6" t="inlineStr">
        <is>
          <t>06_Status_Pipeline spare slots</t>
        </is>
      </c>
    </row>
    <row r="28" ht="64" customHeight="1">
      <c r="B28" s="4" t="inlineStr">
        <is>
          <t>Add a step in the middle, or remove a step</t>
        </is>
      </c>
      <c r="C28"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8" s="6" t="inlineStr">
        <is>
          <t>tracker_config.py</t>
        </is>
      </c>
    </row>
    <row r="29" ht="64" customHeight="1">
      <c r="B29" s="4" t="inlineStr">
        <is>
          <t>Hide a column you do not need</t>
        </is>
      </c>
      <c r="C29" s="5" t="inlineStr">
        <is>
          <t>On 01_Scheme_Tracker, select the column → right-click → Hide. Do not delete formula columns (sections 3 and 5) or the tracker will break. Hidden columns can be unhidden later.</t>
        </is>
      </c>
      <c r="D29" s="6" t="inlineStr">
        <is>
          <t>01_Scheme_Tracker</t>
        </is>
      </c>
    </row>
    <row r="30" ht="64" customHeight="1">
      <c r="B30" s="4" t="inlineStr">
        <is>
          <t>Add an extra data column (GPS, engineer, photo link, …)</t>
        </is>
      </c>
      <c r="C30"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30" s="6" t="inlineStr">
        <is>
          <t>01_Scheme_Tracker / tracker_config.py</t>
        </is>
      </c>
    </row>
    <row r="32" ht="22" customHeight="1">
      <c r="B32" s="7" t="inlineStr">
        <is>
          <t>Rules that keep the numbers honest</t>
        </is>
      </c>
      <c r="C32" s="8" t="n"/>
      <c r="D32" s="8" t="n"/>
    </row>
    <row r="33" ht="64" customHeight="1">
      <c r="B33" s="4" t="inlineStr">
        <is>
          <t>Dates must move forward</t>
        </is>
      </c>
      <c r="C33" s="5" t="inlineStr">
        <is>
          <t>A later step should not have an earlier date than a previous step. Negative day-counts mean the dates need checking.</t>
        </is>
      </c>
      <c r="D33" s="6" t="inlineStr"/>
    </row>
    <row r="34" ht="64" customHeight="1">
      <c r="B34" s="4" t="inlineStr">
        <is>
          <t>One row = one sub-project; one Package ID = one contract</t>
        </is>
      </c>
      <c r="C34" s="5" t="inlineStr">
        <is>
          <t>If a package has three check dams or four canals, use three or four rows. Do not merge those rows — AutoFilter and sort would break. Repeat the Package / Contract Name and Package ID on every row. Cost may be per sub-project (as in the master file) or only on the first row.</t>
        </is>
      </c>
      <c r="D34" s="6" t="inlineStr">
        <is>
          <t>03_Package_Summary</t>
        </is>
      </c>
    </row>
    <row r="35" ht="64" customHeight="1">
      <c r="B35" s="4" t="inlineStr">
        <is>
          <t>Grey cells are formulas</t>
        </is>
      </c>
      <c r="C35" s="5" t="inlineStr">
        <is>
          <t>Do not type over Current Status, Planned End Date, day-count columns, or helper columns. White cells are inputs.</t>
        </is>
      </c>
      <c r="D35" s="6" t="inlineStr"/>
    </row>
    <row r="36" ht="64" customHeight="1">
      <c r="B36" s="4" t="inlineStr">
        <is>
          <t>DEMO rows</t>
        </is>
      </c>
      <c r="C36" s="5" t="inlineStr">
        <is>
          <t>05_Example_Filled is for learning. Do not copy those dates into official reports.</t>
        </is>
      </c>
      <c r="D36" s="6" t="inlineStr">
        <is>
          <t>05_Example_Filled</t>
        </is>
      </c>
    </row>
    <row r="38">
      <c r="B38" s="7" t="inlineStr">
        <is>
          <t>Status pipeline (default)</t>
        </is>
      </c>
    </row>
    <row r="39">
      <c r="B39" s="9" t="inlineStr">
        <is>
          <t>Step</t>
        </is>
      </c>
      <c r="C39" s="9" t="inlineStr">
        <is>
          <t>Status</t>
        </is>
      </c>
      <c r="D39" s="9" t="inlineStr">
        <is>
          <t>What it means</t>
        </is>
      </c>
      <c r="E39" s="9" t="inlineStr">
        <is>
          <t>Target days</t>
        </is>
      </c>
    </row>
    <row r="40">
      <c r="B40" s="10" t="n">
        <v>1</v>
      </c>
      <c r="C40" s="11" t="inlineStr">
        <is>
          <t>Under Design</t>
        </is>
      </c>
      <c r="D40" s="5" t="inlineStr">
        <is>
          <t>Detailed design, surveys, and drawings are being prepared.</t>
        </is>
      </c>
      <c r="E40" s="10" t="n">
        <v>30</v>
      </c>
    </row>
    <row r="41">
      <c r="B41" s="10" t="n">
        <v>2</v>
      </c>
      <c r="C41" s="12" t="inlineStr">
        <is>
          <t>Under Review of WRI</t>
        </is>
      </c>
      <c r="D41" s="5" t="inlineStr">
        <is>
          <t>Water Resources / WRI is reviewing the design package.</t>
        </is>
      </c>
      <c r="E41" s="10" t="n">
        <v>14</v>
      </c>
    </row>
    <row r="42">
      <c r="B42" s="10" t="n">
        <v>3</v>
      </c>
      <c r="C42" s="13" t="inlineStr">
        <is>
          <t>Under LTO Review</t>
        </is>
      </c>
      <c r="D42" s="5" t="inlineStr">
        <is>
          <t>Legal / LTO clearance of the package.</t>
        </is>
      </c>
      <c r="E42" s="10" t="n">
        <v>10</v>
      </c>
    </row>
    <row r="43">
      <c r="B43" s="10" t="n">
        <v>4</v>
      </c>
      <c r="C43" s="14" t="inlineStr">
        <is>
          <t>PR to be Raised</t>
        </is>
      </c>
      <c r="D43" s="5" t="inlineStr">
        <is>
          <t>Purchase request / procurement request still to be raised.</t>
        </is>
      </c>
      <c r="E43" s="10" t="n">
        <v>10</v>
      </c>
    </row>
    <row r="44">
      <c r="B44" s="10" t="n">
        <v>5</v>
      </c>
      <c r="C44" s="15" t="inlineStr">
        <is>
          <t>ITB Launched</t>
        </is>
      </c>
      <c r="D44" s="5" t="inlineStr">
        <is>
          <t>Invitation to Bid has been issued.</t>
        </is>
      </c>
      <c r="E44" s="10" t="n">
        <v>21</v>
      </c>
    </row>
    <row r="45">
      <c r="B45" s="10" t="n">
        <v>6</v>
      </c>
      <c r="C45" s="15" t="inlineStr">
        <is>
          <t>Retendered (Re-ITB)</t>
        </is>
      </c>
      <c r="D45" s="5" t="inlineStr">
        <is>
          <t>Previous bid failed or was cancelled; invitation re-issued.</t>
        </is>
      </c>
      <c r="E45" s="10" t="n">
        <v>21</v>
      </c>
    </row>
    <row r="46">
      <c r="B46" s="10" t="n">
        <v>7</v>
      </c>
      <c r="C46" s="16" t="inlineStr">
        <is>
          <t>Under Technical Evaluation</t>
        </is>
      </c>
      <c r="D46" s="5" t="inlineStr">
        <is>
          <t>Bids are under technical evaluation.</t>
        </is>
      </c>
      <c r="E46" s="10" t="n">
        <v>14</v>
      </c>
    </row>
    <row r="47">
      <c r="B47" s="10" t="n">
        <v>8</v>
      </c>
      <c r="C47" s="17" t="inlineStr">
        <is>
          <t>Under Awarding</t>
        </is>
      </c>
      <c r="D47" s="5" t="inlineStr">
        <is>
          <t>Award recommendation, negotiations, and approval.</t>
        </is>
      </c>
      <c r="E47" s="10" t="n">
        <v>14</v>
      </c>
    </row>
    <row r="48">
      <c r="B48" s="10" t="n">
        <v>9</v>
      </c>
      <c r="C48" s="18" t="inlineStr">
        <is>
          <t>Awarded</t>
        </is>
      </c>
      <c r="D48" s="5" t="inlineStr">
        <is>
          <t>Contract signed / notice of award issued.</t>
        </is>
      </c>
      <c r="E48" s="10" t="inlineStr">
        <is>
          <t>—</t>
        </is>
      </c>
    </row>
    <row r="49">
      <c r="B49" s="10" t="n">
        <v>10</v>
      </c>
      <c r="C49" s="19" t="inlineStr">
        <is>
          <t>Under Construction</t>
        </is>
      </c>
      <c r="D49" s="5" t="inlineStr">
        <is>
          <t>Contractor is mobilised and physical works are ongoing.</t>
        </is>
      </c>
      <c r="E49" s="10" t="n">
        <v>150</v>
      </c>
    </row>
    <row r="50">
      <c r="B50" s="10" t="n">
        <v>11</v>
      </c>
      <c r="C50" s="20" t="inlineStr">
        <is>
          <t>Completed / Handover</t>
        </is>
      </c>
      <c r="D50" s="5" t="inlineStr">
        <is>
          <t>Works completed and handed over.</t>
        </is>
      </c>
      <c r="E50" s="10" t="inlineStr">
        <is>
          <t>—</t>
        </is>
      </c>
    </row>
  </sheetData>
  <mergeCells count="32">
    <mergeCell ref="C23"/>
    <mergeCell ref="C17"/>
    <mergeCell ref="B1:D1"/>
    <mergeCell ref="C7"/>
    <mergeCell ref="C28"/>
    <mergeCell ref="C13"/>
    <mergeCell ref="B38:D38"/>
    <mergeCell ref="C18"/>
    <mergeCell ref="C3"/>
    <mergeCell ref="C34"/>
    <mergeCell ref="C30"/>
    <mergeCell ref="C15"/>
    <mergeCell ref="B9:D9"/>
    <mergeCell ref="C33"/>
    <mergeCell ref="C6"/>
    <mergeCell ref="C24"/>
    <mergeCell ref="C14"/>
    <mergeCell ref="B20:D20"/>
    <mergeCell ref="B5:D5"/>
    <mergeCell ref="C35"/>
    <mergeCell ref="C29"/>
    <mergeCell ref="B32:D32"/>
    <mergeCell ref="B26:D26"/>
    <mergeCell ref="C10"/>
    <mergeCell ref="C16"/>
    <mergeCell ref="C22"/>
    <mergeCell ref="C12"/>
    <mergeCell ref="C21"/>
    <mergeCell ref="C11"/>
    <mergeCell ref="C36"/>
    <mergeCell ref="C27"/>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Construction Works Scheme Tracker  ·  live register — type dates in section 4</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AF2-AGF-ALL</t>
        </is>
      </c>
      <c r="C4" s="33" t="inlineStr">
        <is>
          <t>Agroforestry saplings and seeds 2026/27</t>
        </is>
      </c>
      <c r="D4" s="33" t="inlineStr">
        <is>
          <t>1 of 39</t>
        </is>
      </c>
      <c r="E4" s="34" t="inlineStr">
        <is>
          <t>AF2-AGF-N-001</t>
        </is>
      </c>
      <c r="F4" s="34" t="inlineStr">
        <is>
          <t>Agroforestry — Badakhshan / Wardoj</t>
        </is>
      </c>
      <c r="G4" s="34" t="inlineStr">
        <is>
          <t>Agroforestry saplings / seeds</t>
        </is>
      </c>
      <c r="H4" s="34" t="inlineStr">
        <is>
          <t>Saplings and seeds</t>
        </is>
      </c>
      <c r="I4" s="34" t="inlineStr">
        <is>
          <t>Emergency Food Security Project (EFSP) – WBK/AF-2</t>
        </is>
      </c>
      <c r="J4" s="34" t="inlineStr">
        <is>
          <t>Northeast / Kunduz</t>
        </is>
      </c>
      <c r="K4" s="34" t="inlineStr">
        <is>
          <t>Badakhshan</t>
        </is>
      </c>
      <c r="L4" s="34" t="inlineStr">
        <is>
          <t>Wardoj</t>
        </is>
      </c>
      <c r="M4" s="34" t="inlineStr">
        <is>
          <t>Saplings: 8184; Seeds kg: 495</t>
        </is>
      </c>
      <c r="N4" s="34" t="inlineStr">
        <is>
          <t>World Bank (WBK/AF-2)</t>
        </is>
      </c>
      <c r="O4" s="34" t="inlineStr">
        <is>
          <t>Not awarded</t>
        </is>
      </c>
      <c r="P4" s="34" t="inlineStr">
        <is>
          <t>7. Agroforestry Saplings-seeds</t>
        </is>
      </c>
      <c r="Q4" s="34" t="inlineStr"/>
      <c r="R4" s="34" t="inlineStr"/>
      <c r="S4" s="35" t="n"/>
      <c r="T4" s="36" t="inlineStr">
        <is>
          <t>IF(AQ4="","",AQ4)</t>
        </is>
      </c>
      <c r="U4" s="37" t="n">
        <v>46142</v>
      </c>
      <c r="V4" s="38" t="n">
        <v>12</v>
      </c>
      <c r="W4" s="37" t="n">
        <v>46478</v>
      </c>
      <c r="X4" s="36" t="inlineStr">
        <is>
          <t>IF(W4&lt;&gt;"",W4,IF(OR(T4="",V4=""),"",EDATE(T4,V4)))</t>
        </is>
      </c>
      <c r="Y4" s="37" t="n"/>
      <c r="Z4" s="38" t="n"/>
      <c r="AA4" s="34" t="inlineStr">
        <is>
          <t>Under Awarding</t>
        </is>
      </c>
      <c r="AB4" s="34" t="inlineStr">
        <is>
          <t>The saplings PO has already been issued and PO for seeds is expected to be issued in November 2026</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37" t="n"/>
      <c r="AJ4" s="37" t="n"/>
      <c r="AK4" s="37" t="n"/>
      <c r="AL4" s="37" t="n"/>
      <c r="AM4" s="37" t="n"/>
      <c r="AN4" s="37" t="n"/>
      <c r="AO4" s="37" t="n"/>
      <c r="AP4" s="37" t="n"/>
      <c r="AQ4" s="37" t="n"/>
      <c r="AR4" s="37" t="n"/>
      <c r="AS4" s="37" t="n"/>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outlineLevel="1" ht="18" customHeight="1">
      <c r="A5" s="42" t="inlineStr">
        <is>
          <t>IF(F5="","",ROW()-3)</t>
        </is>
      </c>
      <c r="B5" s="43" t="inlineStr">
        <is>
          <t>AF2-AGF-ALL</t>
        </is>
      </c>
      <c r="C5" s="43" t="inlineStr">
        <is>
          <t>Agroforestry saplings and seeds 2026/27</t>
        </is>
      </c>
      <c r="D5" s="43" t="inlineStr">
        <is>
          <t>2 of 39</t>
        </is>
      </c>
      <c r="E5" s="44" t="inlineStr">
        <is>
          <t>AF2-AGF-N-002</t>
        </is>
      </c>
      <c r="F5" s="44" t="inlineStr">
        <is>
          <t>Agroforestry — Badghis / Sang Atish</t>
        </is>
      </c>
      <c r="G5" s="44" t="inlineStr">
        <is>
          <t>Agroforestry saplings / seeds</t>
        </is>
      </c>
      <c r="H5" s="44" t="inlineStr">
        <is>
          <t>Saplings and seeds</t>
        </is>
      </c>
      <c r="I5" s="44" t="inlineStr">
        <is>
          <t>Emergency Food Security Project (EFSP) – WBK/AF-2</t>
        </is>
      </c>
      <c r="J5" s="44" t="inlineStr">
        <is>
          <t>West / Herat</t>
        </is>
      </c>
      <c r="K5" s="44" t="inlineStr">
        <is>
          <t>Badghis</t>
        </is>
      </c>
      <c r="L5" s="44" t="inlineStr">
        <is>
          <t>Sang Atish</t>
        </is>
      </c>
      <c r="M5" s="44" t="inlineStr">
        <is>
          <t>Saplings: 0; Seeds kg: 20</t>
        </is>
      </c>
      <c r="N5" s="44" t="inlineStr">
        <is>
          <t>World Bank (WBK/AF-2)</t>
        </is>
      </c>
      <c r="O5" s="44" t="inlineStr">
        <is>
          <t>Not awarded</t>
        </is>
      </c>
      <c r="P5" s="44" t="inlineStr">
        <is>
          <t>7. Agroforestry Saplings-seeds</t>
        </is>
      </c>
      <c r="Q5" s="44" t="inlineStr"/>
      <c r="R5" s="44" t="inlineStr"/>
      <c r="S5" s="45" t="n"/>
      <c r="T5" s="46" t="inlineStr">
        <is>
          <t>IF(AQ5="","",AQ5)</t>
        </is>
      </c>
      <c r="U5" s="47" t="n">
        <v>46142</v>
      </c>
      <c r="V5" s="48" t="n">
        <v>12</v>
      </c>
      <c r="W5" s="47" t="n">
        <v>46478</v>
      </c>
      <c r="X5" s="46" t="inlineStr">
        <is>
          <t>IF(W5&lt;&gt;"",W5,IF(OR(T5="",V5=""),"",EDATE(T5,V5)))</t>
        </is>
      </c>
      <c r="Y5" s="47" t="n"/>
      <c r="Z5" s="48" t="n"/>
      <c r="AA5" s="44" t="inlineStr">
        <is>
          <t>Under Awarding</t>
        </is>
      </c>
      <c r="AB5" s="44" t="inlineStr">
        <is>
          <t>The saplings PO has already been issued and PO for seeds is expected to be issued in November 2026</t>
        </is>
      </c>
      <c r="AC5" s="42" t="inlineStr">
        <is>
          <t>IF(F5="","",IF(COUNT(AI5:AV5)=0,IF(AA5="","Not started",AA5),SUBSTITUTE(LOOKUP(2,1/(AI5:AV5&lt;&gt;""),$AI$3:$AV$3),"Date: ","")))</t>
        </is>
      </c>
      <c r="AD5" s="49" t="inlineStr">
        <is>
          <t>IF(OR(F5="",COUNT(AI5:AV5)=0),"",TODAY()-LOOKUP(2,1/(AI5:AV5&lt;&gt;""),AI5:AV5))</t>
        </is>
      </c>
      <c r="AE5" s="49" t="inlineStr">
        <is>
          <t>IF(OR(F5="",COUNT(AI5:AV5)&lt;2),"",LOOKUP(2,1/(AI5:AV5&lt;&gt;""),AI5:AV5)-MIN(AI5:AV5))</t>
        </is>
      </c>
      <c r="AF5" s="49" t="inlineStr">
        <is>
          <t>IF(OR(AD5="",AC5="Not started",AC5=""),"",IFERROR(AD5-IF(VLOOKUP(AC5,'06_Status_Pipeline'!$B$3:$E$20,4,FALSE)="",0,VLOOKUP(AC5,'06_Status_Pipeline'!$B$3:$E$20,4,FALSE)),""))</t>
        </is>
      </c>
      <c r="AG5" s="4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49" t="inlineStr">
        <is>
          <t>IF(OR(F5="",AC5="Completed / Handover",AC5="Cancelled"),"",IF(O5="Not awarded",IF(U5&lt;&gt;"",U5-TODAY(),IF(X5="","",X5-TODAY())),IF(X5="","",X5-TODAY())))</t>
        </is>
      </c>
      <c r="AI5" s="47" t="n"/>
      <c r="AJ5" s="47" t="n"/>
      <c r="AK5" s="47" t="n"/>
      <c r="AL5" s="47" t="n"/>
      <c r="AM5" s="47" t="n"/>
      <c r="AN5" s="47" t="n"/>
      <c r="AO5" s="47" t="n"/>
      <c r="AP5" s="47" t="n"/>
      <c r="AQ5" s="47" t="n"/>
      <c r="AR5" s="47" t="n"/>
      <c r="AS5" s="47" t="n"/>
      <c r="AT5" s="50" t="n"/>
      <c r="AU5" s="50" t="n"/>
      <c r="AV5" s="50" t="n"/>
      <c r="AW5" s="49" t="inlineStr">
        <is>
          <t>IF(OR(F5="",AJ5=""),"",IF(COUNT(AI5:AI5)=0,"",AJ5-LOOKUP(2,1/(AI5:AI5&lt;&gt;""),AI5:AI5)))</t>
        </is>
      </c>
      <c r="AX5" s="49" t="inlineStr">
        <is>
          <t>IF(OR(F5="",AK5=""),"",IF(COUNT(AI5:AJ5)=0,"",AK5-LOOKUP(2,1/(AI5:AJ5&lt;&gt;""),AI5:AJ5)))</t>
        </is>
      </c>
      <c r="AY5" s="49" t="inlineStr">
        <is>
          <t>IF(OR(F5="",AL5=""),"",IF(COUNT(AI5:AK5)=0,"",AL5-LOOKUP(2,1/(AI5:AK5&lt;&gt;""),AI5:AK5)))</t>
        </is>
      </c>
      <c r="AZ5" s="49" t="inlineStr">
        <is>
          <t>IF(OR(F5="",AM5=""),"",IF(COUNT(AI5:AL5)=0,"",AM5-LOOKUP(2,1/(AI5:AL5&lt;&gt;""),AI5:AL5)))</t>
        </is>
      </c>
      <c r="BA5" s="49" t="inlineStr">
        <is>
          <t>IF(OR(F5="",AN5=""),"",IF(COUNT(AI5:AM5)=0,"",AN5-LOOKUP(2,1/(AI5:AM5&lt;&gt;""),AI5:AM5)))</t>
        </is>
      </c>
      <c r="BB5" s="49" t="inlineStr">
        <is>
          <t>IF(OR(F5="",AO5=""),"",IF(COUNT(AI5:AN5)=0,"",AO5-LOOKUP(2,1/(AI5:AN5&lt;&gt;""),AI5:AN5)))</t>
        </is>
      </c>
      <c r="BC5" s="49" t="inlineStr">
        <is>
          <t>IF(OR(F5="",AP5=""),"",IF(COUNT(AI5:AO5)=0,"",AP5-LOOKUP(2,1/(AI5:AO5&lt;&gt;""),AI5:AO5)))</t>
        </is>
      </c>
      <c r="BD5" s="49" t="inlineStr">
        <is>
          <t>IF(OR(F5="",AQ5=""),"",IF(COUNT(AI5:AP5)=0,"",AQ5-LOOKUP(2,1/(AI5:AP5&lt;&gt;""),AI5:AP5)))</t>
        </is>
      </c>
      <c r="BE5" s="49" t="inlineStr">
        <is>
          <t>IF(OR(F5="",AR5=""),"",IF(COUNT(AI5:AQ5)=0,"",AR5-LOOKUP(2,1/(AI5:AQ5&lt;&gt;""),AI5:AQ5)))</t>
        </is>
      </c>
      <c r="BF5" s="49" t="inlineStr">
        <is>
          <t>IF(OR(F5="",AS5=""),"",IF(COUNT(AI5:AR5)=0,"",AS5-LOOKUP(2,1/(AI5:AR5&lt;&gt;""),AI5:AR5)))</t>
        </is>
      </c>
      <c r="BG5" s="49" t="inlineStr">
        <is>
          <t>IF(OR(F5="",AT5=""),"",IF(COUNT(AI5:AS5)=0,"",AT5-LOOKUP(2,1/(AI5:AS5&lt;&gt;""),AI5:AS5)))</t>
        </is>
      </c>
      <c r="BH5" s="49" t="inlineStr">
        <is>
          <t>IF(OR(F5="",AU5=""),"",IF(COUNT(AI5:AT5)=0,"",AU5-LOOKUP(2,1/(AI5:AT5&lt;&gt;""),AI5:AT5)))</t>
        </is>
      </c>
      <c r="BI5" s="49" t="inlineStr">
        <is>
          <t>IF(OR(F5="",AV5=""),"",IF(COUNT(AI5:AU5)=0,"",AV5-LOOKUP(2,1/(AI5:AU5&lt;&gt;""),AI5:AU5)))</t>
        </is>
      </c>
      <c r="BJ5" s="51" t="inlineStr">
        <is>
          <t>IF(J5="","All_Provinces",IFERROR(VLOOKUP(J5,'09_Lookups'!$A$4:$B$20,2,FALSE),"All_Provinces"))</t>
        </is>
      </c>
      <c r="BK5" s="51" t="inlineStr">
        <is>
          <t>IF(K5="","All_Districts",IFERROR(VLOOKUP(K5,'09_Lookups'!$E$4:$F$42,2,FALSE),"All_Districts"))</t>
        </is>
      </c>
    </row>
    <row r="6" outlineLevel="1" ht="18" customHeight="1">
      <c r="A6" s="42" t="inlineStr">
        <is>
          <t>IF(F6="","",ROW()-3)</t>
        </is>
      </c>
      <c r="B6" s="43" t="inlineStr">
        <is>
          <t>AF2-AGF-ALL</t>
        </is>
      </c>
      <c r="C6" s="43" t="inlineStr">
        <is>
          <t>Agroforestry saplings and seeds 2026/27</t>
        </is>
      </c>
      <c r="D6" s="43" t="inlineStr">
        <is>
          <t>3 of 39</t>
        </is>
      </c>
      <c r="E6" s="52" t="inlineStr">
        <is>
          <t>AF2-AGF-N-003</t>
        </is>
      </c>
      <c r="F6" s="52" t="inlineStr">
        <is>
          <t>Agroforestry — Baghlan / Banu</t>
        </is>
      </c>
      <c r="G6" s="52" t="inlineStr">
        <is>
          <t>Agroforestry saplings / seeds</t>
        </is>
      </c>
      <c r="H6" s="52" t="inlineStr">
        <is>
          <t>Saplings and seeds</t>
        </is>
      </c>
      <c r="I6" s="52" t="inlineStr">
        <is>
          <t>Emergency Food Security Project (EFSP) – WBK/AF-2</t>
        </is>
      </c>
      <c r="J6" s="52" t="inlineStr">
        <is>
          <t>Northeast / Kunduz</t>
        </is>
      </c>
      <c r="K6" s="52" t="inlineStr">
        <is>
          <t>Baghlan</t>
        </is>
      </c>
      <c r="L6" s="52" t="inlineStr">
        <is>
          <t>Banu</t>
        </is>
      </c>
      <c r="M6" s="52" t="inlineStr">
        <is>
          <t>Saplings: 8316; Seeds kg: 121</t>
        </is>
      </c>
      <c r="N6" s="52" t="inlineStr">
        <is>
          <t>World Bank (WBK/AF-2)</t>
        </is>
      </c>
      <c r="O6" s="52" t="inlineStr">
        <is>
          <t>Not awarded</t>
        </is>
      </c>
      <c r="P6" s="52" t="inlineStr">
        <is>
          <t>7. Agroforestry Saplings-seeds</t>
        </is>
      </c>
      <c r="Q6" s="52" t="inlineStr"/>
      <c r="R6" s="52" t="inlineStr"/>
      <c r="S6" s="53" t="n"/>
      <c r="T6" s="46" t="inlineStr">
        <is>
          <t>IF(AQ6="","",AQ6)</t>
        </is>
      </c>
      <c r="U6" s="54" t="n">
        <v>46142</v>
      </c>
      <c r="V6" s="55" t="n">
        <v>12</v>
      </c>
      <c r="W6" s="54" t="n">
        <v>46478</v>
      </c>
      <c r="X6" s="46" t="inlineStr">
        <is>
          <t>IF(W6&lt;&gt;"",W6,IF(OR(T6="",V6=""),"",EDATE(T6,V6)))</t>
        </is>
      </c>
      <c r="Y6" s="54" t="n"/>
      <c r="Z6" s="55" t="n"/>
      <c r="AA6" s="52" t="inlineStr">
        <is>
          <t>Under Awarding</t>
        </is>
      </c>
      <c r="AB6" s="52" t="inlineStr">
        <is>
          <t>The saplings PO has already been issued and PO for seeds is expected to be issued in November 2026</t>
        </is>
      </c>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outlineLevel="1" ht="18" customHeight="1">
      <c r="A7" s="42" t="inlineStr">
        <is>
          <t>IF(F7="","",ROW()-3)</t>
        </is>
      </c>
      <c r="B7" s="43" t="inlineStr">
        <is>
          <t>AF2-AGF-ALL</t>
        </is>
      </c>
      <c r="C7" s="43" t="inlineStr">
        <is>
          <t>Agroforestry saplings and seeds 2026/27</t>
        </is>
      </c>
      <c r="D7" s="43" t="inlineStr">
        <is>
          <t>4 of 39</t>
        </is>
      </c>
      <c r="E7" s="44" t="inlineStr">
        <is>
          <t>AF2-AGF-N-004</t>
        </is>
      </c>
      <c r="F7" s="44" t="inlineStr">
        <is>
          <t>Agroforestry — Balkh / Charkent</t>
        </is>
      </c>
      <c r="G7" s="44" t="inlineStr">
        <is>
          <t>Agroforestry saplings / seeds</t>
        </is>
      </c>
      <c r="H7" s="44" t="inlineStr">
        <is>
          <t>Saplings and seeds</t>
        </is>
      </c>
      <c r="I7" s="44" t="inlineStr">
        <is>
          <t>Emergency Food Security Project (EFSP) – WBK/AF-2</t>
        </is>
      </c>
      <c r="J7" s="44" t="inlineStr">
        <is>
          <t>North / Mazar</t>
        </is>
      </c>
      <c r="K7" s="44" t="inlineStr">
        <is>
          <t>Balkh</t>
        </is>
      </c>
      <c r="L7" s="44" t="inlineStr">
        <is>
          <t>Charkent</t>
        </is>
      </c>
      <c r="M7" s="44" t="inlineStr">
        <is>
          <t>Saplings: 0; Seeds kg: 31</t>
        </is>
      </c>
      <c r="N7" s="44" t="inlineStr">
        <is>
          <t>World Bank (WBK/AF-2)</t>
        </is>
      </c>
      <c r="O7" s="44" t="inlineStr">
        <is>
          <t>Not awarded</t>
        </is>
      </c>
      <c r="P7" s="44" t="inlineStr">
        <is>
          <t>7. Agroforestry Saplings-seeds</t>
        </is>
      </c>
      <c r="Q7" s="44" t="inlineStr"/>
      <c r="R7" s="44" t="inlineStr"/>
      <c r="S7" s="45" t="n"/>
      <c r="T7" s="46" t="inlineStr">
        <is>
          <t>IF(AQ7="","",AQ7)</t>
        </is>
      </c>
      <c r="U7" s="47" t="n">
        <v>46142</v>
      </c>
      <c r="V7" s="48" t="n">
        <v>12</v>
      </c>
      <c r="W7" s="47" t="n">
        <v>46478</v>
      </c>
      <c r="X7" s="46" t="inlineStr">
        <is>
          <t>IF(W7&lt;&gt;"",W7,IF(OR(T7="",V7=""),"",EDATE(T7,V7)))</t>
        </is>
      </c>
      <c r="Y7" s="47" t="n"/>
      <c r="Z7" s="48" t="n"/>
      <c r="AA7" s="44" t="inlineStr">
        <is>
          <t>Under Awarding</t>
        </is>
      </c>
      <c r="AB7" s="44" t="inlineStr">
        <is>
          <t>The saplings PO has already been issued and PO for seeds is expected to be issued in November 2026</t>
        </is>
      </c>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outlineLevel="1" ht="18" customHeight="1">
      <c r="A8" s="42" t="inlineStr">
        <is>
          <t>IF(F8="","",ROW()-3)</t>
        </is>
      </c>
      <c r="B8" s="43" t="inlineStr">
        <is>
          <t>AF2-AGF-ALL</t>
        </is>
      </c>
      <c r="C8" s="43" t="inlineStr">
        <is>
          <t>Agroforestry saplings and seeds 2026/27</t>
        </is>
      </c>
      <c r="D8" s="43" t="inlineStr">
        <is>
          <t>5 of 39</t>
        </is>
      </c>
      <c r="E8" s="52" t="inlineStr">
        <is>
          <t>AF2-AGF-N-005</t>
        </is>
      </c>
      <c r="F8" s="52" t="inlineStr">
        <is>
          <t>Agroforestry — Balkh / Dehdadi</t>
        </is>
      </c>
      <c r="G8" s="52" t="inlineStr">
        <is>
          <t>Agroforestry saplings / seeds</t>
        </is>
      </c>
      <c r="H8" s="52" t="inlineStr">
        <is>
          <t>Saplings and seeds</t>
        </is>
      </c>
      <c r="I8" s="52" t="inlineStr">
        <is>
          <t>Emergency Food Security Project (EFSP) – WBK/AF-2</t>
        </is>
      </c>
      <c r="J8" s="52" t="inlineStr">
        <is>
          <t>North / Mazar</t>
        </is>
      </c>
      <c r="K8" s="52" t="inlineStr">
        <is>
          <t>Balkh</t>
        </is>
      </c>
      <c r="L8" s="52" t="inlineStr">
        <is>
          <t>Dehdadi</t>
        </is>
      </c>
      <c r="M8" s="52" t="inlineStr">
        <is>
          <t>Saplings: 2400; Seeds kg: 21</t>
        </is>
      </c>
      <c r="N8" s="52" t="inlineStr">
        <is>
          <t>World Bank (WBK/AF-2)</t>
        </is>
      </c>
      <c r="O8" s="52" t="inlineStr">
        <is>
          <t>Not awarded</t>
        </is>
      </c>
      <c r="P8" s="52" t="inlineStr">
        <is>
          <t>7. Agroforestry Saplings-seeds</t>
        </is>
      </c>
      <c r="Q8" s="52" t="inlineStr"/>
      <c r="R8" s="52" t="inlineStr"/>
      <c r="S8" s="53" t="n"/>
      <c r="T8" s="46" t="inlineStr">
        <is>
          <t>IF(AQ8="","",AQ8)</t>
        </is>
      </c>
      <c r="U8" s="54" t="n">
        <v>46142</v>
      </c>
      <c r="V8" s="55" t="n">
        <v>12</v>
      </c>
      <c r="W8" s="54" t="n">
        <v>46478</v>
      </c>
      <c r="X8" s="46" t="inlineStr">
        <is>
          <t>IF(W8&lt;&gt;"",W8,IF(OR(T8="",V8=""),"",EDATE(T8,V8)))</t>
        </is>
      </c>
      <c r="Y8" s="54" t="n"/>
      <c r="Z8" s="55" t="n"/>
      <c r="AA8" s="52" t="inlineStr">
        <is>
          <t>Under Awarding</t>
        </is>
      </c>
      <c r="AB8" s="52" t="inlineStr">
        <is>
          <t>The saplings PO has already been issued and PO for seeds is expected to be issued in November 2026</t>
        </is>
      </c>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outlineLevel="1" ht="18" customHeight="1">
      <c r="A9" s="42" t="inlineStr">
        <is>
          <t>IF(F9="","",ROW()-3)</t>
        </is>
      </c>
      <c r="B9" s="43" t="inlineStr">
        <is>
          <t>AF2-AGF-ALL</t>
        </is>
      </c>
      <c r="C9" s="43" t="inlineStr">
        <is>
          <t>Agroforestry saplings and seeds 2026/27</t>
        </is>
      </c>
      <c r="D9" s="43" t="inlineStr">
        <is>
          <t>6 of 39</t>
        </is>
      </c>
      <c r="E9" s="44" t="inlineStr">
        <is>
          <t>AF2-AGF-N-006</t>
        </is>
      </c>
      <c r="F9" s="44" t="inlineStr">
        <is>
          <t>Agroforestry — Balkh / Kishendeh</t>
        </is>
      </c>
      <c r="G9" s="44" t="inlineStr">
        <is>
          <t>Agroforestry saplings / seeds</t>
        </is>
      </c>
      <c r="H9" s="44" t="inlineStr">
        <is>
          <t>Saplings and seeds</t>
        </is>
      </c>
      <c r="I9" s="44" t="inlineStr">
        <is>
          <t>Emergency Food Security Project (EFSP) – WBK/AF-2</t>
        </is>
      </c>
      <c r="J9" s="44" t="inlineStr">
        <is>
          <t>North / Mazar</t>
        </is>
      </c>
      <c r="K9" s="44" t="inlineStr">
        <is>
          <t>Balkh</t>
        </is>
      </c>
      <c r="L9" s="44" t="inlineStr">
        <is>
          <t>Kishendeh</t>
        </is>
      </c>
      <c r="M9" s="44" t="inlineStr">
        <is>
          <t>Saplings: 0; Seeds kg: 46</t>
        </is>
      </c>
      <c r="N9" s="44" t="inlineStr">
        <is>
          <t>World Bank (WBK/AF-2)</t>
        </is>
      </c>
      <c r="O9" s="44" t="inlineStr">
        <is>
          <t>Not awarded</t>
        </is>
      </c>
      <c r="P9" s="44" t="inlineStr">
        <is>
          <t>7. Agroforestry Saplings-seeds</t>
        </is>
      </c>
      <c r="Q9" s="44" t="inlineStr"/>
      <c r="R9" s="44" t="inlineStr"/>
      <c r="S9" s="45" t="n"/>
      <c r="T9" s="46" t="inlineStr">
        <is>
          <t>IF(AQ9="","",AQ9)</t>
        </is>
      </c>
      <c r="U9" s="47" t="n">
        <v>46142</v>
      </c>
      <c r="V9" s="48" t="n">
        <v>12</v>
      </c>
      <c r="W9" s="47" t="n">
        <v>46478</v>
      </c>
      <c r="X9" s="46" t="inlineStr">
        <is>
          <t>IF(W9&lt;&gt;"",W9,IF(OR(T9="",V9=""),"",EDATE(T9,V9)))</t>
        </is>
      </c>
      <c r="Y9" s="47" t="n"/>
      <c r="Z9" s="48" t="n"/>
      <c r="AA9" s="44" t="inlineStr">
        <is>
          <t>Under Awarding</t>
        </is>
      </c>
      <c r="AB9" s="44" t="inlineStr">
        <is>
          <t>The saplings PO has already been issued and PO for seeds is expected to be issued in November 2026</t>
        </is>
      </c>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outlineLevel="1" ht="18" customHeight="1">
      <c r="A10" s="42" t="inlineStr">
        <is>
          <t>IF(F10="","",ROW()-3)</t>
        </is>
      </c>
      <c r="B10" s="43" t="inlineStr">
        <is>
          <t>AF2-AGF-ALL</t>
        </is>
      </c>
      <c r="C10" s="43" t="inlineStr">
        <is>
          <t>Agroforestry saplings and seeds 2026/27</t>
        </is>
      </c>
      <c r="D10" s="43" t="inlineStr">
        <is>
          <t>7 of 39</t>
        </is>
      </c>
      <c r="E10" s="52" t="inlineStr">
        <is>
          <t>AF2-AGF-N-007</t>
        </is>
      </c>
      <c r="F10" s="52" t="inlineStr">
        <is>
          <t>Agroforestry — Balkh / Marmul</t>
        </is>
      </c>
      <c r="G10" s="52" t="inlineStr">
        <is>
          <t>Agroforestry saplings / seeds</t>
        </is>
      </c>
      <c r="H10" s="52" t="inlineStr">
        <is>
          <t>Saplings and seeds</t>
        </is>
      </c>
      <c r="I10" s="52" t="inlineStr">
        <is>
          <t>Emergency Food Security Project (EFSP) – WBK/AF-2</t>
        </is>
      </c>
      <c r="J10" s="52" t="inlineStr">
        <is>
          <t>North / Mazar</t>
        </is>
      </c>
      <c r="K10" s="52" t="inlineStr">
        <is>
          <t>Balkh</t>
        </is>
      </c>
      <c r="L10" s="52" t="inlineStr">
        <is>
          <t>Marmul</t>
        </is>
      </c>
      <c r="M10" s="52" t="inlineStr">
        <is>
          <t>Saplings: 0; Seeds kg: 41</t>
        </is>
      </c>
      <c r="N10" s="52" t="inlineStr">
        <is>
          <t>World Bank (WBK/AF-2)</t>
        </is>
      </c>
      <c r="O10" s="52" t="inlineStr">
        <is>
          <t>Not awarded</t>
        </is>
      </c>
      <c r="P10" s="52" t="inlineStr">
        <is>
          <t>7. Agroforestry Saplings-seeds</t>
        </is>
      </c>
      <c r="Q10" s="52" t="inlineStr"/>
      <c r="R10" s="52" t="inlineStr"/>
      <c r="S10" s="53" t="n"/>
      <c r="T10" s="46" t="inlineStr">
        <is>
          <t>IF(AQ10="","",AQ10)</t>
        </is>
      </c>
      <c r="U10" s="54" t="n">
        <v>46142</v>
      </c>
      <c r="V10" s="55" t="n">
        <v>12</v>
      </c>
      <c r="W10" s="54" t="n">
        <v>46478</v>
      </c>
      <c r="X10" s="46" t="inlineStr">
        <is>
          <t>IF(W10&lt;&gt;"",W10,IF(OR(T10="",V10=""),"",EDATE(T10,V10)))</t>
        </is>
      </c>
      <c r="Y10" s="54" t="n"/>
      <c r="Z10" s="55" t="n"/>
      <c r="AA10" s="52" t="inlineStr">
        <is>
          <t>Under Awarding</t>
        </is>
      </c>
      <c r="AB10" s="52" t="inlineStr">
        <is>
          <t>The saplings PO has already been issued and PO for seeds is expected to be issued in November 2026</t>
        </is>
      </c>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outlineLevel="1" ht="18" customHeight="1">
      <c r="A11" s="42" t="inlineStr">
        <is>
          <t>IF(F11="","",ROW()-3)</t>
        </is>
      </c>
      <c r="B11" s="43" t="inlineStr">
        <is>
          <t>AF2-AGF-ALL</t>
        </is>
      </c>
      <c r="C11" s="43" t="inlineStr">
        <is>
          <t>Agroforestry saplings and seeds 2026/27</t>
        </is>
      </c>
      <c r="D11" s="43" t="inlineStr">
        <is>
          <t>8 of 39</t>
        </is>
      </c>
      <c r="E11" s="44" t="inlineStr">
        <is>
          <t>AF2-AGF-N-008</t>
        </is>
      </c>
      <c r="F11" s="44" t="inlineStr">
        <is>
          <t>Agroforestry — Balkh / Nahre Shahi</t>
        </is>
      </c>
      <c r="G11" s="44" t="inlineStr">
        <is>
          <t>Agroforestry saplings / seeds</t>
        </is>
      </c>
      <c r="H11" s="44" t="inlineStr">
        <is>
          <t>Saplings and seeds</t>
        </is>
      </c>
      <c r="I11" s="44" t="inlineStr">
        <is>
          <t>Emergency Food Security Project (EFSP) – WBK/AF-2</t>
        </is>
      </c>
      <c r="J11" s="44" t="inlineStr">
        <is>
          <t>North / Mazar</t>
        </is>
      </c>
      <c r="K11" s="44" t="inlineStr">
        <is>
          <t>Balkh</t>
        </is>
      </c>
      <c r="L11" s="44" t="inlineStr">
        <is>
          <t>Nahre Shahi</t>
        </is>
      </c>
      <c r="M11" s="44" t="inlineStr">
        <is>
          <t>Saplings: 0; Seeds kg: 246</t>
        </is>
      </c>
      <c r="N11" s="44" t="inlineStr">
        <is>
          <t>World Bank (WBK/AF-2)</t>
        </is>
      </c>
      <c r="O11" s="44" t="inlineStr">
        <is>
          <t>Not awarded</t>
        </is>
      </c>
      <c r="P11" s="44" t="inlineStr">
        <is>
          <t>7. Agroforestry Saplings-seeds</t>
        </is>
      </c>
      <c r="Q11" s="44" t="inlineStr"/>
      <c r="R11" s="44" t="inlineStr"/>
      <c r="S11" s="45" t="n"/>
      <c r="T11" s="46" t="inlineStr">
        <is>
          <t>IF(AQ11="","",AQ11)</t>
        </is>
      </c>
      <c r="U11" s="47" t="n">
        <v>46142</v>
      </c>
      <c r="V11" s="48" t="n">
        <v>12</v>
      </c>
      <c r="W11" s="47" t="n">
        <v>46478</v>
      </c>
      <c r="X11" s="46" t="inlineStr">
        <is>
          <t>IF(W11&lt;&gt;"",W11,IF(OR(T11="",V11=""),"",EDATE(T11,V11)))</t>
        </is>
      </c>
      <c r="Y11" s="47" t="n"/>
      <c r="Z11" s="48" t="n"/>
      <c r="AA11" s="44" t="inlineStr">
        <is>
          <t>Under Awarding</t>
        </is>
      </c>
      <c r="AB11" s="44" t="inlineStr">
        <is>
          <t>The saplings PO has already been issued and PO for seeds is expected to be issued in November 2026</t>
        </is>
      </c>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outlineLevel="1" ht="18" customHeight="1">
      <c r="A12" s="42" t="inlineStr">
        <is>
          <t>IF(F12="","",ROW()-3)</t>
        </is>
      </c>
      <c r="B12" s="43" t="inlineStr">
        <is>
          <t>AF2-AGF-ALL</t>
        </is>
      </c>
      <c r="C12" s="43" t="inlineStr">
        <is>
          <t>Agroforestry saplings and seeds 2026/27</t>
        </is>
      </c>
      <c r="D12" s="43" t="inlineStr">
        <is>
          <t>9 of 39</t>
        </is>
      </c>
      <c r="E12" s="52" t="inlineStr">
        <is>
          <t>AF2-AGF-N-009</t>
        </is>
      </c>
      <c r="F12" s="52" t="inlineStr">
        <is>
          <t>Agroforestry — Daikundi / Khedir</t>
        </is>
      </c>
      <c r="G12" s="52" t="inlineStr">
        <is>
          <t>Agroforestry saplings / seeds</t>
        </is>
      </c>
      <c r="H12" s="52" t="inlineStr">
        <is>
          <t>Saplings and seeds</t>
        </is>
      </c>
      <c r="I12" s="52" t="inlineStr">
        <is>
          <t>Emergency Food Security Project (EFSP) – WBK/AF-2</t>
        </is>
      </c>
      <c r="J12" s="52" t="inlineStr">
        <is>
          <t>Central Highland / Bamyan</t>
        </is>
      </c>
      <c r="K12" s="52" t="inlineStr">
        <is>
          <t>Daikundi</t>
        </is>
      </c>
      <c r="L12" s="52" t="inlineStr">
        <is>
          <t>Khedir</t>
        </is>
      </c>
      <c r="M12" s="52" t="inlineStr">
        <is>
          <t>Saplings: 6000; Seeds kg: 477</t>
        </is>
      </c>
      <c r="N12" s="52" t="inlineStr">
        <is>
          <t>World Bank (WBK/AF-2)</t>
        </is>
      </c>
      <c r="O12" s="52" t="inlineStr">
        <is>
          <t>Not awarded</t>
        </is>
      </c>
      <c r="P12" s="52" t="inlineStr">
        <is>
          <t>7. Agroforestry Saplings-seeds</t>
        </is>
      </c>
      <c r="Q12" s="52" t="inlineStr"/>
      <c r="R12" s="52" t="inlineStr"/>
      <c r="S12" s="53" t="n"/>
      <c r="T12" s="46" t="inlineStr">
        <is>
          <t>IF(AQ12="","",AQ12)</t>
        </is>
      </c>
      <c r="U12" s="54" t="n">
        <v>46142</v>
      </c>
      <c r="V12" s="55" t="n">
        <v>12</v>
      </c>
      <c r="W12" s="54" t="n">
        <v>46478</v>
      </c>
      <c r="X12" s="46" t="inlineStr">
        <is>
          <t>IF(W12&lt;&gt;"",W12,IF(OR(T12="",V12=""),"",EDATE(T12,V12)))</t>
        </is>
      </c>
      <c r="Y12" s="54" t="n"/>
      <c r="Z12" s="55" t="n"/>
      <c r="AA12" s="52" t="inlineStr">
        <is>
          <t>Under Awarding</t>
        </is>
      </c>
      <c r="AB12" s="52" t="inlineStr">
        <is>
          <t>The saplings PO has already been issued and PO for seeds is expected to be issued in November 2026</t>
        </is>
      </c>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outlineLevel="1" ht="18" customHeight="1">
      <c r="A13" s="42" t="inlineStr">
        <is>
          <t>IF(F13="","",ROW()-3)</t>
        </is>
      </c>
      <c r="B13" s="43" t="inlineStr">
        <is>
          <t>AF2-AGF-ALL</t>
        </is>
      </c>
      <c r="C13" s="43" t="inlineStr">
        <is>
          <t>Agroforestry saplings and seeds 2026/27</t>
        </is>
      </c>
      <c r="D13" s="43" t="inlineStr">
        <is>
          <t>10 of 39</t>
        </is>
      </c>
      <c r="E13" s="44" t="inlineStr">
        <is>
          <t>AF2-AGF-N-010</t>
        </is>
      </c>
      <c r="F13" s="44" t="inlineStr">
        <is>
          <t>Agroforestry — Daikundi / Meramour</t>
        </is>
      </c>
      <c r="G13" s="44" t="inlineStr">
        <is>
          <t>Agroforestry saplings / seeds</t>
        </is>
      </c>
      <c r="H13" s="44" t="inlineStr">
        <is>
          <t>Saplings and seeds</t>
        </is>
      </c>
      <c r="I13" s="44" t="inlineStr">
        <is>
          <t>Emergency Food Security Project (EFSP) – WBK/AF-2</t>
        </is>
      </c>
      <c r="J13" s="44" t="inlineStr">
        <is>
          <t>Central Highland / Bamyan</t>
        </is>
      </c>
      <c r="K13" s="44" t="inlineStr">
        <is>
          <t>Daikundi</t>
        </is>
      </c>
      <c r="L13" s="44" t="inlineStr">
        <is>
          <t>Meramour</t>
        </is>
      </c>
      <c r="M13" s="44" t="inlineStr">
        <is>
          <t>Saplings: 7000; Seeds kg: 197.5</t>
        </is>
      </c>
      <c r="N13" s="44" t="inlineStr">
        <is>
          <t>World Bank (WBK/AF-2)</t>
        </is>
      </c>
      <c r="O13" s="44" t="inlineStr">
        <is>
          <t>Not awarded</t>
        </is>
      </c>
      <c r="P13" s="44" t="inlineStr">
        <is>
          <t>7. Agroforestry Saplings-seeds</t>
        </is>
      </c>
      <c r="Q13" s="44" t="inlineStr"/>
      <c r="R13" s="44" t="inlineStr"/>
      <c r="S13" s="45" t="n"/>
      <c r="T13" s="46" t="inlineStr">
        <is>
          <t>IF(AQ13="","",AQ13)</t>
        </is>
      </c>
      <c r="U13" s="47" t="n">
        <v>46142</v>
      </c>
      <c r="V13" s="48" t="n">
        <v>12</v>
      </c>
      <c r="W13" s="47" t="n">
        <v>46478</v>
      </c>
      <c r="X13" s="46" t="inlineStr">
        <is>
          <t>IF(W13&lt;&gt;"",W13,IF(OR(T13="",V13=""),"",EDATE(T13,V13)))</t>
        </is>
      </c>
      <c r="Y13" s="47" t="n"/>
      <c r="Z13" s="48" t="n"/>
      <c r="AA13" s="44" t="inlineStr">
        <is>
          <t>Under Awarding</t>
        </is>
      </c>
      <c r="AB13" s="44" t="inlineStr">
        <is>
          <t>The saplings PO has already been issued and PO for seeds is expected to be issued in November 2026</t>
        </is>
      </c>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outlineLevel="1" ht="18" customHeight="1">
      <c r="A14" s="42" t="inlineStr">
        <is>
          <t>IF(F14="","",ROW()-3)</t>
        </is>
      </c>
      <c r="B14" s="43" t="inlineStr">
        <is>
          <t>AF2-AGF-ALL</t>
        </is>
      </c>
      <c r="C14" s="43" t="inlineStr">
        <is>
          <t>Agroforestry saplings and seeds 2026/27</t>
        </is>
      </c>
      <c r="D14" s="43" t="inlineStr">
        <is>
          <t>11 of 39</t>
        </is>
      </c>
      <c r="E14" s="52" t="inlineStr">
        <is>
          <t>AF2-AGF-N-011</t>
        </is>
      </c>
      <c r="F14" s="52" t="inlineStr">
        <is>
          <t>Agroforestry — Daikundi / Sharistan</t>
        </is>
      </c>
      <c r="G14" s="52" t="inlineStr">
        <is>
          <t>Agroforestry saplings / seeds</t>
        </is>
      </c>
      <c r="H14" s="52" t="inlineStr">
        <is>
          <t>Saplings and seeds</t>
        </is>
      </c>
      <c r="I14" s="52" t="inlineStr">
        <is>
          <t>Emergency Food Security Project (EFSP) – WBK/AF-2</t>
        </is>
      </c>
      <c r="J14" s="52" t="inlineStr">
        <is>
          <t>Central Highland / Bamyan</t>
        </is>
      </c>
      <c r="K14" s="52" t="inlineStr">
        <is>
          <t>Daikundi</t>
        </is>
      </c>
      <c r="L14" s="52" t="inlineStr">
        <is>
          <t>Sharistan</t>
        </is>
      </c>
      <c r="M14" s="52" t="inlineStr">
        <is>
          <t>Saplings: 7000; Seeds kg: 195.5</t>
        </is>
      </c>
      <c r="N14" s="52" t="inlineStr">
        <is>
          <t>World Bank (WBK/AF-2)</t>
        </is>
      </c>
      <c r="O14" s="52" t="inlineStr">
        <is>
          <t>Not awarded</t>
        </is>
      </c>
      <c r="P14" s="52" t="inlineStr">
        <is>
          <t>7. Agroforestry Saplings-seeds</t>
        </is>
      </c>
      <c r="Q14" s="52" t="inlineStr"/>
      <c r="R14" s="52" t="inlineStr"/>
      <c r="S14" s="53" t="n"/>
      <c r="T14" s="46" t="inlineStr">
        <is>
          <t>IF(AQ14="","",AQ14)</t>
        </is>
      </c>
      <c r="U14" s="54" t="n">
        <v>46142</v>
      </c>
      <c r="V14" s="55" t="n">
        <v>12</v>
      </c>
      <c r="W14" s="54" t="n">
        <v>46478</v>
      </c>
      <c r="X14" s="46" t="inlineStr">
        <is>
          <t>IF(W14&lt;&gt;"",W14,IF(OR(T14="",V14=""),"",EDATE(T14,V14)))</t>
        </is>
      </c>
      <c r="Y14" s="54" t="n"/>
      <c r="Z14" s="55" t="n"/>
      <c r="AA14" s="52" t="inlineStr">
        <is>
          <t>Under Awarding</t>
        </is>
      </c>
      <c r="AB14" s="52" t="inlineStr">
        <is>
          <t>The saplings PO has already been issued and PO for seeds is expected to be issued in November 2026</t>
        </is>
      </c>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outlineLevel="1" ht="18" customHeight="1">
      <c r="A15" s="42" t="inlineStr">
        <is>
          <t>IF(F15="","",ROW()-3)</t>
        </is>
      </c>
      <c r="B15" s="43" t="inlineStr">
        <is>
          <t>AF2-AGF-ALL</t>
        </is>
      </c>
      <c r="C15" s="43" t="inlineStr">
        <is>
          <t>Agroforestry saplings and seeds 2026/27</t>
        </is>
      </c>
      <c r="D15" s="43" t="inlineStr">
        <is>
          <t>12 of 39</t>
        </is>
      </c>
      <c r="E15" s="44" t="inlineStr">
        <is>
          <t>AF2-AGF-N-012</t>
        </is>
      </c>
      <c r="F15" s="44" t="inlineStr">
        <is>
          <t>Agroforestry — Faryab / Almar</t>
        </is>
      </c>
      <c r="G15" s="44" t="inlineStr">
        <is>
          <t>Agroforestry saplings / seeds</t>
        </is>
      </c>
      <c r="H15" s="44" t="inlineStr">
        <is>
          <t>Saplings and seeds</t>
        </is>
      </c>
      <c r="I15" s="44" t="inlineStr">
        <is>
          <t>Emergency Food Security Project (EFSP) – WBK/AF-2</t>
        </is>
      </c>
      <c r="J15" s="44" t="inlineStr">
        <is>
          <t>North / Mazar</t>
        </is>
      </c>
      <c r="K15" s="44" t="inlineStr">
        <is>
          <t>Faryab</t>
        </is>
      </c>
      <c r="L15" s="44" t="inlineStr">
        <is>
          <t>Almar</t>
        </is>
      </c>
      <c r="M15" s="44" t="inlineStr">
        <is>
          <t>Saplings: 0; Seeds kg: 154</t>
        </is>
      </c>
      <c r="N15" s="44" t="inlineStr">
        <is>
          <t>World Bank (WBK/AF-2)</t>
        </is>
      </c>
      <c r="O15" s="44" t="inlineStr">
        <is>
          <t>Not awarded</t>
        </is>
      </c>
      <c r="P15" s="44" t="inlineStr">
        <is>
          <t>7. Agroforestry Saplings-seeds</t>
        </is>
      </c>
      <c r="Q15" s="44" t="inlineStr"/>
      <c r="R15" s="44" t="inlineStr"/>
      <c r="S15" s="45" t="n"/>
      <c r="T15" s="46" t="inlineStr">
        <is>
          <t>IF(AQ15="","",AQ15)</t>
        </is>
      </c>
      <c r="U15" s="47" t="n">
        <v>46142</v>
      </c>
      <c r="V15" s="48" t="n">
        <v>12</v>
      </c>
      <c r="W15" s="47" t="n">
        <v>46478</v>
      </c>
      <c r="X15" s="46" t="inlineStr">
        <is>
          <t>IF(W15&lt;&gt;"",W15,IF(OR(T15="",V15=""),"",EDATE(T15,V15)))</t>
        </is>
      </c>
      <c r="Y15" s="47" t="n"/>
      <c r="Z15" s="48" t="n"/>
      <c r="AA15" s="44" t="inlineStr">
        <is>
          <t>Under Awarding</t>
        </is>
      </c>
      <c r="AB15" s="44" t="inlineStr">
        <is>
          <t>The saplings PO has already been issued and PO for seeds is expected to be issued in November 2026</t>
        </is>
      </c>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outlineLevel="1" ht="18" customHeight="1">
      <c r="A16" s="42" t="inlineStr">
        <is>
          <t>IF(F16="","",ROW()-3)</t>
        </is>
      </c>
      <c r="B16" s="43" t="inlineStr">
        <is>
          <t>AF2-AGF-ALL</t>
        </is>
      </c>
      <c r="C16" s="43" t="inlineStr">
        <is>
          <t>Agroforestry saplings and seeds 2026/27</t>
        </is>
      </c>
      <c r="D16" s="43" t="inlineStr">
        <is>
          <t>13 of 39</t>
        </is>
      </c>
      <c r="E16" s="52" t="inlineStr">
        <is>
          <t>AF2-AGF-N-013</t>
        </is>
      </c>
      <c r="F16" s="52" t="inlineStr">
        <is>
          <t>Agroforestry — Faryab / Khoja Sabz Posh</t>
        </is>
      </c>
      <c r="G16" s="52" t="inlineStr">
        <is>
          <t>Agroforestry saplings / seeds</t>
        </is>
      </c>
      <c r="H16" s="52" t="inlineStr">
        <is>
          <t>Saplings and seeds</t>
        </is>
      </c>
      <c r="I16" s="52" t="inlineStr">
        <is>
          <t>Emergency Food Security Project (EFSP) – WBK/AF-2</t>
        </is>
      </c>
      <c r="J16" s="52" t="inlineStr">
        <is>
          <t>North / Mazar</t>
        </is>
      </c>
      <c r="K16" s="52" t="inlineStr">
        <is>
          <t>Faryab</t>
        </is>
      </c>
      <c r="L16" s="52" t="inlineStr">
        <is>
          <t>Khoja Sabz Posh</t>
        </is>
      </c>
      <c r="M16" s="52" t="inlineStr">
        <is>
          <t>Saplings: 3250; Seeds kg: 154</t>
        </is>
      </c>
      <c r="N16" s="52" t="inlineStr">
        <is>
          <t>World Bank (WBK/AF-2)</t>
        </is>
      </c>
      <c r="O16" s="52" t="inlineStr">
        <is>
          <t>Not awarded</t>
        </is>
      </c>
      <c r="P16" s="52" t="inlineStr">
        <is>
          <t>7. Agroforestry Saplings-seeds</t>
        </is>
      </c>
      <c r="Q16" s="52" t="inlineStr"/>
      <c r="R16" s="52" t="inlineStr"/>
      <c r="S16" s="53" t="n"/>
      <c r="T16" s="46" t="inlineStr">
        <is>
          <t>IF(AQ16="","",AQ16)</t>
        </is>
      </c>
      <c r="U16" s="54" t="n">
        <v>46142</v>
      </c>
      <c r="V16" s="55" t="n">
        <v>12</v>
      </c>
      <c r="W16" s="54" t="n">
        <v>46478</v>
      </c>
      <c r="X16" s="46" t="inlineStr">
        <is>
          <t>IF(W16&lt;&gt;"",W16,IF(OR(T16="",V16=""),"",EDATE(T16,V16)))</t>
        </is>
      </c>
      <c r="Y16" s="54" t="n"/>
      <c r="Z16" s="55" t="n"/>
      <c r="AA16" s="52" t="inlineStr">
        <is>
          <t>Under Awarding</t>
        </is>
      </c>
      <c r="AB16" s="52" t="inlineStr">
        <is>
          <t>The saplings PO has already been issued and PO for seeds is expected to be issued in November 2026</t>
        </is>
      </c>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outlineLevel="1" ht="18" customHeight="1">
      <c r="A17" s="42" t="inlineStr">
        <is>
          <t>IF(F17="","",ROW()-3)</t>
        </is>
      </c>
      <c r="B17" s="43" t="inlineStr">
        <is>
          <t>AF2-AGF-ALL</t>
        </is>
      </c>
      <c r="C17" s="43" t="inlineStr">
        <is>
          <t>Agroforestry saplings and seeds 2026/27</t>
        </is>
      </c>
      <c r="D17" s="43" t="inlineStr">
        <is>
          <t>14 of 39</t>
        </is>
      </c>
      <c r="E17" s="44" t="inlineStr">
        <is>
          <t>AF2-AGF-N-014</t>
        </is>
      </c>
      <c r="F17" s="44" t="inlineStr">
        <is>
          <t>Agroforestry — Ghor / Allahyar</t>
        </is>
      </c>
      <c r="G17" s="44" t="inlineStr">
        <is>
          <t>Agroforestry saplings / seeds</t>
        </is>
      </c>
      <c r="H17" s="44" t="inlineStr">
        <is>
          <t>Saplings and seeds</t>
        </is>
      </c>
      <c r="I17" s="44" t="inlineStr">
        <is>
          <t>Emergency Food Security Project (EFSP) – WBK/AF-2</t>
        </is>
      </c>
      <c r="J17" s="44" t="inlineStr">
        <is>
          <t>West / Herat</t>
        </is>
      </c>
      <c r="K17" s="44" t="inlineStr">
        <is>
          <t>Ghor</t>
        </is>
      </c>
      <c r="L17" s="44" t="inlineStr">
        <is>
          <t>Allahyar</t>
        </is>
      </c>
      <c r="M17" s="44" t="inlineStr">
        <is>
          <t>Saplings: 5000; Seeds kg: 363</t>
        </is>
      </c>
      <c r="N17" s="44" t="inlineStr">
        <is>
          <t>World Bank (WBK/AF-2)</t>
        </is>
      </c>
      <c r="O17" s="44" t="inlineStr">
        <is>
          <t>Not awarded</t>
        </is>
      </c>
      <c r="P17" s="44" t="inlineStr">
        <is>
          <t>7. Agroforestry Saplings-seeds</t>
        </is>
      </c>
      <c r="Q17" s="44" t="inlineStr"/>
      <c r="R17" s="44" t="inlineStr"/>
      <c r="S17" s="45" t="n"/>
      <c r="T17" s="46" t="inlineStr">
        <is>
          <t>IF(AQ17="","",AQ17)</t>
        </is>
      </c>
      <c r="U17" s="47" t="n">
        <v>46142</v>
      </c>
      <c r="V17" s="48" t="n">
        <v>12</v>
      </c>
      <c r="W17" s="47" t="n">
        <v>46478</v>
      </c>
      <c r="X17" s="46" t="inlineStr">
        <is>
          <t>IF(W17&lt;&gt;"",W17,IF(OR(T17="",V17=""),"",EDATE(T17,V17)))</t>
        </is>
      </c>
      <c r="Y17" s="47" t="n"/>
      <c r="Z17" s="48" t="n"/>
      <c r="AA17" s="44" t="inlineStr">
        <is>
          <t>Under Awarding</t>
        </is>
      </c>
      <c r="AB17" s="44" t="inlineStr">
        <is>
          <t>The saplings PO has already been issued and PO for seeds is expected to be issued in November 2026</t>
        </is>
      </c>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outlineLevel="1" ht="18" customHeight="1">
      <c r="A18" s="42" t="inlineStr">
        <is>
          <t>IF(F18="","",ROW()-3)</t>
        </is>
      </c>
      <c r="B18" s="43" t="inlineStr">
        <is>
          <t>AF2-AGF-ALL</t>
        </is>
      </c>
      <c r="C18" s="43" t="inlineStr">
        <is>
          <t>Agroforestry saplings and seeds 2026/27</t>
        </is>
      </c>
      <c r="D18" s="43" t="inlineStr">
        <is>
          <t>15 of 39</t>
        </is>
      </c>
      <c r="E18" s="52" t="inlineStr">
        <is>
          <t>AF2-AGF-N-015</t>
        </is>
      </c>
      <c r="F18" s="52" t="inlineStr">
        <is>
          <t>Agroforestry — Ghor / Shahrak</t>
        </is>
      </c>
      <c r="G18" s="52" t="inlineStr">
        <is>
          <t>Agroforestry saplings / seeds</t>
        </is>
      </c>
      <c r="H18" s="52" t="inlineStr">
        <is>
          <t>Saplings and seeds</t>
        </is>
      </c>
      <c r="I18" s="52" t="inlineStr">
        <is>
          <t>Emergency Food Security Project (EFSP) – WBK/AF-2</t>
        </is>
      </c>
      <c r="J18" s="52" t="inlineStr">
        <is>
          <t>West / Herat</t>
        </is>
      </c>
      <c r="K18" s="52" t="inlineStr">
        <is>
          <t>Ghor</t>
        </is>
      </c>
      <c r="L18" s="52" t="inlineStr">
        <is>
          <t>Shahrak</t>
        </is>
      </c>
      <c r="M18" s="52" t="inlineStr">
        <is>
          <t>Saplings: 10000; Seeds kg: 487</t>
        </is>
      </c>
      <c r="N18" s="52" t="inlineStr">
        <is>
          <t>World Bank (WBK/AF-2)</t>
        </is>
      </c>
      <c r="O18" s="52" t="inlineStr">
        <is>
          <t>Not awarded</t>
        </is>
      </c>
      <c r="P18" s="52" t="inlineStr">
        <is>
          <t>7. Agroforestry Saplings-seeds</t>
        </is>
      </c>
      <c r="Q18" s="52" t="inlineStr"/>
      <c r="R18" s="52" t="inlineStr"/>
      <c r="S18" s="53" t="n"/>
      <c r="T18" s="46" t="inlineStr">
        <is>
          <t>IF(AQ18="","",AQ18)</t>
        </is>
      </c>
      <c r="U18" s="54" t="n">
        <v>46142</v>
      </c>
      <c r="V18" s="55" t="n">
        <v>12</v>
      </c>
      <c r="W18" s="54" t="n">
        <v>46478</v>
      </c>
      <c r="X18" s="46" t="inlineStr">
        <is>
          <t>IF(W18&lt;&gt;"",W18,IF(OR(T18="",V18=""),"",EDATE(T18,V18)))</t>
        </is>
      </c>
      <c r="Y18" s="54" t="n"/>
      <c r="Z18" s="55" t="n"/>
      <c r="AA18" s="52" t="inlineStr">
        <is>
          <t>Under Awarding</t>
        </is>
      </c>
      <c r="AB18" s="52" t="inlineStr">
        <is>
          <t>The saplings PO has already been issued and PO for seeds is expected to be issued in November 2026</t>
        </is>
      </c>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outlineLevel="1" ht="18" customHeight="1">
      <c r="A19" s="42" t="inlineStr">
        <is>
          <t>IF(F19="","",ROW()-3)</t>
        </is>
      </c>
      <c r="B19" s="43" t="inlineStr">
        <is>
          <t>AF2-AGF-ALL</t>
        </is>
      </c>
      <c r="C19" s="43" t="inlineStr">
        <is>
          <t>Agroforestry saplings and seeds 2026/27</t>
        </is>
      </c>
      <c r="D19" s="43" t="inlineStr">
        <is>
          <t>16 of 39</t>
        </is>
      </c>
      <c r="E19" s="44" t="inlineStr">
        <is>
          <t>AF2-AGF-N-016</t>
        </is>
      </c>
      <c r="F19" s="44" t="inlineStr">
        <is>
          <t>Agroforestry — Helmand / Nawzad</t>
        </is>
      </c>
      <c r="G19" s="44" t="inlineStr">
        <is>
          <t>Agroforestry saplings / seeds</t>
        </is>
      </c>
      <c r="H19" s="44" t="inlineStr">
        <is>
          <t>Saplings and seeds</t>
        </is>
      </c>
      <c r="I19" s="44" t="inlineStr">
        <is>
          <t>Emergency Food Security Project (EFSP) – WBK/AF-2</t>
        </is>
      </c>
      <c r="J19" s="44" t="inlineStr">
        <is>
          <t>South / Kandahar</t>
        </is>
      </c>
      <c r="K19" s="44" t="inlineStr">
        <is>
          <t>Helmand</t>
        </is>
      </c>
      <c r="L19" s="44" t="inlineStr">
        <is>
          <t>Nawzad</t>
        </is>
      </c>
      <c r="M19" s="44" t="inlineStr">
        <is>
          <t>Saplings: 10032; Seeds kg: 462</t>
        </is>
      </c>
      <c r="N19" s="44" t="inlineStr">
        <is>
          <t>World Bank (WBK/AF-2)</t>
        </is>
      </c>
      <c r="O19" s="44" t="inlineStr">
        <is>
          <t>Not awarded</t>
        </is>
      </c>
      <c r="P19" s="44" t="inlineStr">
        <is>
          <t>7. Agroforestry Saplings-seeds</t>
        </is>
      </c>
      <c r="Q19" s="44" t="inlineStr"/>
      <c r="R19" s="44" t="inlineStr"/>
      <c r="S19" s="45" t="n"/>
      <c r="T19" s="46" t="inlineStr">
        <is>
          <t>IF(AQ19="","",AQ19)</t>
        </is>
      </c>
      <c r="U19" s="47" t="n">
        <v>46142</v>
      </c>
      <c r="V19" s="48" t="n">
        <v>12</v>
      </c>
      <c r="W19" s="47" t="n">
        <v>46478</v>
      </c>
      <c r="X19" s="46" t="inlineStr">
        <is>
          <t>IF(W19&lt;&gt;"",W19,IF(OR(T19="",V19=""),"",EDATE(T19,V19)))</t>
        </is>
      </c>
      <c r="Y19" s="47" t="n"/>
      <c r="Z19" s="48" t="n"/>
      <c r="AA19" s="44" t="inlineStr">
        <is>
          <t>Under Awarding</t>
        </is>
      </c>
      <c r="AB19" s="44" t="inlineStr">
        <is>
          <t>The saplings PO has already been issued and PO for seeds is expected to be issued in November 2026</t>
        </is>
      </c>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outlineLevel="1" ht="18" customHeight="1">
      <c r="A20" s="42" t="inlineStr">
        <is>
          <t>IF(F20="","",ROW()-3)</t>
        </is>
      </c>
      <c r="B20" s="43" t="inlineStr">
        <is>
          <t>AF2-AGF-ALL</t>
        </is>
      </c>
      <c r="C20" s="43" t="inlineStr">
        <is>
          <t>Agroforestry saplings and seeds 2026/27</t>
        </is>
      </c>
      <c r="D20" s="43" t="inlineStr">
        <is>
          <t>17 of 39</t>
        </is>
      </c>
      <c r="E20" s="52" t="inlineStr">
        <is>
          <t>AF2-AGF-N-017</t>
        </is>
      </c>
      <c r="F20" s="52" t="inlineStr">
        <is>
          <t>Agroforestry — Herat / Koshk-e-kohna</t>
        </is>
      </c>
      <c r="G20" s="52" t="inlineStr">
        <is>
          <t>Agroforestry saplings / seeds</t>
        </is>
      </c>
      <c r="H20" s="52" t="inlineStr">
        <is>
          <t>Saplings and seeds</t>
        </is>
      </c>
      <c r="I20" s="52" t="inlineStr">
        <is>
          <t>Emergency Food Security Project (EFSP) – WBK/AF-2</t>
        </is>
      </c>
      <c r="J20" s="52" t="inlineStr">
        <is>
          <t>West / Herat</t>
        </is>
      </c>
      <c r="K20" s="52" t="inlineStr">
        <is>
          <t>Herat</t>
        </is>
      </c>
      <c r="L20" s="52" t="inlineStr">
        <is>
          <t>Koshk-e-kohna</t>
        </is>
      </c>
      <c r="M20" s="52" t="inlineStr">
        <is>
          <t>Saplings: 0; Seeds kg: 40</t>
        </is>
      </c>
      <c r="N20" s="52" t="inlineStr">
        <is>
          <t>World Bank (WBK/AF-2)</t>
        </is>
      </c>
      <c r="O20" s="52" t="inlineStr">
        <is>
          <t>Not awarded</t>
        </is>
      </c>
      <c r="P20" s="52" t="inlineStr">
        <is>
          <t>7. Agroforestry Saplings-seeds</t>
        </is>
      </c>
      <c r="Q20" s="52" t="inlineStr"/>
      <c r="R20" s="52" t="inlineStr"/>
      <c r="S20" s="53" t="n"/>
      <c r="T20" s="46" t="inlineStr">
        <is>
          <t>IF(AQ20="","",AQ20)</t>
        </is>
      </c>
      <c r="U20" s="54" t="n">
        <v>46142</v>
      </c>
      <c r="V20" s="55" t="n">
        <v>12</v>
      </c>
      <c r="W20" s="54" t="n">
        <v>46478</v>
      </c>
      <c r="X20" s="46" t="inlineStr">
        <is>
          <t>IF(W20&lt;&gt;"",W20,IF(OR(T20="",V20=""),"",EDATE(T20,V20)))</t>
        </is>
      </c>
      <c r="Y20" s="54" t="n"/>
      <c r="Z20" s="55" t="n"/>
      <c r="AA20" s="52" t="inlineStr">
        <is>
          <t>Under Awarding</t>
        </is>
      </c>
      <c r="AB20" s="52" t="inlineStr">
        <is>
          <t>The saplings PO has already been issued and PO for seeds is expected to be issued in November 2026</t>
        </is>
      </c>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outlineLevel="1" ht="18" customHeight="1">
      <c r="A21" s="42" t="inlineStr">
        <is>
          <t>IF(F21="","",ROW()-3)</t>
        </is>
      </c>
      <c r="B21" s="43" t="inlineStr">
        <is>
          <t>AF2-AGF-ALL</t>
        </is>
      </c>
      <c r="C21" s="43" t="inlineStr">
        <is>
          <t>Agroforestry saplings and seeds 2026/27</t>
        </is>
      </c>
      <c r="D21" s="43" t="inlineStr">
        <is>
          <t>18 of 39</t>
        </is>
      </c>
      <c r="E21" s="44" t="inlineStr">
        <is>
          <t>AF2-AGF-N-018</t>
        </is>
      </c>
      <c r="F21" s="44" t="inlineStr">
        <is>
          <t>Agroforestry — Herat / Rabat Sangi</t>
        </is>
      </c>
      <c r="G21" s="44" t="inlineStr">
        <is>
          <t>Agroforestry saplings / seeds</t>
        </is>
      </c>
      <c r="H21" s="44" t="inlineStr">
        <is>
          <t>Saplings and seeds</t>
        </is>
      </c>
      <c r="I21" s="44" t="inlineStr">
        <is>
          <t>Emergency Food Security Project (EFSP) – WBK/AF-2</t>
        </is>
      </c>
      <c r="J21" s="44" t="inlineStr">
        <is>
          <t>West / Herat</t>
        </is>
      </c>
      <c r="K21" s="44" t="inlineStr">
        <is>
          <t>Herat</t>
        </is>
      </c>
      <c r="L21" s="44" t="inlineStr">
        <is>
          <t>Rabat Sangi</t>
        </is>
      </c>
      <c r="M21" s="44" t="inlineStr">
        <is>
          <t>Saplings: 0; Seeds kg: 30</t>
        </is>
      </c>
      <c r="N21" s="44" t="inlineStr">
        <is>
          <t>World Bank (WBK/AF-2)</t>
        </is>
      </c>
      <c r="O21" s="44" t="inlineStr">
        <is>
          <t>Not awarded</t>
        </is>
      </c>
      <c r="P21" s="44" t="inlineStr">
        <is>
          <t>7. Agroforestry Saplings-seeds</t>
        </is>
      </c>
      <c r="Q21" s="44" t="inlineStr"/>
      <c r="R21" s="44" t="inlineStr"/>
      <c r="S21" s="45" t="n"/>
      <c r="T21" s="46" t="inlineStr">
        <is>
          <t>IF(AQ21="","",AQ21)</t>
        </is>
      </c>
      <c r="U21" s="47" t="n">
        <v>46142</v>
      </c>
      <c r="V21" s="48" t="n">
        <v>12</v>
      </c>
      <c r="W21" s="47" t="n">
        <v>46478</v>
      </c>
      <c r="X21" s="46" t="inlineStr">
        <is>
          <t>IF(W21&lt;&gt;"",W21,IF(OR(T21="",V21=""),"",EDATE(T21,V21)))</t>
        </is>
      </c>
      <c r="Y21" s="47" t="n"/>
      <c r="Z21" s="48" t="n"/>
      <c r="AA21" s="44" t="inlineStr">
        <is>
          <t>Under Awarding</t>
        </is>
      </c>
      <c r="AB21" s="44" t="inlineStr">
        <is>
          <t>The saplings PO has already been issued and PO for seeds is expected to be issued in November 2026</t>
        </is>
      </c>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outlineLevel="1" ht="18" customHeight="1">
      <c r="A22" s="42" t="inlineStr">
        <is>
          <t>IF(F22="","",ROW()-3)</t>
        </is>
      </c>
      <c r="B22" s="43" t="inlineStr">
        <is>
          <t>AF2-AGF-ALL</t>
        </is>
      </c>
      <c r="C22" s="43" t="inlineStr">
        <is>
          <t>Agroforestry saplings and seeds 2026/27</t>
        </is>
      </c>
      <c r="D22" s="43" t="inlineStr">
        <is>
          <t>19 of 39</t>
        </is>
      </c>
      <c r="E22" s="52" t="inlineStr">
        <is>
          <t>AF2-AGF-N-019</t>
        </is>
      </c>
      <c r="F22" s="52" t="inlineStr">
        <is>
          <t>Agroforestry — Jawzgan / Sheberghan</t>
        </is>
      </c>
      <c r="G22" s="52" t="inlineStr">
        <is>
          <t>Agroforestry saplings / seeds</t>
        </is>
      </c>
      <c r="H22" s="52" t="inlineStr">
        <is>
          <t>Saplings and seeds</t>
        </is>
      </c>
      <c r="I22" s="52" t="inlineStr">
        <is>
          <t>Emergency Food Security Project (EFSP) – WBK/AF-2</t>
        </is>
      </c>
      <c r="J22" s="52" t="inlineStr">
        <is>
          <t>North / Mazar</t>
        </is>
      </c>
      <c r="K22" s="52" t="inlineStr">
        <is>
          <t>Jawzgan</t>
        </is>
      </c>
      <c r="L22" s="52" t="inlineStr">
        <is>
          <t>Sheberghan</t>
        </is>
      </c>
      <c r="M22" s="52" t="inlineStr">
        <is>
          <t>Saplings: 3250; Seeds kg: 0</t>
        </is>
      </c>
      <c r="N22" s="52" t="inlineStr">
        <is>
          <t>World Bank (WBK/AF-2)</t>
        </is>
      </c>
      <c r="O22" s="52" t="inlineStr">
        <is>
          <t>Not awarded</t>
        </is>
      </c>
      <c r="P22" s="52" t="inlineStr">
        <is>
          <t>7. Agroforestry Saplings-seeds</t>
        </is>
      </c>
      <c r="Q22" s="52" t="inlineStr"/>
      <c r="R22" s="52" t="inlineStr"/>
      <c r="S22" s="53" t="n"/>
      <c r="T22" s="46" t="inlineStr">
        <is>
          <t>IF(AQ22="","",AQ22)</t>
        </is>
      </c>
      <c r="U22" s="54" t="n">
        <v>46142</v>
      </c>
      <c r="V22" s="55" t="n">
        <v>12</v>
      </c>
      <c r="W22" s="54" t="n">
        <v>46478</v>
      </c>
      <c r="X22" s="46" t="inlineStr">
        <is>
          <t>IF(W22&lt;&gt;"",W22,IF(OR(T22="",V22=""),"",EDATE(T22,V22)))</t>
        </is>
      </c>
      <c r="Y22" s="54" t="n"/>
      <c r="Z22" s="55" t="n"/>
      <c r="AA22" s="52" t="inlineStr">
        <is>
          <t>Under Awarding</t>
        </is>
      </c>
      <c r="AB22" s="52" t="inlineStr">
        <is>
          <t>The saplings PO has already been issued and PO for seeds is expected to be issued in November 2026</t>
        </is>
      </c>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outlineLevel="1" ht="18" customHeight="1">
      <c r="A23" s="42" t="inlineStr">
        <is>
          <t>IF(F23="","",ROW()-3)</t>
        </is>
      </c>
      <c r="B23" s="43" t="inlineStr">
        <is>
          <t>AF2-AGF-ALL</t>
        </is>
      </c>
      <c r="C23" s="43" t="inlineStr">
        <is>
          <t>Agroforestry saplings and seeds 2026/27</t>
        </is>
      </c>
      <c r="D23" s="43" t="inlineStr">
        <is>
          <t>20 of 39</t>
        </is>
      </c>
      <c r="E23" s="44" t="inlineStr">
        <is>
          <t>AF2-AGF-N-020</t>
        </is>
      </c>
      <c r="F23" s="44" t="inlineStr">
        <is>
          <t>Agroforestry — Kabul / Surubi</t>
        </is>
      </c>
      <c r="G23" s="44" t="inlineStr">
        <is>
          <t>Agroforestry saplings / seeds</t>
        </is>
      </c>
      <c r="H23" s="44" t="inlineStr">
        <is>
          <t>Saplings and seeds</t>
        </is>
      </c>
      <c r="I23" s="44" t="inlineStr">
        <is>
          <t>Emergency Food Security Project (EFSP) – WBK/AF-2</t>
        </is>
      </c>
      <c r="J23" s="44" t="inlineStr">
        <is>
          <t>Central / Kabul</t>
        </is>
      </c>
      <c r="K23" s="44" t="inlineStr">
        <is>
          <t>Kabul</t>
        </is>
      </c>
      <c r="L23" s="44" t="inlineStr">
        <is>
          <t>Surubi</t>
        </is>
      </c>
      <c r="M23" s="44" t="inlineStr">
        <is>
          <t>Saplings: 10000; Seeds kg: 250</t>
        </is>
      </c>
      <c r="N23" s="44" t="inlineStr">
        <is>
          <t>World Bank (WBK/AF-2)</t>
        </is>
      </c>
      <c r="O23" s="44" t="inlineStr">
        <is>
          <t>Not awarded</t>
        </is>
      </c>
      <c r="P23" s="44" t="inlineStr">
        <is>
          <t>7. Agroforestry Saplings-seeds</t>
        </is>
      </c>
      <c r="Q23" s="44" t="inlineStr"/>
      <c r="R23" s="44" t="inlineStr"/>
      <c r="S23" s="45" t="n"/>
      <c r="T23" s="46" t="inlineStr">
        <is>
          <t>IF(AQ23="","",AQ23)</t>
        </is>
      </c>
      <c r="U23" s="47" t="n">
        <v>46142</v>
      </c>
      <c r="V23" s="48" t="n">
        <v>12</v>
      </c>
      <c r="W23" s="47" t="n">
        <v>46478</v>
      </c>
      <c r="X23" s="46" t="inlineStr">
        <is>
          <t>IF(W23&lt;&gt;"",W23,IF(OR(T23="",V23=""),"",EDATE(T23,V23)))</t>
        </is>
      </c>
      <c r="Y23" s="47" t="n"/>
      <c r="Z23" s="48" t="n"/>
      <c r="AA23" s="44" t="inlineStr">
        <is>
          <t>Under Awarding</t>
        </is>
      </c>
      <c r="AB23" s="44" t="inlineStr">
        <is>
          <t>The saplings PO has already been issued and PO for seeds is expected to be issued in November 2026</t>
        </is>
      </c>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outlineLevel="1" ht="18" customHeight="1">
      <c r="A24" s="42" t="inlineStr">
        <is>
          <t>IF(F24="","",ROW()-3)</t>
        </is>
      </c>
      <c r="B24" s="43" t="inlineStr">
        <is>
          <t>AF2-AGF-ALL</t>
        </is>
      </c>
      <c r="C24" s="43" t="inlineStr">
        <is>
          <t>Agroforestry saplings and seeds 2026/27</t>
        </is>
      </c>
      <c r="D24" s="43" t="inlineStr">
        <is>
          <t>21 of 39</t>
        </is>
      </c>
      <c r="E24" s="52" t="inlineStr">
        <is>
          <t>AF2-AGF-N-021</t>
        </is>
      </c>
      <c r="F24" s="52" t="inlineStr">
        <is>
          <t>Agroforestry — Khost / Musa Khil</t>
        </is>
      </c>
      <c r="G24" s="52" t="inlineStr">
        <is>
          <t>Agroforestry saplings / seeds</t>
        </is>
      </c>
      <c r="H24" s="52" t="inlineStr">
        <is>
          <t>Saplings and seeds</t>
        </is>
      </c>
      <c r="I24" s="52" t="inlineStr">
        <is>
          <t>Emergency Food Security Project (EFSP) – WBK/AF-2</t>
        </is>
      </c>
      <c r="J24" s="52" t="inlineStr">
        <is>
          <t>Southeast / Gardez</t>
        </is>
      </c>
      <c r="K24" s="52" t="inlineStr">
        <is>
          <t>Khost</t>
        </is>
      </c>
      <c r="L24" s="52" t="inlineStr">
        <is>
          <t>Musa Khil</t>
        </is>
      </c>
      <c r="M24" s="52" t="inlineStr">
        <is>
          <t>Saplings: 7080; Seeds kg: 82</t>
        </is>
      </c>
      <c r="N24" s="52" t="inlineStr">
        <is>
          <t>World Bank (WBK/AF-2)</t>
        </is>
      </c>
      <c r="O24" s="52" t="inlineStr">
        <is>
          <t>Not awarded</t>
        </is>
      </c>
      <c r="P24" s="52" t="inlineStr">
        <is>
          <t>7. Agroforestry Saplings-seeds</t>
        </is>
      </c>
      <c r="Q24" s="52" t="inlineStr"/>
      <c r="R24" s="52" t="inlineStr"/>
      <c r="S24" s="53" t="n"/>
      <c r="T24" s="46" t="inlineStr">
        <is>
          <t>IF(AQ24="","",AQ24)</t>
        </is>
      </c>
      <c r="U24" s="54" t="n">
        <v>46142</v>
      </c>
      <c r="V24" s="55" t="n">
        <v>12</v>
      </c>
      <c r="W24" s="54" t="n">
        <v>46478</v>
      </c>
      <c r="X24" s="46" t="inlineStr">
        <is>
          <t>IF(W24&lt;&gt;"",W24,IF(OR(T24="",V24=""),"",EDATE(T24,V24)))</t>
        </is>
      </c>
      <c r="Y24" s="54" t="n"/>
      <c r="Z24" s="55" t="n"/>
      <c r="AA24" s="52" t="inlineStr">
        <is>
          <t>Under Awarding</t>
        </is>
      </c>
      <c r="AB24" s="52" t="inlineStr">
        <is>
          <t>The saplings PO has already been issued and PO for seeds is expected to be issued in November 2026</t>
        </is>
      </c>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outlineLevel="1" ht="18" customHeight="1">
      <c r="A25" s="42" t="inlineStr">
        <is>
          <t>IF(F25="","",ROW()-3)</t>
        </is>
      </c>
      <c r="B25" s="43" t="inlineStr">
        <is>
          <t>AF2-AGF-ALL</t>
        </is>
      </c>
      <c r="C25" s="43" t="inlineStr">
        <is>
          <t>Agroforestry saplings and seeds 2026/27</t>
        </is>
      </c>
      <c r="D25" s="43" t="inlineStr">
        <is>
          <t>22 of 39</t>
        </is>
      </c>
      <c r="E25" s="44" t="inlineStr">
        <is>
          <t>AF2-AGF-N-022</t>
        </is>
      </c>
      <c r="F25" s="44" t="inlineStr">
        <is>
          <t>Agroforestry — Khost / Qalander</t>
        </is>
      </c>
      <c r="G25" s="44" t="inlineStr">
        <is>
          <t>Agroforestry saplings / seeds</t>
        </is>
      </c>
      <c r="H25" s="44" t="inlineStr">
        <is>
          <t>Saplings and seeds</t>
        </is>
      </c>
      <c r="I25" s="44" t="inlineStr">
        <is>
          <t>Emergency Food Security Project (EFSP) – WBK/AF-2</t>
        </is>
      </c>
      <c r="J25" s="44" t="inlineStr">
        <is>
          <t>Southeast / Gardez</t>
        </is>
      </c>
      <c r="K25" s="44" t="inlineStr">
        <is>
          <t>Khost</t>
        </is>
      </c>
      <c r="L25" s="44" t="inlineStr">
        <is>
          <t>Qalander</t>
        </is>
      </c>
      <c r="M25" s="44" t="inlineStr">
        <is>
          <t>Saplings: 7920; Seeds kg: 44</t>
        </is>
      </c>
      <c r="N25" s="44" t="inlineStr">
        <is>
          <t>World Bank (WBK/AF-2)</t>
        </is>
      </c>
      <c r="O25" s="44" t="inlineStr">
        <is>
          <t>Not awarded</t>
        </is>
      </c>
      <c r="P25" s="44" t="inlineStr">
        <is>
          <t>7. Agroforestry Saplings-seeds</t>
        </is>
      </c>
      <c r="Q25" s="44" t="inlineStr"/>
      <c r="R25" s="44" t="inlineStr"/>
      <c r="S25" s="45" t="n"/>
      <c r="T25" s="46" t="inlineStr">
        <is>
          <t>IF(AQ25="","",AQ25)</t>
        </is>
      </c>
      <c r="U25" s="47" t="n">
        <v>46142</v>
      </c>
      <c r="V25" s="48" t="n">
        <v>12</v>
      </c>
      <c r="W25" s="47" t="n">
        <v>46478</v>
      </c>
      <c r="X25" s="46" t="inlineStr">
        <is>
          <t>IF(W25&lt;&gt;"",W25,IF(OR(T25="",V25=""),"",EDATE(T25,V25)))</t>
        </is>
      </c>
      <c r="Y25" s="47" t="n"/>
      <c r="Z25" s="48" t="n"/>
      <c r="AA25" s="44" t="inlineStr">
        <is>
          <t>Under Awarding</t>
        </is>
      </c>
      <c r="AB25" s="44" t="inlineStr">
        <is>
          <t>The saplings PO has already been issued and PO for seeds is expected to be issued in November 2026</t>
        </is>
      </c>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outlineLevel="1" ht="18" customHeight="1">
      <c r="A26" s="42" t="inlineStr">
        <is>
          <t>IF(F26="","",ROW()-3)</t>
        </is>
      </c>
      <c r="B26" s="43" t="inlineStr">
        <is>
          <t>AF2-AGF-ALL</t>
        </is>
      </c>
      <c r="C26" s="43" t="inlineStr">
        <is>
          <t>Agroforestry saplings and seeds 2026/27</t>
        </is>
      </c>
      <c r="D26" s="43" t="inlineStr">
        <is>
          <t>23 of 39</t>
        </is>
      </c>
      <c r="E26" s="52" t="inlineStr">
        <is>
          <t>AF2-AGF-N-023</t>
        </is>
      </c>
      <c r="F26" s="52" t="inlineStr">
        <is>
          <t>Agroforestry — Laghman / Alishing</t>
        </is>
      </c>
      <c r="G26" s="52" t="inlineStr">
        <is>
          <t>Agroforestry saplings / seeds</t>
        </is>
      </c>
      <c r="H26" s="52" t="inlineStr">
        <is>
          <t>Saplings and seeds</t>
        </is>
      </c>
      <c r="I26" s="52" t="inlineStr">
        <is>
          <t>Emergency Food Security Project (EFSP) – WBK/AF-2</t>
        </is>
      </c>
      <c r="J26" s="52" t="inlineStr">
        <is>
          <t>East / Jalalabad</t>
        </is>
      </c>
      <c r="K26" s="52" t="inlineStr">
        <is>
          <t>Laghman</t>
        </is>
      </c>
      <c r="L26" s="52" t="inlineStr">
        <is>
          <t>Alishing</t>
        </is>
      </c>
      <c r="M26" s="52" t="inlineStr">
        <is>
          <t>Saplings: 12056; Seeds kg: 174</t>
        </is>
      </c>
      <c r="N26" s="52" t="inlineStr">
        <is>
          <t>World Bank (WBK/AF-2)</t>
        </is>
      </c>
      <c r="O26" s="52" t="inlineStr">
        <is>
          <t>Not awarded</t>
        </is>
      </c>
      <c r="P26" s="52" t="inlineStr">
        <is>
          <t>7. Agroforestry Saplings-seeds</t>
        </is>
      </c>
      <c r="Q26" s="52" t="inlineStr"/>
      <c r="R26" s="52" t="inlineStr"/>
      <c r="S26" s="53" t="n"/>
      <c r="T26" s="46" t="inlineStr">
        <is>
          <t>IF(AQ26="","",AQ26)</t>
        </is>
      </c>
      <c r="U26" s="54" t="n">
        <v>46142</v>
      </c>
      <c r="V26" s="55" t="n">
        <v>12</v>
      </c>
      <c r="W26" s="54" t="n">
        <v>46478</v>
      </c>
      <c r="X26" s="46" t="inlineStr">
        <is>
          <t>IF(W26&lt;&gt;"",W26,IF(OR(T26="",V26=""),"",EDATE(T26,V26)))</t>
        </is>
      </c>
      <c r="Y26" s="54" t="n"/>
      <c r="Z26" s="55" t="n"/>
      <c r="AA26" s="52" t="inlineStr">
        <is>
          <t>Under Awarding</t>
        </is>
      </c>
      <c r="AB26" s="52" t="inlineStr">
        <is>
          <t>The saplings PO has already been issued and PO for seeds is expected to be issued in November 2026</t>
        </is>
      </c>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outlineLevel="1" ht="18" customHeight="1">
      <c r="A27" s="42" t="inlineStr">
        <is>
          <t>IF(F27="","",ROW()-3)</t>
        </is>
      </c>
      <c r="B27" s="43" t="inlineStr">
        <is>
          <t>AF2-AGF-ALL</t>
        </is>
      </c>
      <c r="C27" s="43" t="inlineStr">
        <is>
          <t>Agroforestry saplings and seeds 2026/27</t>
        </is>
      </c>
      <c r="D27" s="43" t="inlineStr">
        <is>
          <t>24 of 39</t>
        </is>
      </c>
      <c r="E27" s="44" t="inlineStr">
        <is>
          <t>AF2-AGF-N-024</t>
        </is>
      </c>
      <c r="F27" s="44" t="inlineStr">
        <is>
          <t>Agroforestry — Logar / Azra</t>
        </is>
      </c>
      <c r="G27" s="44" t="inlineStr">
        <is>
          <t>Agroforestry saplings / seeds</t>
        </is>
      </c>
      <c r="H27" s="44" t="inlineStr">
        <is>
          <t>Saplings and seeds</t>
        </is>
      </c>
      <c r="I27" s="44" t="inlineStr">
        <is>
          <t>Emergency Food Security Project (EFSP) – WBK/AF-2</t>
        </is>
      </c>
      <c r="J27" s="44" t="inlineStr">
        <is>
          <t>Southeast / Gardez</t>
        </is>
      </c>
      <c r="K27" s="44" t="inlineStr">
        <is>
          <t>Logar</t>
        </is>
      </c>
      <c r="L27" s="44" t="inlineStr">
        <is>
          <t>Azra</t>
        </is>
      </c>
      <c r="M27" s="44" t="inlineStr">
        <is>
          <t>Saplings: 15000; Seeds kg: 242</t>
        </is>
      </c>
      <c r="N27" s="44" t="inlineStr">
        <is>
          <t>World Bank (WBK/AF-2)</t>
        </is>
      </c>
      <c r="O27" s="44" t="inlineStr">
        <is>
          <t>Not awarded</t>
        </is>
      </c>
      <c r="P27" s="44" t="inlineStr">
        <is>
          <t>7. Agroforestry Saplings-seeds</t>
        </is>
      </c>
      <c r="Q27" s="44" t="inlineStr"/>
      <c r="R27" s="44" t="inlineStr"/>
      <c r="S27" s="45" t="n"/>
      <c r="T27" s="46" t="inlineStr">
        <is>
          <t>IF(AQ27="","",AQ27)</t>
        </is>
      </c>
      <c r="U27" s="47" t="n">
        <v>46142</v>
      </c>
      <c r="V27" s="48" t="n">
        <v>12</v>
      </c>
      <c r="W27" s="47" t="n">
        <v>46478</v>
      </c>
      <c r="X27" s="46" t="inlineStr">
        <is>
          <t>IF(W27&lt;&gt;"",W27,IF(OR(T27="",V27=""),"",EDATE(T27,V27)))</t>
        </is>
      </c>
      <c r="Y27" s="47" t="n"/>
      <c r="Z27" s="48" t="n"/>
      <c r="AA27" s="44" t="inlineStr">
        <is>
          <t>Under Awarding</t>
        </is>
      </c>
      <c r="AB27" s="44" t="inlineStr">
        <is>
          <t>The saplings PO has already been issued and PO for seeds is expected to be issued in November 2026</t>
        </is>
      </c>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outlineLevel="1" ht="18" customHeight="1">
      <c r="A28" s="42" t="inlineStr">
        <is>
          <t>IF(F28="","",ROW()-3)</t>
        </is>
      </c>
      <c r="B28" s="43" t="inlineStr">
        <is>
          <t>AF2-AGF-ALL</t>
        </is>
      </c>
      <c r="C28" s="43" t="inlineStr">
        <is>
          <t>Agroforestry saplings and seeds 2026/27</t>
        </is>
      </c>
      <c r="D28" s="43" t="inlineStr">
        <is>
          <t>25 of 39</t>
        </is>
      </c>
      <c r="E28" s="52" t="inlineStr">
        <is>
          <t>AF2-AGF-N-025</t>
        </is>
      </c>
      <c r="F28" s="52" t="inlineStr">
        <is>
          <t>Agroforestry — Nangarhar / Pachiragam</t>
        </is>
      </c>
      <c r="G28" s="52" t="inlineStr">
        <is>
          <t>Agroforestry saplings / seeds</t>
        </is>
      </c>
      <c r="H28" s="52" t="inlineStr">
        <is>
          <t>Saplings and seeds</t>
        </is>
      </c>
      <c r="I28" s="52" t="inlineStr">
        <is>
          <t>Emergency Food Security Project (EFSP) – WBK/AF-2</t>
        </is>
      </c>
      <c r="J28" s="52" t="inlineStr">
        <is>
          <t>East / Jalalabad</t>
        </is>
      </c>
      <c r="K28" s="52" t="inlineStr">
        <is>
          <t>Nangarhar</t>
        </is>
      </c>
      <c r="L28" s="52" t="inlineStr">
        <is>
          <t>Pachiragam</t>
        </is>
      </c>
      <c r="M28" s="52" t="inlineStr">
        <is>
          <t>Saplings: 11792; Seeds kg: 442</t>
        </is>
      </c>
      <c r="N28" s="52" t="inlineStr">
        <is>
          <t>World Bank (WBK/AF-2)</t>
        </is>
      </c>
      <c r="O28" s="52" t="inlineStr">
        <is>
          <t>Not awarded</t>
        </is>
      </c>
      <c r="P28" s="52" t="inlineStr">
        <is>
          <t>7. Agroforestry Saplings-seeds</t>
        </is>
      </c>
      <c r="Q28" s="52" t="inlineStr"/>
      <c r="R28" s="52" t="inlineStr"/>
      <c r="S28" s="53" t="n"/>
      <c r="T28" s="46" t="inlineStr">
        <is>
          <t>IF(AQ28="","",AQ28)</t>
        </is>
      </c>
      <c r="U28" s="54" t="n">
        <v>46142</v>
      </c>
      <c r="V28" s="55" t="n">
        <v>12</v>
      </c>
      <c r="W28" s="54" t="n">
        <v>46478</v>
      </c>
      <c r="X28" s="46" t="inlineStr">
        <is>
          <t>IF(W28&lt;&gt;"",W28,IF(OR(T28="",V28=""),"",EDATE(T28,V28)))</t>
        </is>
      </c>
      <c r="Y28" s="54" t="n"/>
      <c r="Z28" s="55" t="n"/>
      <c r="AA28" s="52" t="inlineStr">
        <is>
          <t>Under Awarding</t>
        </is>
      </c>
      <c r="AB28" s="52" t="inlineStr">
        <is>
          <t>The saplings PO has already been issued and PO for seeds is expected to be issued in November 2026</t>
        </is>
      </c>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outlineLevel="1" ht="18" customHeight="1">
      <c r="A29" s="42" t="inlineStr">
        <is>
          <t>IF(F29="","",ROW()-3)</t>
        </is>
      </c>
      <c r="B29" s="43" t="inlineStr">
        <is>
          <t>AF2-AGF-ALL</t>
        </is>
      </c>
      <c r="C29" s="43" t="inlineStr">
        <is>
          <t>Agroforestry saplings and seeds 2026/27</t>
        </is>
      </c>
      <c r="D29" s="43" t="inlineStr">
        <is>
          <t>26 of 39</t>
        </is>
      </c>
      <c r="E29" s="44" t="inlineStr">
        <is>
          <t>AF2-AGF-N-026</t>
        </is>
      </c>
      <c r="F29" s="44" t="inlineStr">
        <is>
          <t>Agroforestry — Nuristan / Kamdish</t>
        </is>
      </c>
      <c r="G29" s="44" t="inlineStr">
        <is>
          <t>Agroforestry saplings / seeds</t>
        </is>
      </c>
      <c r="H29" s="44" t="inlineStr">
        <is>
          <t>Saplings and seeds</t>
        </is>
      </c>
      <c r="I29" s="44" t="inlineStr">
        <is>
          <t>Emergency Food Security Project (EFSP) – WBK/AF-2</t>
        </is>
      </c>
      <c r="J29" s="44" t="inlineStr">
        <is>
          <t>East / Jalalabad</t>
        </is>
      </c>
      <c r="K29" s="44" t="inlineStr">
        <is>
          <t>Nuristan</t>
        </is>
      </c>
      <c r="L29" s="44" t="inlineStr">
        <is>
          <t>Kamdish</t>
        </is>
      </c>
      <c r="M29" s="44" t="inlineStr">
        <is>
          <t>Saplings: 24152; Seeds kg: 234</t>
        </is>
      </c>
      <c r="N29" s="44" t="inlineStr">
        <is>
          <t>World Bank (WBK/AF-2)</t>
        </is>
      </c>
      <c r="O29" s="44" t="inlineStr">
        <is>
          <t>Not awarded</t>
        </is>
      </c>
      <c r="P29" s="44" t="inlineStr">
        <is>
          <t>7. Agroforestry Saplings-seeds</t>
        </is>
      </c>
      <c r="Q29" s="44" t="inlineStr"/>
      <c r="R29" s="44" t="inlineStr"/>
      <c r="S29" s="45" t="n"/>
      <c r="T29" s="46" t="inlineStr">
        <is>
          <t>IF(AQ29="","",AQ29)</t>
        </is>
      </c>
      <c r="U29" s="47" t="n">
        <v>46142</v>
      </c>
      <c r="V29" s="48" t="n">
        <v>12</v>
      </c>
      <c r="W29" s="47" t="n">
        <v>46478</v>
      </c>
      <c r="X29" s="46" t="inlineStr">
        <is>
          <t>IF(W29&lt;&gt;"",W29,IF(OR(T29="",V29=""),"",EDATE(T29,V29)))</t>
        </is>
      </c>
      <c r="Y29" s="47" t="n"/>
      <c r="Z29" s="48" t="n"/>
      <c r="AA29" s="44" t="inlineStr">
        <is>
          <t>Under Awarding</t>
        </is>
      </c>
      <c r="AB29" s="44" t="inlineStr">
        <is>
          <t>The saplings PO has already been issued and PO for seeds is expected to be issued in November 2026</t>
        </is>
      </c>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outlineLevel="1" ht="18" customHeight="1">
      <c r="A30" s="42" t="inlineStr">
        <is>
          <t>IF(F30="","",ROW()-3)</t>
        </is>
      </c>
      <c r="B30" s="43" t="inlineStr">
        <is>
          <t>AF2-AGF-ALL</t>
        </is>
      </c>
      <c r="C30" s="43" t="inlineStr">
        <is>
          <t>Agroforestry saplings and seeds 2026/27</t>
        </is>
      </c>
      <c r="D30" s="43" t="inlineStr">
        <is>
          <t>27 of 39</t>
        </is>
      </c>
      <c r="E30" s="52" t="inlineStr">
        <is>
          <t>AF2-AGF-N-027</t>
        </is>
      </c>
      <c r="F30" s="52" t="inlineStr">
        <is>
          <t>Agroforestry — Oruzgan / Tarinkot</t>
        </is>
      </c>
      <c r="G30" s="52" t="inlineStr">
        <is>
          <t>Agroforestry saplings / seeds</t>
        </is>
      </c>
      <c r="H30" s="52" t="inlineStr">
        <is>
          <t>Saplings and seeds</t>
        </is>
      </c>
      <c r="I30" s="52" t="inlineStr">
        <is>
          <t>Emergency Food Security Project (EFSP) – WBK/AF-2</t>
        </is>
      </c>
      <c r="J30" s="52" t="inlineStr">
        <is>
          <t>South / Kandahar</t>
        </is>
      </c>
      <c r="K30" s="52" t="inlineStr">
        <is>
          <t>Oruzgan</t>
        </is>
      </c>
      <c r="L30" s="52" t="inlineStr">
        <is>
          <t>Tarinkot</t>
        </is>
      </c>
      <c r="M30" s="52" t="inlineStr">
        <is>
          <t>Saplings: 9968; Seeds kg: 388</t>
        </is>
      </c>
      <c r="N30" s="52" t="inlineStr">
        <is>
          <t>World Bank (WBK/AF-2)</t>
        </is>
      </c>
      <c r="O30" s="52" t="inlineStr">
        <is>
          <t>Not awarded</t>
        </is>
      </c>
      <c r="P30" s="52" t="inlineStr">
        <is>
          <t>7. Agroforestry Saplings-seeds</t>
        </is>
      </c>
      <c r="Q30" s="52" t="inlineStr"/>
      <c r="R30" s="52" t="inlineStr"/>
      <c r="S30" s="53" t="n"/>
      <c r="T30" s="46" t="inlineStr">
        <is>
          <t>IF(AQ30="","",AQ30)</t>
        </is>
      </c>
      <c r="U30" s="54" t="n">
        <v>46142</v>
      </c>
      <c r="V30" s="55" t="n">
        <v>12</v>
      </c>
      <c r="W30" s="54" t="n">
        <v>46478</v>
      </c>
      <c r="X30" s="46" t="inlineStr">
        <is>
          <t>IF(W30&lt;&gt;"",W30,IF(OR(T30="",V30=""),"",EDATE(T30,V30)))</t>
        </is>
      </c>
      <c r="Y30" s="54" t="n"/>
      <c r="Z30" s="55" t="n"/>
      <c r="AA30" s="52" t="inlineStr">
        <is>
          <t>Under Awarding</t>
        </is>
      </c>
      <c r="AB30" s="52" t="inlineStr">
        <is>
          <t>The saplings PO has already been issued and PO for seeds is expected to be issued in November 2026</t>
        </is>
      </c>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outlineLevel="1" ht="18" customHeight="1">
      <c r="A31" s="42" t="inlineStr">
        <is>
          <t>IF(F31="","",ROW()-3)</t>
        </is>
      </c>
      <c r="B31" s="43" t="inlineStr">
        <is>
          <t>AF2-AGF-ALL</t>
        </is>
      </c>
      <c r="C31" s="43" t="inlineStr">
        <is>
          <t>Agroforestry saplings and seeds 2026/27</t>
        </is>
      </c>
      <c r="D31" s="43" t="inlineStr">
        <is>
          <t>28 of 39</t>
        </is>
      </c>
      <c r="E31" s="44" t="inlineStr">
        <is>
          <t>AF2-AGF-N-028</t>
        </is>
      </c>
      <c r="F31" s="44" t="inlineStr">
        <is>
          <t>Agroforestry — Paktia / Zazi Aryoub</t>
        </is>
      </c>
      <c r="G31" s="44" t="inlineStr">
        <is>
          <t>Agroforestry saplings / seeds</t>
        </is>
      </c>
      <c r="H31" s="44" t="inlineStr">
        <is>
          <t>Saplings and seeds</t>
        </is>
      </c>
      <c r="I31" s="44" t="inlineStr">
        <is>
          <t>Emergency Food Security Project (EFSP) – WBK/AF-2</t>
        </is>
      </c>
      <c r="J31" s="44" t="inlineStr">
        <is>
          <t>Southeast / Gardez</t>
        </is>
      </c>
      <c r="K31" s="44" t="inlineStr">
        <is>
          <t>Paktia</t>
        </is>
      </c>
      <c r="L31" s="44" t="inlineStr">
        <is>
          <t>Zazi Aryoub</t>
        </is>
      </c>
      <c r="M31" s="44" t="inlineStr">
        <is>
          <t>Saplings: 9919; Seeds kg: 132</t>
        </is>
      </c>
      <c r="N31" s="44" t="inlineStr">
        <is>
          <t>World Bank (WBK/AF-2)</t>
        </is>
      </c>
      <c r="O31" s="44" t="inlineStr">
        <is>
          <t>Not awarded</t>
        </is>
      </c>
      <c r="P31" s="44" t="inlineStr">
        <is>
          <t>7. Agroforestry Saplings-seeds</t>
        </is>
      </c>
      <c r="Q31" s="44" t="inlineStr"/>
      <c r="R31" s="44" t="inlineStr"/>
      <c r="S31" s="45" t="n"/>
      <c r="T31" s="46" t="inlineStr">
        <is>
          <t>IF(AQ31="","",AQ31)</t>
        </is>
      </c>
      <c r="U31" s="47" t="n">
        <v>46142</v>
      </c>
      <c r="V31" s="48" t="n">
        <v>12</v>
      </c>
      <c r="W31" s="47" t="n">
        <v>46478</v>
      </c>
      <c r="X31" s="46" t="inlineStr">
        <is>
          <t>IF(W31&lt;&gt;"",W31,IF(OR(T31="",V31=""),"",EDATE(T31,V31)))</t>
        </is>
      </c>
      <c r="Y31" s="47" t="n"/>
      <c r="Z31" s="48" t="n"/>
      <c r="AA31" s="44" t="inlineStr">
        <is>
          <t>Under Awarding</t>
        </is>
      </c>
      <c r="AB31" s="44" t="inlineStr">
        <is>
          <t>The saplings PO has already been issued and PO for seeds is expected to be issued in November 2026</t>
        </is>
      </c>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outlineLevel="1" ht="18" customHeight="1">
      <c r="A32" s="42" t="inlineStr">
        <is>
          <t>IF(F32="","",ROW()-3)</t>
        </is>
      </c>
      <c r="B32" s="43" t="inlineStr">
        <is>
          <t>AF2-AGF-ALL</t>
        </is>
      </c>
      <c r="C32" s="43" t="inlineStr">
        <is>
          <t>Agroforestry saplings and seeds 2026/27</t>
        </is>
      </c>
      <c r="D32" s="43" t="inlineStr">
        <is>
          <t>29 of 39</t>
        </is>
      </c>
      <c r="E32" s="52" t="inlineStr">
        <is>
          <t>AF2-AGF-N-029</t>
        </is>
      </c>
      <c r="F32" s="52" t="inlineStr">
        <is>
          <t>Agroforestry — Paktia / Zurmat</t>
        </is>
      </c>
      <c r="G32" s="52" t="inlineStr">
        <is>
          <t>Agroforestry saplings / seeds</t>
        </is>
      </c>
      <c r="H32" s="52" t="inlineStr">
        <is>
          <t>Saplings and seeds</t>
        </is>
      </c>
      <c r="I32" s="52" t="inlineStr">
        <is>
          <t>Emergency Food Security Project (EFSP) – WBK/AF-2</t>
        </is>
      </c>
      <c r="J32" s="52" t="inlineStr">
        <is>
          <t>Southeast / Gardez</t>
        </is>
      </c>
      <c r="K32" s="52" t="inlineStr">
        <is>
          <t>Paktia</t>
        </is>
      </c>
      <c r="L32" s="52" t="inlineStr">
        <is>
          <t>Zurmat</t>
        </is>
      </c>
      <c r="M32" s="52" t="inlineStr">
        <is>
          <t>Saplings: 8581; Seeds kg: 66</t>
        </is>
      </c>
      <c r="N32" s="52" t="inlineStr">
        <is>
          <t>World Bank (WBK/AF-2)</t>
        </is>
      </c>
      <c r="O32" s="52" t="inlineStr">
        <is>
          <t>Not awarded</t>
        </is>
      </c>
      <c r="P32" s="52" t="inlineStr">
        <is>
          <t>7. Agroforestry Saplings-seeds</t>
        </is>
      </c>
      <c r="Q32" s="52" t="inlineStr"/>
      <c r="R32" s="52" t="inlineStr"/>
      <c r="S32" s="53" t="n"/>
      <c r="T32" s="46" t="inlineStr">
        <is>
          <t>IF(AQ32="","",AQ32)</t>
        </is>
      </c>
      <c r="U32" s="54" t="n">
        <v>46142</v>
      </c>
      <c r="V32" s="55" t="n">
        <v>12</v>
      </c>
      <c r="W32" s="54" t="n">
        <v>46478</v>
      </c>
      <c r="X32" s="46" t="inlineStr">
        <is>
          <t>IF(W32&lt;&gt;"",W32,IF(OR(T32="",V32=""),"",EDATE(T32,V32)))</t>
        </is>
      </c>
      <c r="Y32" s="54" t="n"/>
      <c r="Z32" s="55" t="n"/>
      <c r="AA32" s="52" t="inlineStr">
        <is>
          <t>Under Awarding</t>
        </is>
      </c>
      <c r="AB32" s="52" t="inlineStr">
        <is>
          <t>The saplings PO has already been issued and PO for seeds is expected to be issued in November 2026</t>
        </is>
      </c>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outlineLevel="1" ht="18" customHeight="1">
      <c r="A33" s="42" t="inlineStr">
        <is>
          <t>IF(F33="","",ROW()-3)</t>
        </is>
      </c>
      <c r="B33" s="43" t="inlineStr">
        <is>
          <t>AF2-AGF-ALL</t>
        </is>
      </c>
      <c r="C33" s="43" t="inlineStr">
        <is>
          <t>Agroforestry saplings and seeds 2026/27</t>
        </is>
      </c>
      <c r="D33" s="43" t="inlineStr">
        <is>
          <t>30 of 39</t>
        </is>
      </c>
      <c r="E33" s="44" t="inlineStr">
        <is>
          <t>AF2-AGF-N-030</t>
        </is>
      </c>
      <c r="F33" s="44" t="inlineStr">
        <is>
          <t>Agroforestry — Paktika / Surobi</t>
        </is>
      </c>
      <c r="G33" s="44" t="inlineStr">
        <is>
          <t>Agroforestry saplings / seeds</t>
        </is>
      </c>
      <c r="H33" s="44" t="inlineStr">
        <is>
          <t>Saplings and seeds</t>
        </is>
      </c>
      <c r="I33" s="44" t="inlineStr">
        <is>
          <t>Emergency Food Security Project (EFSP) – WBK/AF-2</t>
        </is>
      </c>
      <c r="J33" s="44" t="inlineStr">
        <is>
          <t>Southeast / Gardez</t>
        </is>
      </c>
      <c r="K33" s="44" t="inlineStr">
        <is>
          <t>Paktika</t>
        </is>
      </c>
      <c r="L33" s="44" t="inlineStr">
        <is>
          <t>Surobi</t>
        </is>
      </c>
      <c r="M33" s="44" t="inlineStr">
        <is>
          <t>Saplings: 3500; Seeds kg: 44</t>
        </is>
      </c>
      <c r="N33" s="44" t="inlineStr">
        <is>
          <t>World Bank (WBK/AF-2)</t>
        </is>
      </c>
      <c r="O33" s="44" t="inlineStr">
        <is>
          <t>Not awarded</t>
        </is>
      </c>
      <c r="P33" s="44" t="inlineStr">
        <is>
          <t>7. Agroforestry Saplings-seeds</t>
        </is>
      </c>
      <c r="Q33" s="44" t="inlineStr"/>
      <c r="R33" s="44" t="inlineStr"/>
      <c r="S33" s="45" t="n"/>
      <c r="T33" s="46" t="inlineStr">
        <is>
          <t>IF(AQ33="","",AQ33)</t>
        </is>
      </c>
      <c r="U33" s="47" t="n">
        <v>46142</v>
      </c>
      <c r="V33" s="48" t="n">
        <v>12</v>
      </c>
      <c r="W33" s="47" t="n">
        <v>46478</v>
      </c>
      <c r="X33" s="46" t="inlineStr">
        <is>
          <t>IF(W33&lt;&gt;"",W33,IF(OR(T33="",V33=""),"",EDATE(T33,V33)))</t>
        </is>
      </c>
      <c r="Y33" s="47" t="n"/>
      <c r="Z33" s="48" t="n"/>
      <c r="AA33" s="44" t="inlineStr">
        <is>
          <t>Under Awarding</t>
        </is>
      </c>
      <c r="AB33" s="44" t="inlineStr">
        <is>
          <t>The saplings PO has already been issued and PO for seeds is expected to be issued in November 2026</t>
        </is>
      </c>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outlineLevel="1" ht="18" customHeight="1">
      <c r="A34" s="42" t="inlineStr">
        <is>
          <t>IF(F34="","",ROW()-3)</t>
        </is>
      </c>
      <c r="B34" s="43" t="inlineStr">
        <is>
          <t>AF2-AGF-ALL</t>
        </is>
      </c>
      <c r="C34" s="43" t="inlineStr">
        <is>
          <t>Agroforestry saplings and seeds 2026/27</t>
        </is>
      </c>
      <c r="D34" s="43" t="inlineStr">
        <is>
          <t>31 of 39</t>
        </is>
      </c>
      <c r="E34" s="52" t="inlineStr">
        <is>
          <t>AF2-AGF-N-031</t>
        </is>
      </c>
      <c r="F34" s="52" t="inlineStr">
        <is>
          <t>Agroforestry — Panjsher / Khinj</t>
        </is>
      </c>
      <c r="G34" s="52" t="inlineStr">
        <is>
          <t>Agroforestry saplings / seeds</t>
        </is>
      </c>
      <c r="H34" s="52" t="inlineStr">
        <is>
          <t>Saplings and seeds</t>
        </is>
      </c>
      <c r="I34" s="52" t="inlineStr">
        <is>
          <t>Emergency Food Security Project (EFSP) – WBK/AF-2</t>
        </is>
      </c>
      <c r="J34" s="52" t="inlineStr">
        <is>
          <t>Central / Kabul</t>
        </is>
      </c>
      <c r="K34" s="52" t="inlineStr">
        <is>
          <t>Panjsher</t>
        </is>
      </c>
      <c r="L34" s="52" t="inlineStr">
        <is>
          <t>Khinj</t>
        </is>
      </c>
      <c r="M34" s="52" t="inlineStr">
        <is>
          <t>Saplings: 3000; Seeds kg: 150</t>
        </is>
      </c>
      <c r="N34" s="52" t="inlineStr">
        <is>
          <t>World Bank (WBK/AF-2)</t>
        </is>
      </c>
      <c r="O34" s="52" t="inlineStr">
        <is>
          <t>Not awarded</t>
        </is>
      </c>
      <c r="P34" s="52" t="inlineStr">
        <is>
          <t>7. Agroforestry Saplings-seeds</t>
        </is>
      </c>
      <c r="Q34" s="52" t="inlineStr"/>
      <c r="R34" s="52" t="inlineStr"/>
      <c r="S34" s="53" t="n"/>
      <c r="T34" s="46" t="inlineStr">
        <is>
          <t>IF(AQ34="","",AQ34)</t>
        </is>
      </c>
      <c r="U34" s="54" t="n">
        <v>46142</v>
      </c>
      <c r="V34" s="55" t="n">
        <v>12</v>
      </c>
      <c r="W34" s="54" t="n">
        <v>46478</v>
      </c>
      <c r="X34" s="46" t="inlineStr">
        <is>
          <t>IF(W34&lt;&gt;"",W34,IF(OR(T34="",V34=""),"",EDATE(T34,V34)))</t>
        </is>
      </c>
      <c r="Y34" s="54" t="n"/>
      <c r="Z34" s="55" t="n"/>
      <c r="AA34" s="52" t="inlineStr">
        <is>
          <t>Under Awarding</t>
        </is>
      </c>
      <c r="AB34" s="52" t="inlineStr">
        <is>
          <t>The saplings PO has already been issued and PO for seeds is expected to be issued in November 2026</t>
        </is>
      </c>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outlineLevel="1" ht="18" customHeight="1">
      <c r="A35" s="42" t="inlineStr">
        <is>
          <t>IF(F35="","",ROW()-3)</t>
        </is>
      </c>
      <c r="B35" s="43" t="inlineStr">
        <is>
          <t>AF2-AGF-ALL</t>
        </is>
      </c>
      <c r="C35" s="43" t="inlineStr">
        <is>
          <t>Agroforestry saplings and seeds 2026/27</t>
        </is>
      </c>
      <c r="D35" s="43" t="inlineStr">
        <is>
          <t>32 of 39</t>
        </is>
      </c>
      <c r="E35" s="44" t="inlineStr">
        <is>
          <t>AF2-AGF-N-032</t>
        </is>
      </c>
      <c r="F35" s="44" t="inlineStr">
        <is>
          <t>Agroforestry — Panjsher / Paryan</t>
        </is>
      </c>
      <c r="G35" s="44" t="inlineStr">
        <is>
          <t>Agroforestry saplings / seeds</t>
        </is>
      </c>
      <c r="H35" s="44" t="inlineStr">
        <is>
          <t>Saplings and seeds</t>
        </is>
      </c>
      <c r="I35" s="44" t="inlineStr">
        <is>
          <t>Emergency Food Security Project (EFSP) – WBK/AF-2</t>
        </is>
      </c>
      <c r="J35" s="44" t="inlineStr">
        <is>
          <t>Central / Kabul</t>
        </is>
      </c>
      <c r="K35" s="44" t="inlineStr">
        <is>
          <t>Panjsher</t>
        </is>
      </c>
      <c r="L35" s="44" t="inlineStr">
        <is>
          <t>Paryan</t>
        </is>
      </c>
      <c r="M35" s="44" t="inlineStr">
        <is>
          <t>Saplings: 3000; Seeds kg: 200</t>
        </is>
      </c>
      <c r="N35" s="44" t="inlineStr">
        <is>
          <t>World Bank (WBK/AF-2)</t>
        </is>
      </c>
      <c r="O35" s="44" t="inlineStr">
        <is>
          <t>Not awarded</t>
        </is>
      </c>
      <c r="P35" s="44" t="inlineStr">
        <is>
          <t>7. Agroforestry Saplings-seeds</t>
        </is>
      </c>
      <c r="Q35" s="44" t="inlineStr"/>
      <c r="R35" s="44" t="inlineStr"/>
      <c r="S35" s="45" t="n"/>
      <c r="T35" s="46" t="inlineStr">
        <is>
          <t>IF(AQ35="","",AQ35)</t>
        </is>
      </c>
      <c r="U35" s="47" t="n">
        <v>46142</v>
      </c>
      <c r="V35" s="48" t="n">
        <v>12</v>
      </c>
      <c r="W35" s="47" t="n">
        <v>46478</v>
      </c>
      <c r="X35" s="46" t="inlineStr">
        <is>
          <t>IF(W35&lt;&gt;"",W35,IF(OR(T35="",V35=""),"",EDATE(T35,V35)))</t>
        </is>
      </c>
      <c r="Y35" s="47" t="n"/>
      <c r="Z35" s="48" t="n"/>
      <c r="AA35" s="44" t="inlineStr">
        <is>
          <t>Under Awarding</t>
        </is>
      </c>
      <c r="AB35" s="44" t="inlineStr">
        <is>
          <t>The saplings PO has already been issued and PO for seeds is expected to be issued in November 2026</t>
        </is>
      </c>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outlineLevel="1" ht="18" customHeight="1">
      <c r="A36" s="42" t="inlineStr">
        <is>
          <t>IF(F36="","",ROW()-3)</t>
        </is>
      </c>
      <c r="B36" s="43" t="inlineStr">
        <is>
          <t>AF2-AGF-ALL</t>
        </is>
      </c>
      <c r="C36" s="43" t="inlineStr">
        <is>
          <t>Agroforestry saplings and seeds 2026/27</t>
        </is>
      </c>
      <c r="D36" s="43" t="inlineStr">
        <is>
          <t>33 of 39</t>
        </is>
      </c>
      <c r="E36" s="52" t="inlineStr">
        <is>
          <t>AF2-AGF-N-033</t>
        </is>
      </c>
      <c r="F36" s="52" t="inlineStr">
        <is>
          <t>Agroforestry — Panjsher / Unaba</t>
        </is>
      </c>
      <c r="G36" s="52" t="inlineStr">
        <is>
          <t>Agroforestry saplings / seeds</t>
        </is>
      </c>
      <c r="H36" s="52" t="inlineStr">
        <is>
          <t>Saplings and seeds</t>
        </is>
      </c>
      <c r="I36" s="52" t="inlineStr">
        <is>
          <t>Emergency Food Security Project (EFSP) – WBK/AF-2</t>
        </is>
      </c>
      <c r="J36" s="52" t="inlineStr">
        <is>
          <t>Central / Kabul</t>
        </is>
      </c>
      <c r="K36" s="52" t="inlineStr">
        <is>
          <t>Panjsher</t>
        </is>
      </c>
      <c r="L36" s="52" t="inlineStr">
        <is>
          <t>Unaba</t>
        </is>
      </c>
      <c r="M36" s="52" t="inlineStr">
        <is>
          <t>Saplings: 4000; Seeds kg: 250</t>
        </is>
      </c>
      <c r="N36" s="52" t="inlineStr">
        <is>
          <t>World Bank (WBK/AF-2)</t>
        </is>
      </c>
      <c r="O36" s="52" t="inlineStr">
        <is>
          <t>Not awarded</t>
        </is>
      </c>
      <c r="P36" s="52" t="inlineStr">
        <is>
          <t>7. Agroforestry Saplings-seeds</t>
        </is>
      </c>
      <c r="Q36" s="52" t="inlineStr"/>
      <c r="R36" s="52" t="inlineStr"/>
      <c r="S36" s="53" t="n"/>
      <c r="T36" s="46" t="inlineStr">
        <is>
          <t>IF(AQ36="","",AQ36)</t>
        </is>
      </c>
      <c r="U36" s="54" t="n">
        <v>46142</v>
      </c>
      <c r="V36" s="55" t="n">
        <v>12</v>
      </c>
      <c r="W36" s="54" t="n">
        <v>46478</v>
      </c>
      <c r="X36" s="46" t="inlineStr">
        <is>
          <t>IF(W36&lt;&gt;"",W36,IF(OR(T36="",V36=""),"",EDATE(T36,V36)))</t>
        </is>
      </c>
      <c r="Y36" s="54" t="n"/>
      <c r="Z36" s="55" t="n"/>
      <c r="AA36" s="52" t="inlineStr">
        <is>
          <t>Under Awarding</t>
        </is>
      </c>
      <c r="AB36" s="52" t="inlineStr">
        <is>
          <t>The saplings PO has already been issued and PO for seeds is expected to be issued in November 2026</t>
        </is>
      </c>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outlineLevel="1" ht="18" customHeight="1">
      <c r="A37" s="42" t="inlineStr">
        <is>
          <t>IF(F37="","",ROW()-3)</t>
        </is>
      </c>
      <c r="B37" s="43" t="inlineStr">
        <is>
          <t>AF2-AGF-ALL</t>
        </is>
      </c>
      <c r="C37" s="43" t="inlineStr">
        <is>
          <t>Agroforestry saplings and seeds 2026/27</t>
        </is>
      </c>
      <c r="D37" s="43" t="inlineStr">
        <is>
          <t>34 of 39</t>
        </is>
      </c>
      <c r="E37" s="44" t="inlineStr">
        <is>
          <t>AF2-AGF-N-034</t>
        </is>
      </c>
      <c r="F37" s="44" t="inlineStr">
        <is>
          <t>Agroforestry — Samangan / Aybak</t>
        </is>
      </c>
      <c r="G37" s="44" t="inlineStr">
        <is>
          <t>Agroforestry saplings / seeds</t>
        </is>
      </c>
      <c r="H37" s="44" t="inlineStr">
        <is>
          <t>Saplings and seeds</t>
        </is>
      </c>
      <c r="I37" s="44" t="inlineStr">
        <is>
          <t>Emergency Food Security Project (EFSP) – WBK/AF-2</t>
        </is>
      </c>
      <c r="J37" s="44" t="inlineStr">
        <is>
          <t>North / Mazar</t>
        </is>
      </c>
      <c r="K37" s="44" t="inlineStr">
        <is>
          <t>Samangan</t>
        </is>
      </c>
      <c r="L37" s="44" t="inlineStr">
        <is>
          <t>Aybak</t>
        </is>
      </c>
      <c r="M37" s="44" t="inlineStr">
        <is>
          <t>Saplings: 0; Seeds kg: 173</t>
        </is>
      </c>
      <c r="N37" s="44" t="inlineStr">
        <is>
          <t>World Bank (WBK/AF-2)</t>
        </is>
      </c>
      <c r="O37" s="44" t="inlineStr">
        <is>
          <t>Not awarded</t>
        </is>
      </c>
      <c r="P37" s="44" t="inlineStr">
        <is>
          <t>7. Agroforestry Saplings-seeds</t>
        </is>
      </c>
      <c r="Q37" s="44" t="inlineStr"/>
      <c r="R37" s="44" t="inlineStr"/>
      <c r="S37" s="45" t="n"/>
      <c r="T37" s="46" t="inlineStr">
        <is>
          <t>IF(AQ37="","",AQ37)</t>
        </is>
      </c>
      <c r="U37" s="47" t="n">
        <v>46142</v>
      </c>
      <c r="V37" s="48" t="n">
        <v>12</v>
      </c>
      <c r="W37" s="47" t="n">
        <v>46478</v>
      </c>
      <c r="X37" s="46" t="inlineStr">
        <is>
          <t>IF(W37&lt;&gt;"",W37,IF(OR(T37="",V37=""),"",EDATE(T37,V37)))</t>
        </is>
      </c>
      <c r="Y37" s="47" t="n"/>
      <c r="Z37" s="48" t="n"/>
      <c r="AA37" s="44" t="inlineStr">
        <is>
          <t>Under Awarding</t>
        </is>
      </c>
      <c r="AB37" s="44" t="inlineStr">
        <is>
          <t>The saplings PO has already been issued and PO for seeds is expected to be issued in November 2026</t>
        </is>
      </c>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outlineLevel="1" ht="18" customHeight="1">
      <c r="A38" s="42" t="inlineStr">
        <is>
          <t>IF(F38="","",ROW()-3)</t>
        </is>
      </c>
      <c r="B38" s="43" t="inlineStr">
        <is>
          <t>AF2-AGF-ALL</t>
        </is>
      </c>
      <c r="C38" s="43" t="inlineStr">
        <is>
          <t>Agroforestry saplings and seeds 2026/27</t>
        </is>
      </c>
      <c r="D38" s="43" t="inlineStr">
        <is>
          <t>35 of 39</t>
        </is>
      </c>
      <c r="E38" s="52" t="inlineStr">
        <is>
          <t>AF2-AGF-N-035</t>
        </is>
      </c>
      <c r="F38" s="52" t="inlineStr">
        <is>
          <t>Agroforestry — Samangan / Hazrat-e-Sultan</t>
        </is>
      </c>
      <c r="G38" s="52" t="inlineStr">
        <is>
          <t>Agroforestry saplings / seeds</t>
        </is>
      </c>
      <c r="H38" s="52" t="inlineStr">
        <is>
          <t>Saplings and seeds</t>
        </is>
      </c>
      <c r="I38" s="52" t="inlineStr">
        <is>
          <t>Emergency Food Security Project (EFSP) – WBK/AF-2</t>
        </is>
      </c>
      <c r="J38" s="52" t="inlineStr">
        <is>
          <t>North / Mazar</t>
        </is>
      </c>
      <c r="K38" s="52" t="inlineStr">
        <is>
          <t>Samangan</t>
        </is>
      </c>
      <c r="L38" s="52" t="inlineStr">
        <is>
          <t>Hazrat-e-Sultan</t>
        </is>
      </c>
      <c r="M38" s="52" t="inlineStr">
        <is>
          <t>Saplings: 1300; Seeds kg: 65</t>
        </is>
      </c>
      <c r="N38" s="52" t="inlineStr">
        <is>
          <t>World Bank (WBK/AF-2)</t>
        </is>
      </c>
      <c r="O38" s="52" t="inlineStr">
        <is>
          <t>Not awarded</t>
        </is>
      </c>
      <c r="P38" s="52" t="inlineStr">
        <is>
          <t>7. Agroforestry Saplings-seeds</t>
        </is>
      </c>
      <c r="Q38" s="52" t="inlineStr"/>
      <c r="R38" s="52" t="inlineStr"/>
      <c r="S38" s="53" t="n"/>
      <c r="T38" s="46" t="inlineStr">
        <is>
          <t>IF(AQ38="","",AQ38)</t>
        </is>
      </c>
      <c r="U38" s="54" t="n">
        <v>46142</v>
      </c>
      <c r="V38" s="55" t="n">
        <v>12</v>
      </c>
      <c r="W38" s="54" t="n">
        <v>46478</v>
      </c>
      <c r="X38" s="46" t="inlineStr">
        <is>
          <t>IF(W38&lt;&gt;"",W38,IF(OR(T38="",V38=""),"",EDATE(T38,V38)))</t>
        </is>
      </c>
      <c r="Y38" s="54" t="n"/>
      <c r="Z38" s="55" t="n"/>
      <c r="AA38" s="52" t="inlineStr">
        <is>
          <t>Under Awarding</t>
        </is>
      </c>
      <c r="AB38" s="52" t="inlineStr">
        <is>
          <t>The saplings PO has already been issued and PO for seeds is expected to be issued in November 2026</t>
        </is>
      </c>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outlineLevel="1" ht="18" customHeight="1">
      <c r="A39" s="42" t="inlineStr">
        <is>
          <t>IF(F39="","",ROW()-3)</t>
        </is>
      </c>
      <c r="B39" s="43" t="inlineStr">
        <is>
          <t>AF2-AGF-ALL</t>
        </is>
      </c>
      <c r="C39" s="43" t="inlineStr">
        <is>
          <t>Agroforestry saplings and seeds 2026/27</t>
        </is>
      </c>
      <c r="D39" s="43" t="inlineStr">
        <is>
          <t>36 of 39</t>
        </is>
      </c>
      <c r="E39" s="44" t="inlineStr">
        <is>
          <t>AF2-AGF-N-036</t>
        </is>
      </c>
      <c r="F39" s="44" t="inlineStr">
        <is>
          <t>Agroforestry — Sari Pul / Balkhab</t>
        </is>
      </c>
      <c r="G39" s="44" t="inlineStr">
        <is>
          <t>Agroforestry saplings / seeds</t>
        </is>
      </c>
      <c r="H39" s="44" t="inlineStr">
        <is>
          <t>Saplings and seeds</t>
        </is>
      </c>
      <c r="I39" s="44" t="inlineStr">
        <is>
          <t>Emergency Food Security Project (EFSP) – WBK/AF-2</t>
        </is>
      </c>
      <c r="J39" s="44" t="inlineStr">
        <is>
          <t>North / Mazar</t>
        </is>
      </c>
      <c r="K39" s="44" t="inlineStr">
        <is>
          <t>Sari Pul</t>
        </is>
      </c>
      <c r="L39" s="44" t="inlineStr">
        <is>
          <t>Balkhab</t>
        </is>
      </c>
      <c r="M39" s="44" t="inlineStr">
        <is>
          <t>Saplings: 0; Seeds kg: 30</t>
        </is>
      </c>
      <c r="N39" s="44" t="inlineStr">
        <is>
          <t>World Bank (WBK/AF-2)</t>
        </is>
      </c>
      <c r="O39" s="44" t="inlineStr">
        <is>
          <t>Not awarded</t>
        </is>
      </c>
      <c r="P39" s="44" t="inlineStr">
        <is>
          <t>7. Agroforestry Saplings-seeds</t>
        </is>
      </c>
      <c r="Q39" s="44" t="inlineStr"/>
      <c r="R39" s="44" t="inlineStr"/>
      <c r="S39" s="45" t="n"/>
      <c r="T39" s="46" t="inlineStr">
        <is>
          <t>IF(AQ39="","",AQ39)</t>
        </is>
      </c>
      <c r="U39" s="47" t="n">
        <v>46142</v>
      </c>
      <c r="V39" s="48" t="n">
        <v>12</v>
      </c>
      <c r="W39" s="47" t="n">
        <v>46478</v>
      </c>
      <c r="X39" s="46" t="inlineStr">
        <is>
          <t>IF(W39&lt;&gt;"",W39,IF(OR(T39="",V39=""),"",EDATE(T39,V39)))</t>
        </is>
      </c>
      <c r="Y39" s="47" t="n"/>
      <c r="Z39" s="48" t="n"/>
      <c r="AA39" s="44" t="inlineStr">
        <is>
          <t>Under Awarding</t>
        </is>
      </c>
      <c r="AB39" s="44" t="inlineStr">
        <is>
          <t>The saplings PO has already been issued and PO for seeds is expected to be issued in November 2026</t>
        </is>
      </c>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outlineLevel="1" ht="18" customHeight="1">
      <c r="A40" s="42" t="inlineStr">
        <is>
          <t>IF(F40="","",ROW()-3)</t>
        </is>
      </c>
      <c r="B40" s="43" t="inlineStr">
        <is>
          <t>AF2-AGF-ALL</t>
        </is>
      </c>
      <c r="C40" s="43" t="inlineStr">
        <is>
          <t>Agroforestry saplings and seeds 2026/27</t>
        </is>
      </c>
      <c r="D40" s="43" t="inlineStr">
        <is>
          <t>37 of 39</t>
        </is>
      </c>
      <c r="E40" s="52" t="inlineStr">
        <is>
          <t>AF2-AGF-N-037</t>
        </is>
      </c>
      <c r="F40" s="52" t="inlineStr">
        <is>
          <t>Agroforestry — Sari Pul / Center</t>
        </is>
      </c>
      <c r="G40" s="52" t="inlineStr">
        <is>
          <t>Agroforestry saplings / seeds</t>
        </is>
      </c>
      <c r="H40" s="52" t="inlineStr">
        <is>
          <t>Saplings and seeds</t>
        </is>
      </c>
      <c r="I40" s="52" t="inlineStr">
        <is>
          <t>Emergency Food Security Project (EFSP) – WBK/AF-2</t>
        </is>
      </c>
      <c r="J40" s="52" t="inlineStr">
        <is>
          <t>North / Mazar</t>
        </is>
      </c>
      <c r="K40" s="52" t="inlineStr">
        <is>
          <t>Sari Pul</t>
        </is>
      </c>
      <c r="L40" s="52" t="inlineStr">
        <is>
          <t>Center</t>
        </is>
      </c>
      <c r="M40" s="52" t="inlineStr">
        <is>
          <t>Saplings: 4800; Seeds kg: 259</t>
        </is>
      </c>
      <c r="N40" s="52" t="inlineStr">
        <is>
          <t>World Bank (WBK/AF-2)</t>
        </is>
      </c>
      <c r="O40" s="52" t="inlineStr">
        <is>
          <t>Not awarded</t>
        </is>
      </c>
      <c r="P40" s="52" t="inlineStr">
        <is>
          <t>7. Agroforestry Saplings-seeds</t>
        </is>
      </c>
      <c r="Q40" s="52" t="inlineStr"/>
      <c r="R40" s="52" t="inlineStr"/>
      <c r="S40" s="53" t="n"/>
      <c r="T40" s="46" t="inlineStr">
        <is>
          <t>IF(AQ40="","",AQ40)</t>
        </is>
      </c>
      <c r="U40" s="54" t="n">
        <v>46142</v>
      </c>
      <c r="V40" s="55" t="n">
        <v>12</v>
      </c>
      <c r="W40" s="54" t="n">
        <v>46478</v>
      </c>
      <c r="X40" s="46" t="inlineStr">
        <is>
          <t>IF(W40&lt;&gt;"",W40,IF(OR(T40="",V40=""),"",EDATE(T40,V40)))</t>
        </is>
      </c>
      <c r="Y40" s="54" t="n"/>
      <c r="Z40" s="55" t="n"/>
      <c r="AA40" s="52" t="inlineStr">
        <is>
          <t>Under Awarding</t>
        </is>
      </c>
      <c r="AB40" s="52" t="inlineStr">
        <is>
          <t>The saplings PO has already been issued and PO for seeds is expected to be issued in November 2026</t>
        </is>
      </c>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outlineLevel="1" ht="18" customHeight="1">
      <c r="A41" s="42" t="inlineStr">
        <is>
          <t>IF(F41="","",ROW()-3)</t>
        </is>
      </c>
      <c r="B41" s="43" t="inlineStr">
        <is>
          <t>AF2-AGF-ALL</t>
        </is>
      </c>
      <c r="C41" s="43" t="inlineStr">
        <is>
          <t>Agroforestry saplings and seeds 2026/27</t>
        </is>
      </c>
      <c r="D41" s="43" t="inlineStr">
        <is>
          <t>38 of 39</t>
        </is>
      </c>
      <c r="E41" s="44" t="inlineStr">
        <is>
          <t>AF2-AGF-N-038</t>
        </is>
      </c>
      <c r="F41" s="44" t="inlineStr">
        <is>
          <t>Agroforestry — Sari Pul / Kohistanat</t>
        </is>
      </c>
      <c r="G41" s="44" t="inlineStr">
        <is>
          <t>Agroforestry saplings / seeds</t>
        </is>
      </c>
      <c r="H41" s="44" t="inlineStr">
        <is>
          <t>Saplings and seeds</t>
        </is>
      </c>
      <c r="I41" s="44" t="inlineStr">
        <is>
          <t>Emergency Food Security Project (EFSP) – WBK/AF-2</t>
        </is>
      </c>
      <c r="J41" s="44" t="inlineStr">
        <is>
          <t>North / Mazar</t>
        </is>
      </c>
      <c r="K41" s="44" t="inlineStr">
        <is>
          <t>Sari Pul</t>
        </is>
      </c>
      <c r="L41" s="44" t="inlineStr">
        <is>
          <t>Kohistanat</t>
        </is>
      </c>
      <c r="M41" s="44" t="inlineStr">
        <is>
          <t>Saplings: 0; Seeds kg: 30</t>
        </is>
      </c>
      <c r="N41" s="44" t="inlineStr">
        <is>
          <t>World Bank (WBK/AF-2)</t>
        </is>
      </c>
      <c r="O41" s="44" t="inlineStr">
        <is>
          <t>Not awarded</t>
        </is>
      </c>
      <c r="P41" s="44" t="inlineStr">
        <is>
          <t>7. Agroforestry Saplings-seeds</t>
        </is>
      </c>
      <c r="Q41" s="44" t="inlineStr"/>
      <c r="R41" s="44" t="inlineStr"/>
      <c r="S41" s="45" t="n"/>
      <c r="T41" s="46" t="inlineStr">
        <is>
          <t>IF(AQ41="","",AQ41)</t>
        </is>
      </c>
      <c r="U41" s="47" t="n">
        <v>46142</v>
      </c>
      <c r="V41" s="48" t="n">
        <v>12</v>
      </c>
      <c r="W41" s="47" t="n">
        <v>46478</v>
      </c>
      <c r="X41" s="46" t="inlineStr">
        <is>
          <t>IF(W41&lt;&gt;"",W41,IF(OR(T41="",V41=""),"",EDATE(T41,V41)))</t>
        </is>
      </c>
      <c r="Y41" s="47" t="n"/>
      <c r="Z41" s="48" t="n"/>
      <c r="AA41" s="44" t="inlineStr">
        <is>
          <t>Under Awarding</t>
        </is>
      </c>
      <c r="AB41" s="44" t="inlineStr">
        <is>
          <t>The saplings PO has already been issued and PO for seeds is expected to be issued in November 2026</t>
        </is>
      </c>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outlineLevel="1" ht="18" customHeight="1">
      <c r="A42" s="42" t="inlineStr">
        <is>
          <t>IF(F42="","",ROW()-3)</t>
        </is>
      </c>
      <c r="B42" s="43" t="inlineStr">
        <is>
          <t>AF2-AGF-ALL</t>
        </is>
      </c>
      <c r="C42" s="43" t="inlineStr">
        <is>
          <t>Agroforestry saplings and seeds 2026/27</t>
        </is>
      </c>
      <c r="D42" s="43" t="inlineStr">
        <is>
          <t>39 of 39</t>
        </is>
      </c>
      <c r="E42" s="52" t="inlineStr">
        <is>
          <t>AF2-AGF-N-039</t>
        </is>
      </c>
      <c r="F42" s="52" t="inlineStr">
        <is>
          <t>Agroforestry — Takhar / Bangi</t>
        </is>
      </c>
      <c r="G42" s="52" t="inlineStr">
        <is>
          <t>Agroforestry saplings / seeds</t>
        </is>
      </c>
      <c r="H42" s="52" t="inlineStr">
        <is>
          <t>Saplings and seeds</t>
        </is>
      </c>
      <c r="I42" s="52" t="inlineStr">
        <is>
          <t>Emergency Food Security Project (EFSP) – WBK/AF-2</t>
        </is>
      </c>
      <c r="J42" s="52" t="inlineStr">
        <is>
          <t>Northeast / Kunduz</t>
        </is>
      </c>
      <c r="K42" s="52" t="inlineStr">
        <is>
          <t>Takhar</t>
        </is>
      </c>
      <c r="L42" s="52" t="inlineStr">
        <is>
          <t>Bangi</t>
        </is>
      </c>
      <c r="M42" s="52" t="inlineStr">
        <is>
          <t>Saplings: 8500; Seeds kg: 234</t>
        </is>
      </c>
      <c r="N42" s="52" t="inlineStr">
        <is>
          <t>World Bank (WBK/AF-2)</t>
        </is>
      </c>
      <c r="O42" s="52" t="inlineStr">
        <is>
          <t>Not awarded</t>
        </is>
      </c>
      <c r="P42" s="52" t="inlineStr">
        <is>
          <t>7. Agroforestry Saplings-seeds</t>
        </is>
      </c>
      <c r="Q42" s="52" t="inlineStr"/>
      <c r="R42" s="52" t="inlineStr"/>
      <c r="S42" s="53" t="n"/>
      <c r="T42" s="46" t="inlineStr">
        <is>
          <t>IF(AQ42="","",AQ42)</t>
        </is>
      </c>
      <c r="U42" s="54" t="n">
        <v>46142</v>
      </c>
      <c r="V42" s="55" t="n">
        <v>12</v>
      </c>
      <c r="W42" s="54" t="n">
        <v>46478</v>
      </c>
      <c r="X42" s="46" t="inlineStr">
        <is>
          <t>IF(W42&lt;&gt;"",W42,IF(OR(T42="",V42=""),"",EDATE(T42,V42)))</t>
        </is>
      </c>
      <c r="Y42" s="54" t="n"/>
      <c r="Z42" s="55" t="n"/>
      <c r="AA42" s="52" t="inlineStr">
        <is>
          <t>Under Awarding</t>
        </is>
      </c>
      <c r="AB42" s="52" t="inlineStr">
        <is>
          <t>The saplings PO has already been issued and PO for seeds is expected to be issued in November 2026</t>
        </is>
      </c>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32" t="inlineStr">
        <is>
          <t>IF(F43="","",ROW()-3)</t>
        </is>
      </c>
      <c r="B43" s="56" t="inlineStr">
        <is>
          <t>AF2-DIS-01</t>
        </is>
      </c>
      <c r="C43" s="56" t="inlineStr">
        <is>
          <t>Package #1.B-WBK/AF2 DIS: Demonstration 7 Drip irrigation schemes of 1. Doormishi, 2. Khodrawan, 3. Karez Naw, 4.Koklam Olia, 5. Koklam Sofla, 6 Joi Sultani and 7. Kushk Kohna in Kushk Rabat Sangi and Kushk e Kohna Districts of Herat Province.</t>
        </is>
      </c>
      <c r="D43" s="56" t="inlineStr">
        <is>
          <t>1 of 7</t>
        </is>
      </c>
      <c r="E43" s="57" t="inlineStr">
        <is>
          <t>AF2-DIS-N-001</t>
        </is>
      </c>
      <c r="F43" s="57" t="inlineStr">
        <is>
          <t>Doormishi Drip Irrigation Scheme</t>
        </is>
      </c>
      <c r="G43" s="57" t="inlineStr">
        <is>
          <t>Drip Irrigation</t>
        </is>
      </c>
      <c r="H43" s="57" t="inlineStr">
        <is>
          <t>Drip Irrigation Plot</t>
        </is>
      </c>
      <c r="I43" s="57" t="inlineStr">
        <is>
          <t>Emergency Food Security Project (EFSP) – WBK/AF-2</t>
        </is>
      </c>
      <c r="J43" s="57" t="inlineStr">
        <is>
          <t>West / Herat</t>
        </is>
      </c>
      <c r="K43" s="57" t="inlineStr">
        <is>
          <t>Herat</t>
        </is>
      </c>
      <c r="L43" s="57" t="inlineStr">
        <is>
          <t>Kushk e Rabat Sangi</t>
        </is>
      </c>
      <c r="M43" s="57" t="inlineStr">
        <is>
          <t>Dormishi</t>
        </is>
      </c>
      <c r="N43" s="57" t="inlineStr">
        <is>
          <t>World Bank (WBK/AF-2)</t>
        </is>
      </c>
      <c r="O43" s="57" t="inlineStr">
        <is>
          <t>Not awarded</t>
        </is>
      </c>
      <c r="P43" s="57" t="inlineStr">
        <is>
          <t>5. Drip Irrigation systems</t>
        </is>
      </c>
      <c r="Q43" s="57" t="inlineStr">
        <is>
          <t>Abdul Qayum</t>
        </is>
      </c>
      <c r="R43" s="57" t="inlineStr"/>
      <c r="S43" s="58" t="n">
        <v>6771.4</v>
      </c>
      <c r="T43" s="36" t="inlineStr">
        <is>
          <t>IF(AQ43="","",AQ43)</t>
        </is>
      </c>
      <c r="U43" s="59" t="n">
        <v>46371</v>
      </c>
      <c r="V43" s="60" t="n">
        <v>4.4</v>
      </c>
      <c r="W43" s="59" t="n">
        <v>46506</v>
      </c>
      <c r="X43" s="36" t="inlineStr">
        <is>
          <t>IF(W43&lt;&gt;"",W43,IF(OR(T43="",V43=""),"",EDATE(T43,V43)))</t>
        </is>
      </c>
      <c r="Y43" s="59" t="n"/>
      <c r="Z43" s="60" t="n"/>
      <c r="AA43" s="57" t="inlineStr">
        <is>
          <t>Retendered (Re-ITB)</t>
        </is>
      </c>
      <c r="AB43" s="57" t="inlineStr">
        <is>
          <t>Work starting from March 2026. A total of 90 days for completion Slack period until end February 2026. | Farmer: Abdul Qayum</t>
        </is>
      </c>
      <c r="AC43" s="32" t="inlineStr">
        <is>
          <t>IF(F43="","",IF(COUNT(AI43:AV43)=0,IF(AA43="","Not started",AA43),SUBSTITUTE(LOOKUP(2,1/(AI43:AV43&lt;&gt;""),$AI$3:$AV$3),"Date: ","")))</t>
        </is>
      </c>
      <c r="AD43" s="39" t="inlineStr">
        <is>
          <t>IF(OR(F43="",COUNT(AI43:AV43)=0),"",TODAY()-LOOKUP(2,1/(AI43:AV43&lt;&gt;""),AI43:AV43))</t>
        </is>
      </c>
      <c r="AE43" s="39" t="inlineStr">
        <is>
          <t>IF(OR(F43="",COUNT(AI43:AV43)&lt;2),"",LOOKUP(2,1/(AI43:AV43&lt;&gt;""),AI43:AV43)-MIN(AI43:AV43))</t>
        </is>
      </c>
      <c r="AF43" s="39" t="inlineStr">
        <is>
          <t>IF(OR(AD43="",AC43="Not started",AC43=""),"",IFERROR(AD43-IF(VLOOKUP(AC43,'06_Status_Pipeline'!$B$3:$E$20,4,FALSE)="",0,VLOOKUP(AC43,'06_Status_Pipeline'!$B$3:$E$20,4,FALSE)),""))</t>
        </is>
      </c>
      <c r="AG43" s="3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39" t="inlineStr">
        <is>
          <t>IF(OR(F43="",AC43="Completed / Handover",AC43="Cancelled"),"",IF(O43="Not awarded",IF(U43&lt;&gt;"",U43-TODAY(),IF(X43="","",X43-TODAY())),IF(X43="","",X43-TODAY())))</t>
        </is>
      </c>
      <c r="AI43" s="59" t="n"/>
      <c r="AJ43" s="59" t="n"/>
      <c r="AK43" s="59" t="n"/>
      <c r="AL43" s="59" t="n"/>
      <c r="AM43" s="59" t="n"/>
      <c r="AN43" s="59" t="n"/>
      <c r="AO43" s="59" t="n"/>
      <c r="AP43" s="59" t="n"/>
      <c r="AQ43" s="59" t="n"/>
      <c r="AR43" s="59" t="n"/>
      <c r="AS43" s="59" t="n"/>
      <c r="AT43" s="40" t="n"/>
      <c r="AU43" s="40" t="n"/>
      <c r="AV43" s="40" t="n"/>
      <c r="AW43" s="39" t="inlineStr">
        <is>
          <t>IF(OR(F43="",AJ43=""),"",IF(COUNT(AI43:AI43)=0,"",AJ43-LOOKUP(2,1/(AI43:AI43&lt;&gt;""),AI43:AI43)))</t>
        </is>
      </c>
      <c r="AX43" s="39" t="inlineStr">
        <is>
          <t>IF(OR(F43="",AK43=""),"",IF(COUNT(AI43:AJ43)=0,"",AK43-LOOKUP(2,1/(AI43:AJ43&lt;&gt;""),AI43:AJ43)))</t>
        </is>
      </c>
      <c r="AY43" s="39" t="inlineStr">
        <is>
          <t>IF(OR(F43="",AL43=""),"",IF(COUNT(AI43:AK43)=0,"",AL43-LOOKUP(2,1/(AI43:AK43&lt;&gt;""),AI43:AK43)))</t>
        </is>
      </c>
      <c r="AZ43" s="39" t="inlineStr">
        <is>
          <t>IF(OR(F43="",AM43=""),"",IF(COUNT(AI43:AL43)=0,"",AM43-LOOKUP(2,1/(AI43:AL43&lt;&gt;""),AI43:AL43)))</t>
        </is>
      </c>
      <c r="BA43" s="39" t="inlineStr">
        <is>
          <t>IF(OR(F43="",AN43=""),"",IF(COUNT(AI43:AM43)=0,"",AN43-LOOKUP(2,1/(AI43:AM43&lt;&gt;""),AI43:AM43)))</t>
        </is>
      </c>
      <c r="BB43" s="39" t="inlineStr">
        <is>
          <t>IF(OR(F43="",AO43=""),"",IF(COUNT(AI43:AN43)=0,"",AO43-LOOKUP(2,1/(AI43:AN43&lt;&gt;""),AI43:AN43)))</t>
        </is>
      </c>
      <c r="BC43" s="39" t="inlineStr">
        <is>
          <t>IF(OR(F43="",AP43=""),"",IF(COUNT(AI43:AO43)=0,"",AP43-LOOKUP(2,1/(AI43:AO43&lt;&gt;""),AI43:AO43)))</t>
        </is>
      </c>
      <c r="BD43" s="39" t="inlineStr">
        <is>
          <t>IF(OR(F43="",AQ43=""),"",IF(COUNT(AI43:AP43)=0,"",AQ43-LOOKUP(2,1/(AI43:AP43&lt;&gt;""),AI43:AP43)))</t>
        </is>
      </c>
      <c r="BE43" s="39" t="inlineStr">
        <is>
          <t>IF(OR(F43="",AR43=""),"",IF(COUNT(AI43:AQ43)=0,"",AR43-LOOKUP(2,1/(AI43:AQ43&lt;&gt;""),AI43:AQ43)))</t>
        </is>
      </c>
      <c r="BF43" s="39" t="inlineStr">
        <is>
          <t>IF(OR(F43="",AS43=""),"",IF(COUNT(AI43:AR43)=0,"",AS43-LOOKUP(2,1/(AI43:AR43&lt;&gt;""),AI43:AR43)))</t>
        </is>
      </c>
      <c r="BG43" s="39" t="inlineStr">
        <is>
          <t>IF(OR(F43="",AT43=""),"",IF(COUNT(AI43:AS43)=0,"",AT43-LOOKUP(2,1/(AI43:AS43&lt;&gt;""),AI43:AS43)))</t>
        </is>
      </c>
      <c r="BH43" s="39" t="inlineStr">
        <is>
          <t>IF(OR(F43="",AU43=""),"",IF(COUNT(AI43:AT43)=0,"",AU43-LOOKUP(2,1/(AI43:AT43&lt;&gt;""),AI43:AT43)))</t>
        </is>
      </c>
      <c r="BI43" s="39" t="inlineStr">
        <is>
          <t>IF(OR(F43="",AV43=""),"",IF(COUNT(AI43:AU43)=0,"",AV43-LOOKUP(2,1/(AI43:AU43&lt;&gt;""),AI43:AU43)))</t>
        </is>
      </c>
      <c r="BJ43" s="41" t="inlineStr">
        <is>
          <t>IF(J43="","All_Provinces",IFERROR(VLOOKUP(J43,'09_Lookups'!$A$4:$B$20,2,FALSE),"All_Provinces"))</t>
        </is>
      </c>
      <c r="BK43" s="41" t="inlineStr">
        <is>
          <t>IF(K43="","All_Districts",IFERROR(VLOOKUP(K43,'09_Lookups'!$E$4:$F$42,2,FALSE),"All_Districts"))</t>
        </is>
      </c>
    </row>
    <row r="44" outlineLevel="1" ht="18" customHeight="1">
      <c r="A44" s="42" t="inlineStr">
        <is>
          <t>IF(F44="","",ROW()-3)</t>
        </is>
      </c>
      <c r="B44" s="61" t="inlineStr">
        <is>
          <t>AF2-DIS-01</t>
        </is>
      </c>
      <c r="C44" s="61" t="inlineStr">
        <is>
          <t>Package #1.B-WBK/AF2 DIS: Demonstration 7 Drip irrigation schemes of 1. Doormishi, 2. Khodrawan, 3. Karez Naw, 4.Koklam Olia, 5. Koklam Sofla, 6 Joi Sultani and 7. Kushk Kohna in Kushk Rabat Sangi and Kushk e Kohna Districts of Herat Province.</t>
        </is>
      </c>
      <c r="D44" s="61" t="inlineStr">
        <is>
          <t>2 of 7</t>
        </is>
      </c>
      <c r="E44" s="52" t="inlineStr">
        <is>
          <t>AF2-DIS-N-002</t>
        </is>
      </c>
      <c r="F44" s="52" t="inlineStr">
        <is>
          <t>Joi Sultani Drip Irrigation schemes</t>
        </is>
      </c>
      <c r="G44" s="52" t="inlineStr">
        <is>
          <t>Drip Irrigation</t>
        </is>
      </c>
      <c r="H44" s="52" t="inlineStr">
        <is>
          <t>Drip Irrigation Plot</t>
        </is>
      </c>
      <c r="I44" s="52" t="inlineStr">
        <is>
          <t>Emergency Food Security Project (EFSP) – WBK/AF-2</t>
        </is>
      </c>
      <c r="J44" s="52" t="inlineStr">
        <is>
          <t>West / Herat</t>
        </is>
      </c>
      <c r="K44" s="52" t="inlineStr">
        <is>
          <t>Herat</t>
        </is>
      </c>
      <c r="L44" s="52" t="inlineStr">
        <is>
          <t>Kushk e Kohna</t>
        </is>
      </c>
      <c r="M44" s="52" t="inlineStr">
        <is>
          <t>Joy sultany</t>
        </is>
      </c>
      <c r="N44" s="52" t="inlineStr">
        <is>
          <t>World Bank (WBK/AF-2)</t>
        </is>
      </c>
      <c r="O44" s="52" t="inlineStr">
        <is>
          <t>Not awarded</t>
        </is>
      </c>
      <c r="P44" s="52" t="inlineStr">
        <is>
          <t>5. Drip Irrigation systems</t>
        </is>
      </c>
      <c r="Q44" s="52" t="inlineStr">
        <is>
          <t>Habiburahman</t>
        </is>
      </c>
      <c r="R44" s="52" t="inlineStr"/>
      <c r="S44" s="53" t="n">
        <v>6417.22</v>
      </c>
      <c r="T44" s="46" t="inlineStr">
        <is>
          <t>IF(AQ44="","",AQ44)</t>
        </is>
      </c>
      <c r="U44" s="54" t="n">
        <v>46371</v>
      </c>
      <c r="V44" s="55" t="n">
        <v>4.4</v>
      </c>
      <c r="W44" s="54" t="n">
        <v>46506</v>
      </c>
      <c r="X44" s="46" t="inlineStr">
        <is>
          <t>IF(W44&lt;&gt;"",W44,IF(OR(T44="",V44=""),"",EDATE(T44,V44)))</t>
        </is>
      </c>
      <c r="Y44" s="54" t="n"/>
      <c r="Z44" s="55" t="n"/>
      <c r="AA44" s="52" t="inlineStr">
        <is>
          <t>Retendered (Re-ITB)</t>
        </is>
      </c>
      <c r="AB44" s="52" t="inlineStr">
        <is>
          <t>Work starting from March 2026. A total of 90 days for completion Slack period until end February 2026. | Farmer: Habiburahman</t>
        </is>
      </c>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outlineLevel="1" ht="18" customHeight="1">
      <c r="A45" s="42" t="inlineStr">
        <is>
          <t>IF(F45="","",ROW()-3)</t>
        </is>
      </c>
      <c r="B45" s="61" t="inlineStr">
        <is>
          <t>AF2-DIS-01</t>
        </is>
      </c>
      <c r="C45" s="61" t="inlineStr">
        <is>
          <t>Package #1.B-WBK/AF2 DIS: Demonstration 7 Drip irrigation schemes of 1. Doormishi, 2. Khodrawan, 3. Karez Naw, 4.Koklam Olia, 5. Koklam Sofla, 6 Joi Sultani and 7. Kushk Kohna in Kushk Rabat Sangi and Kushk e Kohna Districts of Herat Province.</t>
        </is>
      </c>
      <c r="D45" s="61" t="inlineStr">
        <is>
          <t>3 of 7</t>
        </is>
      </c>
      <c r="E45" s="44" t="inlineStr">
        <is>
          <t>AF2-DIS-N-003</t>
        </is>
      </c>
      <c r="F45" s="44" t="inlineStr">
        <is>
          <t>Karez Naw Drip Irrigation schemes</t>
        </is>
      </c>
      <c r="G45" s="44" t="inlineStr">
        <is>
          <t>Drip Irrigation</t>
        </is>
      </c>
      <c r="H45" s="44" t="inlineStr">
        <is>
          <t>Drip Irrigation Plot</t>
        </is>
      </c>
      <c r="I45" s="44" t="inlineStr">
        <is>
          <t>Emergency Food Security Project (EFSP) – WBK/AF-2</t>
        </is>
      </c>
      <c r="J45" s="44" t="inlineStr">
        <is>
          <t>West / Herat</t>
        </is>
      </c>
      <c r="K45" s="44" t="inlineStr">
        <is>
          <t>Herat</t>
        </is>
      </c>
      <c r="L45" s="44" t="inlineStr">
        <is>
          <t>Kushk e Rabat Sangi</t>
        </is>
      </c>
      <c r="M45" s="44" t="inlineStr">
        <is>
          <t>Karez Naw</t>
        </is>
      </c>
      <c r="N45" s="44" t="inlineStr">
        <is>
          <t>World Bank (WBK/AF-2)</t>
        </is>
      </c>
      <c r="O45" s="44" t="inlineStr">
        <is>
          <t>Not awarded</t>
        </is>
      </c>
      <c r="P45" s="44" t="inlineStr">
        <is>
          <t>5. Drip Irrigation systems</t>
        </is>
      </c>
      <c r="Q45" s="44" t="inlineStr">
        <is>
          <t>Ghulam Mahboob</t>
        </is>
      </c>
      <c r="R45" s="44" t="inlineStr"/>
      <c r="S45" s="45" t="n">
        <v>8066.29</v>
      </c>
      <c r="T45" s="46" t="inlineStr">
        <is>
          <t>IF(AQ45="","",AQ45)</t>
        </is>
      </c>
      <c r="U45" s="47" t="n">
        <v>46371</v>
      </c>
      <c r="V45" s="48" t="n">
        <v>4.4</v>
      </c>
      <c r="W45" s="47" t="n">
        <v>46506</v>
      </c>
      <c r="X45" s="46" t="inlineStr">
        <is>
          <t>IF(W45&lt;&gt;"",W45,IF(OR(T45="",V45=""),"",EDATE(T45,V45)))</t>
        </is>
      </c>
      <c r="Y45" s="47" t="n"/>
      <c r="Z45" s="48" t="n"/>
      <c r="AA45" s="44" t="inlineStr">
        <is>
          <t>Retendered (Re-ITB)</t>
        </is>
      </c>
      <c r="AB45" s="44" t="inlineStr">
        <is>
          <t>Work starting from March 2026. A total of 90 days for completion Slack period until end February 2026. | Farmer: Ghulam Mahboob</t>
        </is>
      </c>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outlineLevel="1" ht="18" customHeight="1">
      <c r="A46" s="42" t="inlineStr">
        <is>
          <t>IF(F46="","",ROW()-3)</t>
        </is>
      </c>
      <c r="B46" s="61" t="inlineStr">
        <is>
          <t>AF2-DIS-01</t>
        </is>
      </c>
      <c r="C46" s="61" t="inlineStr">
        <is>
          <t>Package #1.B-WBK/AF2 DIS: Demonstration 7 Drip irrigation schemes of 1. Doormishi, 2. Khodrawan, 3. Karez Naw, 4.Koklam Olia, 5. Koklam Sofla, 6 Joi Sultani and 7. Kushk Kohna in Kushk Rabat Sangi and Kushk e Kohna Districts of Herat Province.</t>
        </is>
      </c>
      <c r="D46" s="61" t="inlineStr">
        <is>
          <t>4 of 7</t>
        </is>
      </c>
      <c r="E46" s="52" t="inlineStr">
        <is>
          <t>AF2-DIS-N-004</t>
        </is>
      </c>
      <c r="F46" s="52" t="inlineStr">
        <is>
          <t>Khodrawan Drip Irrigation schemes</t>
        </is>
      </c>
      <c r="G46" s="52" t="inlineStr">
        <is>
          <t>Drip Irrigation</t>
        </is>
      </c>
      <c r="H46" s="52" t="inlineStr">
        <is>
          <t>Drip Irrigation Plot</t>
        </is>
      </c>
      <c r="I46" s="52" t="inlineStr">
        <is>
          <t>Emergency Food Security Project (EFSP) – WBK/AF-2</t>
        </is>
      </c>
      <c r="J46" s="52" t="inlineStr">
        <is>
          <t>West / Herat</t>
        </is>
      </c>
      <c r="K46" s="52" t="inlineStr">
        <is>
          <t>Herat</t>
        </is>
      </c>
      <c r="L46" s="52" t="inlineStr">
        <is>
          <t>Kushk e Rabat Sangi</t>
        </is>
      </c>
      <c r="M46" s="52" t="inlineStr">
        <is>
          <t>Khodrawan</t>
        </is>
      </c>
      <c r="N46" s="52" t="inlineStr">
        <is>
          <t>World Bank (WBK/AF-2)</t>
        </is>
      </c>
      <c r="O46" s="52" t="inlineStr">
        <is>
          <t>Not awarded</t>
        </is>
      </c>
      <c r="P46" s="52" t="inlineStr">
        <is>
          <t>5. Drip Irrigation systems</t>
        </is>
      </c>
      <c r="Q46" s="52" t="inlineStr">
        <is>
          <t>Sadullah</t>
        </is>
      </c>
      <c r="R46" s="52" t="inlineStr"/>
      <c r="S46" s="53" t="n">
        <v>8259.969999999999</v>
      </c>
      <c r="T46" s="46" t="inlineStr">
        <is>
          <t>IF(AQ46="","",AQ46)</t>
        </is>
      </c>
      <c r="U46" s="54" t="n">
        <v>46371</v>
      </c>
      <c r="V46" s="55" t="n">
        <v>4.4</v>
      </c>
      <c r="W46" s="54" t="n">
        <v>46506</v>
      </c>
      <c r="X46" s="46" t="inlineStr">
        <is>
          <t>IF(W46&lt;&gt;"",W46,IF(OR(T46="",V46=""),"",EDATE(T46,V46)))</t>
        </is>
      </c>
      <c r="Y46" s="54" t="n"/>
      <c r="Z46" s="55" t="n"/>
      <c r="AA46" s="52" t="inlineStr">
        <is>
          <t>Retendered (Re-ITB)</t>
        </is>
      </c>
      <c r="AB46" s="52" t="inlineStr">
        <is>
          <t>Work starting from March 2026. A total of 90 days for completion Slack period until end February 2026. | Farmer: Sadullah</t>
        </is>
      </c>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outlineLevel="1" ht="18" customHeight="1">
      <c r="A47" s="42" t="inlineStr">
        <is>
          <t>IF(F47="","",ROW()-3)</t>
        </is>
      </c>
      <c r="B47" s="61" t="inlineStr">
        <is>
          <t>AF2-DIS-01</t>
        </is>
      </c>
      <c r="C47" s="61" t="inlineStr">
        <is>
          <t>Package #1.B-WBK/AF2 DIS: Demonstration 7 Drip irrigation schemes of 1. Doormishi, 2. Khodrawan, 3. Karez Naw, 4.Koklam Olia, 5. Koklam Sofla, 6 Joi Sultani and 7. Kushk Kohna in Kushk Rabat Sangi and Kushk e Kohna Districts of Herat Province.</t>
        </is>
      </c>
      <c r="D47" s="61" t="inlineStr">
        <is>
          <t>5 of 7</t>
        </is>
      </c>
      <c r="E47" s="44" t="inlineStr">
        <is>
          <t>AF2-DIS-N-005</t>
        </is>
      </c>
      <c r="F47" s="44" t="inlineStr">
        <is>
          <t>Koklam Olia Drip Irrigation schemes</t>
        </is>
      </c>
      <c r="G47" s="44" t="inlineStr">
        <is>
          <t>Drip Irrigation</t>
        </is>
      </c>
      <c r="H47" s="44" t="inlineStr">
        <is>
          <t>Drip Irrigation Plot</t>
        </is>
      </c>
      <c r="I47" s="44" t="inlineStr">
        <is>
          <t>Emergency Food Security Project (EFSP) – WBK/AF-2</t>
        </is>
      </c>
      <c r="J47" s="44" t="inlineStr">
        <is>
          <t>West / Herat</t>
        </is>
      </c>
      <c r="K47" s="44" t="inlineStr">
        <is>
          <t>Herat</t>
        </is>
      </c>
      <c r="L47" s="44" t="inlineStr">
        <is>
          <t>Kushk e Kohna</t>
        </is>
      </c>
      <c r="M47" s="44" t="inlineStr">
        <is>
          <t>Koklam Olia</t>
        </is>
      </c>
      <c r="N47" s="44" t="inlineStr">
        <is>
          <t>World Bank (WBK/AF-2)</t>
        </is>
      </c>
      <c r="O47" s="44" t="inlineStr">
        <is>
          <t>Not awarded</t>
        </is>
      </c>
      <c r="P47" s="44" t="inlineStr">
        <is>
          <t>5. Drip Irrigation systems</t>
        </is>
      </c>
      <c r="Q47" s="44" t="inlineStr">
        <is>
          <t>Fazl Ahmad</t>
        </is>
      </c>
      <c r="R47" s="44" t="inlineStr"/>
      <c r="S47" s="45" t="n">
        <v>9545.190000000001</v>
      </c>
      <c r="T47" s="46" t="inlineStr">
        <is>
          <t>IF(AQ47="","",AQ47)</t>
        </is>
      </c>
      <c r="U47" s="47" t="n">
        <v>46371</v>
      </c>
      <c r="V47" s="48" t="n">
        <v>4.4</v>
      </c>
      <c r="W47" s="47" t="n">
        <v>46506</v>
      </c>
      <c r="X47" s="46" t="inlineStr">
        <is>
          <t>IF(W47&lt;&gt;"",W47,IF(OR(T47="",V47=""),"",EDATE(T47,V47)))</t>
        </is>
      </c>
      <c r="Y47" s="47" t="n"/>
      <c r="Z47" s="48" t="n"/>
      <c r="AA47" s="44" t="inlineStr">
        <is>
          <t>Retendered (Re-ITB)</t>
        </is>
      </c>
      <c r="AB47" s="44" t="inlineStr">
        <is>
          <t>Work starting from March 2026. A total of 90 days for completion Slack period until end February 2026. | Farmer: Fazl Ahmad</t>
        </is>
      </c>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outlineLevel="1" ht="18" customHeight="1">
      <c r="A48" s="42" t="inlineStr">
        <is>
          <t>IF(F48="","",ROW()-3)</t>
        </is>
      </c>
      <c r="B48" s="61" t="inlineStr">
        <is>
          <t>AF2-DIS-01</t>
        </is>
      </c>
      <c r="C48" s="61" t="inlineStr">
        <is>
          <t>Package #1.B-WBK/AF2 DIS: Demonstration 7 Drip irrigation schemes of 1. Doormishi, 2. Khodrawan, 3. Karez Naw, 4.Koklam Olia, 5. Koklam Sofla, 6 Joi Sultani and 7. Kushk Kohna in Kushk Rabat Sangi and Kushk e Kohna Districts of Herat Province.</t>
        </is>
      </c>
      <c r="D48" s="61" t="inlineStr">
        <is>
          <t>6 of 7</t>
        </is>
      </c>
      <c r="E48" s="52" t="inlineStr">
        <is>
          <t>AF2-DIS-N-006</t>
        </is>
      </c>
      <c r="F48" s="52" t="inlineStr">
        <is>
          <t>Koklam Sofla Drip Irrigation schemes</t>
        </is>
      </c>
      <c r="G48" s="52" t="inlineStr">
        <is>
          <t>Drip Irrigation</t>
        </is>
      </c>
      <c r="H48" s="52" t="inlineStr">
        <is>
          <t>Drip Irrigation Plot</t>
        </is>
      </c>
      <c r="I48" s="52" t="inlineStr">
        <is>
          <t>Emergency Food Security Project (EFSP) – WBK/AF-2</t>
        </is>
      </c>
      <c r="J48" s="52" t="inlineStr">
        <is>
          <t>West / Herat</t>
        </is>
      </c>
      <c r="K48" s="52" t="inlineStr">
        <is>
          <t>Herat</t>
        </is>
      </c>
      <c r="L48" s="52" t="inlineStr">
        <is>
          <t>Kushk e Kohna</t>
        </is>
      </c>
      <c r="M48" s="52" t="inlineStr">
        <is>
          <t>Koklam Sofla</t>
        </is>
      </c>
      <c r="N48" s="52" t="inlineStr">
        <is>
          <t>World Bank (WBK/AF-2)</t>
        </is>
      </c>
      <c r="O48" s="52" t="inlineStr">
        <is>
          <t>Not awarded</t>
        </is>
      </c>
      <c r="P48" s="52" t="inlineStr">
        <is>
          <t>5. Drip Irrigation systems</t>
        </is>
      </c>
      <c r="Q48" s="52" t="inlineStr">
        <is>
          <t>Nesar Ahmad, Koklam</t>
        </is>
      </c>
      <c r="R48" s="52" t="inlineStr"/>
      <c r="S48" s="53" t="n">
        <v>7974.31</v>
      </c>
      <c r="T48" s="46" t="inlineStr">
        <is>
          <t>IF(AQ48="","",AQ48)</t>
        </is>
      </c>
      <c r="U48" s="54" t="n">
        <v>46371</v>
      </c>
      <c r="V48" s="55" t="n">
        <v>4.4</v>
      </c>
      <c r="W48" s="54" t="n">
        <v>46506</v>
      </c>
      <c r="X48" s="46" t="inlineStr">
        <is>
          <t>IF(W48&lt;&gt;"",W48,IF(OR(T48="",V48=""),"",EDATE(T48,V48)))</t>
        </is>
      </c>
      <c r="Y48" s="54" t="n"/>
      <c r="Z48" s="55" t="n"/>
      <c r="AA48" s="52" t="inlineStr">
        <is>
          <t>Retendered (Re-ITB)</t>
        </is>
      </c>
      <c r="AB48" s="52" t="inlineStr">
        <is>
          <t>Work starting from March 2026. A total of 90 days for completion Slack period until end February 2026. | Farmer: Nesar Ahmad, Koklam</t>
        </is>
      </c>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outlineLevel="1" ht="18" customHeight="1">
      <c r="A49" s="42" t="inlineStr">
        <is>
          <t>IF(F49="","",ROW()-3)</t>
        </is>
      </c>
      <c r="B49" s="61" t="inlineStr">
        <is>
          <t>AF2-DIS-01</t>
        </is>
      </c>
      <c r="C49" s="61" t="inlineStr">
        <is>
          <t>Package #1.B-WBK/AF2 DIS: Demonstration 7 Drip irrigation schemes of 1. Doormishi, 2. Khodrawan, 3. Karez Naw, 4.Koklam Olia, 5. Koklam Sofla, 6 Joi Sultani and 7. Kushk Kohna in Kushk Rabat Sangi and Kushk e Kohna Districts of Herat Province.</t>
        </is>
      </c>
      <c r="D49" s="61" t="inlineStr">
        <is>
          <t>7 of 7</t>
        </is>
      </c>
      <c r="E49" s="44" t="inlineStr">
        <is>
          <t>AF2-DIS-N-007</t>
        </is>
      </c>
      <c r="F49" s="44" t="inlineStr">
        <is>
          <t>Kushk Kohna Drip Irrigation schemes</t>
        </is>
      </c>
      <c r="G49" s="44" t="inlineStr">
        <is>
          <t>Drip Irrigation</t>
        </is>
      </c>
      <c r="H49" s="44" t="inlineStr">
        <is>
          <t>Drip Irrigation Plot</t>
        </is>
      </c>
      <c r="I49" s="44" t="inlineStr">
        <is>
          <t>Emergency Food Security Project (EFSP) – WBK/AF-2</t>
        </is>
      </c>
      <c r="J49" s="44" t="inlineStr">
        <is>
          <t>West / Herat</t>
        </is>
      </c>
      <c r="K49" s="44" t="inlineStr">
        <is>
          <t>Herat</t>
        </is>
      </c>
      <c r="L49" s="44" t="inlineStr">
        <is>
          <t>Kushk e Kohna</t>
        </is>
      </c>
      <c r="M49" s="44" t="inlineStr">
        <is>
          <t>Kushk Kohna</t>
        </is>
      </c>
      <c r="N49" s="44" t="inlineStr">
        <is>
          <t>World Bank (WBK/AF-2)</t>
        </is>
      </c>
      <c r="O49" s="44" t="inlineStr">
        <is>
          <t>Not awarded</t>
        </is>
      </c>
      <c r="P49" s="44" t="inlineStr">
        <is>
          <t>5. Drip Irrigation systems</t>
        </is>
      </c>
      <c r="Q49" s="44" t="inlineStr">
        <is>
          <t>Mohammad Ibrahim</t>
        </is>
      </c>
      <c r="R49" s="44" t="inlineStr"/>
      <c r="S49" s="45" t="n">
        <v>10465.62</v>
      </c>
      <c r="T49" s="46" t="inlineStr">
        <is>
          <t>IF(AQ49="","",AQ49)</t>
        </is>
      </c>
      <c r="U49" s="47" t="n">
        <v>46371</v>
      </c>
      <c r="V49" s="48" t="n">
        <v>4.4</v>
      </c>
      <c r="W49" s="47" t="n">
        <v>46506</v>
      </c>
      <c r="X49" s="46" t="inlineStr">
        <is>
          <t>IF(W49&lt;&gt;"",W49,IF(OR(T49="",V49=""),"",EDATE(T49,V49)))</t>
        </is>
      </c>
      <c r="Y49" s="47" t="n"/>
      <c r="Z49" s="48" t="n"/>
      <c r="AA49" s="44" t="inlineStr">
        <is>
          <t>Retendered (Re-ITB)</t>
        </is>
      </c>
      <c r="AB49" s="44" t="inlineStr">
        <is>
          <t>Work starting from March 2026. A total of 90 days for completion Slack period until end February 2026. | Farmer: Mohammad Ibrahim</t>
        </is>
      </c>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32" t="inlineStr">
        <is>
          <t>IF(F50="","",ROW()-3)</t>
        </is>
      </c>
      <c r="B50" s="62" t="inlineStr">
        <is>
          <t>AF2-DIS-01A</t>
        </is>
      </c>
      <c r="C50" s="6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0" s="62" t="inlineStr">
        <is>
          <t>1 of 7</t>
        </is>
      </c>
      <c r="E50" s="34" t="inlineStr">
        <is>
          <t>AF2-DIS-N-008</t>
        </is>
      </c>
      <c r="F50" s="34" t="inlineStr">
        <is>
          <t>Ahangaran Drip Irrigation schemes</t>
        </is>
      </c>
      <c r="G50" s="34" t="inlineStr">
        <is>
          <t>Drip Irrigation</t>
        </is>
      </c>
      <c r="H50" s="34" t="inlineStr">
        <is>
          <t>Drip Irrigation Plot</t>
        </is>
      </c>
      <c r="I50" s="34" t="inlineStr">
        <is>
          <t>Emergency Food Security Project (EFSP) – WBK/AF-2</t>
        </is>
      </c>
      <c r="J50" s="34" t="inlineStr">
        <is>
          <t>West / Herat</t>
        </is>
      </c>
      <c r="K50" s="34" t="inlineStr">
        <is>
          <t>Ghor</t>
        </is>
      </c>
      <c r="L50" s="34" t="inlineStr">
        <is>
          <t>Firozkoh</t>
        </is>
      </c>
      <c r="M50" s="34" t="inlineStr">
        <is>
          <t>Ahangaran</t>
        </is>
      </c>
      <c r="N50" s="34" t="inlineStr">
        <is>
          <t>World Bank (WBK/AF-2)</t>
        </is>
      </c>
      <c r="O50" s="34" t="inlineStr">
        <is>
          <t>Not awarded</t>
        </is>
      </c>
      <c r="P50" s="34" t="inlineStr">
        <is>
          <t>5. Drip Irrigation systems</t>
        </is>
      </c>
      <c r="Q50" s="34" t="inlineStr">
        <is>
          <t>Haji Yaqoub</t>
        </is>
      </c>
      <c r="R50" s="34" t="inlineStr"/>
      <c r="S50" s="35" t="n">
        <v>5783.61</v>
      </c>
      <c r="T50" s="36" t="inlineStr">
        <is>
          <t>IF(AQ50="","",AQ50)</t>
        </is>
      </c>
      <c r="U50" s="37" t="n">
        <v>46361</v>
      </c>
      <c r="V50" s="38" t="n">
        <v>5.8</v>
      </c>
      <c r="W50" s="37" t="n">
        <v>46537</v>
      </c>
      <c r="X50" s="36" t="inlineStr">
        <is>
          <t>IF(W50&lt;&gt;"",W50,IF(OR(T50="",V50=""),"",EDATE(T50,V50)))</t>
        </is>
      </c>
      <c r="Y50" s="37" t="n"/>
      <c r="Z50" s="38" t="n"/>
      <c r="AA50" s="34" t="inlineStr">
        <is>
          <t>Retendered (Re-ITB)</t>
        </is>
      </c>
      <c r="AB50" s="34" t="inlineStr">
        <is>
          <t>Work starting from March 2026. A total of 90 days for completion Slack period until end February 2026. | Farmer: Haji Yaqoub</t>
        </is>
      </c>
      <c r="AC50" s="32" t="inlineStr">
        <is>
          <t>IF(F50="","",IF(COUNT(AI50:AV50)=0,IF(AA50="","Not started",AA50),SUBSTITUTE(LOOKUP(2,1/(AI50:AV50&lt;&gt;""),$AI$3:$AV$3),"Date: ","")))</t>
        </is>
      </c>
      <c r="AD50" s="39" t="inlineStr">
        <is>
          <t>IF(OR(F50="",COUNT(AI50:AV50)=0),"",TODAY()-LOOKUP(2,1/(AI50:AV50&lt;&gt;""),AI50:AV50))</t>
        </is>
      </c>
      <c r="AE50" s="39" t="inlineStr">
        <is>
          <t>IF(OR(F50="",COUNT(AI50:AV50)&lt;2),"",LOOKUP(2,1/(AI50:AV50&lt;&gt;""),AI50:AV50)-MIN(AI50:AV50))</t>
        </is>
      </c>
      <c r="AF50" s="39" t="inlineStr">
        <is>
          <t>IF(OR(AD50="",AC50="Not started",AC50=""),"",IFERROR(AD50-IF(VLOOKUP(AC50,'06_Status_Pipeline'!$B$3:$E$20,4,FALSE)="",0,VLOOKUP(AC50,'06_Status_Pipeline'!$B$3:$E$20,4,FALSE)),""))</t>
        </is>
      </c>
      <c r="AG50" s="3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39" t="inlineStr">
        <is>
          <t>IF(OR(F50="",AC50="Completed / Handover",AC50="Cancelled"),"",IF(O50="Not awarded",IF(U50&lt;&gt;"",U50-TODAY(),IF(X50="","",X50-TODAY())),IF(X50="","",X50-TODAY())))</t>
        </is>
      </c>
      <c r="AI50" s="37" t="n"/>
      <c r="AJ50" s="37" t="n"/>
      <c r="AK50" s="37" t="n"/>
      <c r="AL50" s="37" t="n"/>
      <c r="AM50" s="37" t="n"/>
      <c r="AN50" s="37" t="n"/>
      <c r="AO50" s="37" t="n"/>
      <c r="AP50" s="37" t="n"/>
      <c r="AQ50" s="37" t="n"/>
      <c r="AR50" s="37" t="n"/>
      <c r="AS50" s="37" t="n"/>
      <c r="AT50" s="40" t="n"/>
      <c r="AU50" s="40" t="n"/>
      <c r="AV50" s="40" t="n"/>
      <c r="AW50" s="39" t="inlineStr">
        <is>
          <t>IF(OR(F50="",AJ50=""),"",IF(COUNT(AI50:AI50)=0,"",AJ50-LOOKUP(2,1/(AI50:AI50&lt;&gt;""),AI50:AI50)))</t>
        </is>
      </c>
      <c r="AX50" s="39" t="inlineStr">
        <is>
          <t>IF(OR(F50="",AK50=""),"",IF(COUNT(AI50:AJ50)=0,"",AK50-LOOKUP(2,1/(AI50:AJ50&lt;&gt;""),AI50:AJ50)))</t>
        </is>
      </c>
      <c r="AY50" s="39" t="inlineStr">
        <is>
          <t>IF(OR(F50="",AL50=""),"",IF(COUNT(AI50:AK50)=0,"",AL50-LOOKUP(2,1/(AI50:AK50&lt;&gt;""),AI50:AK50)))</t>
        </is>
      </c>
      <c r="AZ50" s="39" t="inlineStr">
        <is>
          <t>IF(OR(F50="",AM50=""),"",IF(COUNT(AI50:AL50)=0,"",AM50-LOOKUP(2,1/(AI50:AL50&lt;&gt;""),AI50:AL50)))</t>
        </is>
      </c>
      <c r="BA50" s="39" t="inlineStr">
        <is>
          <t>IF(OR(F50="",AN50=""),"",IF(COUNT(AI50:AM50)=0,"",AN50-LOOKUP(2,1/(AI50:AM50&lt;&gt;""),AI50:AM50)))</t>
        </is>
      </c>
      <c r="BB50" s="39" t="inlineStr">
        <is>
          <t>IF(OR(F50="",AO50=""),"",IF(COUNT(AI50:AN50)=0,"",AO50-LOOKUP(2,1/(AI50:AN50&lt;&gt;""),AI50:AN50)))</t>
        </is>
      </c>
      <c r="BC50" s="39" t="inlineStr">
        <is>
          <t>IF(OR(F50="",AP50=""),"",IF(COUNT(AI50:AO50)=0,"",AP50-LOOKUP(2,1/(AI50:AO50&lt;&gt;""),AI50:AO50)))</t>
        </is>
      </c>
      <c r="BD50" s="39" t="inlineStr">
        <is>
          <t>IF(OR(F50="",AQ50=""),"",IF(COUNT(AI50:AP50)=0,"",AQ50-LOOKUP(2,1/(AI50:AP50&lt;&gt;""),AI50:AP50)))</t>
        </is>
      </c>
      <c r="BE50" s="39" t="inlineStr">
        <is>
          <t>IF(OR(F50="",AR50=""),"",IF(COUNT(AI50:AQ50)=0,"",AR50-LOOKUP(2,1/(AI50:AQ50&lt;&gt;""),AI50:AQ50)))</t>
        </is>
      </c>
      <c r="BF50" s="39" t="inlineStr">
        <is>
          <t>IF(OR(F50="",AS50=""),"",IF(COUNT(AI50:AR50)=0,"",AS50-LOOKUP(2,1/(AI50:AR50&lt;&gt;""),AI50:AR50)))</t>
        </is>
      </c>
      <c r="BG50" s="39" t="inlineStr">
        <is>
          <t>IF(OR(F50="",AT50=""),"",IF(COUNT(AI50:AS50)=0,"",AT50-LOOKUP(2,1/(AI50:AS50&lt;&gt;""),AI50:AS50)))</t>
        </is>
      </c>
      <c r="BH50" s="39" t="inlineStr">
        <is>
          <t>IF(OR(F50="",AU50=""),"",IF(COUNT(AI50:AT50)=0,"",AU50-LOOKUP(2,1/(AI50:AT50&lt;&gt;""),AI50:AT50)))</t>
        </is>
      </c>
      <c r="BI50" s="39" t="inlineStr">
        <is>
          <t>IF(OR(F50="",AV50=""),"",IF(COUNT(AI50:AU50)=0,"",AV50-LOOKUP(2,1/(AI50:AU50&lt;&gt;""),AI50:AU50)))</t>
        </is>
      </c>
      <c r="BJ50" s="41" t="inlineStr">
        <is>
          <t>IF(J50="","All_Provinces",IFERROR(VLOOKUP(J50,'09_Lookups'!$A$4:$B$20,2,FALSE),"All_Provinces"))</t>
        </is>
      </c>
      <c r="BK50" s="41" t="inlineStr">
        <is>
          <t>IF(K50="","All_Districts",IFERROR(VLOOKUP(K50,'09_Lookups'!$E$4:$F$42,2,FALSE),"All_Districts"))</t>
        </is>
      </c>
    </row>
    <row r="51" outlineLevel="1" ht="18" customHeight="1">
      <c r="A51" s="42" t="inlineStr">
        <is>
          <t>IF(F51="","",ROW()-3)</t>
        </is>
      </c>
      <c r="B51" s="63" t="inlineStr">
        <is>
          <t>AF2-DIS-01A</t>
        </is>
      </c>
      <c r="C51"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1" s="63" t="inlineStr">
        <is>
          <t>2 of 7</t>
        </is>
      </c>
      <c r="E51" s="44" t="inlineStr">
        <is>
          <t>AF2-DIS-N-009</t>
        </is>
      </c>
      <c r="F51" s="44" t="inlineStr">
        <is>
          <t>Baghak Drip Irrigation schemes</t>
        </is>
      </c>
      <c r="G51" s="44" t="inlineStr">
        <is>
          <t>Drip Irrigation</t>
        </is>
      </c>
      <c r="H51" s="44" t="inlineStr">
        <is>
          <t>Drip Irrigation Plot</t>
        </is>
      </c>
      <c r="I51" s="44" t="inlineStr">
        <is>
          <t>Emergency Food Security Project (EFSP) – WBK/AF-2</t>
        </is>
      </c>
      <c r="J51" s="44" t="inlineStr">
        <is>
          <t>West / Herat</t>
        </is>
      </c>
      <c r="K51" s="44" t="inlineStr">
        <is>
          <t>Badghis</t>
        </is>
      </c>
      <c r="L51" s="44" t="inlineStr">
        <is>
          <t>Qala-e-Naw</t>
        </is>
      </c>
      <c r="M51" s="44" t="inlineStr">
        <is>
          <t>Baghak</t>
        </is>
      </c>
      <c r="N51" s="44" t="inlineStr">
        <is>
          <t>World Bank (WBK/AF-2)</t>
        </is>
      </c>
      <c r="O51" s="44" t="inlineStr">
        <is>
          <t>Not awarded</t>
        </is>
      </c>
      <c r="P51" s="44" t="inlineStr">
        <is>
          <t>5. Drip Irrigation systems</t>
        </is>
      </c>
      <c r="Q51" s="44" t="inlineStr">
        <is>
          <t>Edi Mohammad</t>
        </is>
      </c>
      <c r="R51" s="44" t="inlineStr"/>
      <c r="S51" s="45" t="n">
        <v>8943.67</v>
      </c>
      <c r="T51" s="46" t="inlineStr">
        <is>
          <t>IF(AQ51="","",AQ51)</t>
        </is>
      </c>
      <c r="U51" s="47" t="n">
        <v>46361</v>
      </c>
      <c r="V51" s="48" t="n">
        <v>5.8</v>
      </c>
      <c r="W51" s="47" t="n">
        <v>46537</v>
      </c>
      <c r="X51" s="46" t="inlineStr">
        <is>
          <t>IF(W51&lt;&gt;"",W51,IF(OR(T51="",V51=""),"",EDATE(T51,V51)))</t>
        </is>
      </c>
      <c r="Y51" s="47" t="n"/>
      <c r="Z51" s="48" t="n"/>
      <c r="AA51" s="44" t="inlineStr">
        <is>
          <t>Retendered (Re-ITB)</t>
        </is>
      </c>
      <c r="AB51" s="44" t="inlineStr">
        <is>
          <t>Work starting from March 2026. A total of 90 days for completion Slack period until end February 2026. | Farmer: Edi Mohammad</t>
        </is>
      </c>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outlineLevel="1" ht="18" customHeight="1">
      <c r="A52" s="42" t="inlineStr">
        <is>
          <t>IF(F52="","",ROW()-3)</t>
        </is>
      </c>
      <c r="B52" s="63" t="inlineStr">
        <is>
          <t>AF2-DIS-01A</t>
        </is>
      </c>
      <c r="C52"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2" s="63" t="inlineStr">
        <is>
          <t>3 of 7</t>
        </is>
      </c>
      <c r="E52" s="52" t="inlineStr">
        <is>
          <t>AF2-DIS-N-010</t>
        </is>
      </c>
      <c r="F52" s="52" t="inlineStr">
        <is>
          <t>Hamaye Khan Drip Irrigation schemes</t>
        </is>
      </c>
      <c r="G52" s="52" t="inlineStr">
        <is>
          <t>Drip Irrigation</t>
        </is>
      </c>
      <c r="H52" s="52" t="inlineStr">
        <is>
          <t>Drip Irrigation Plot</t>
        </is>
      </c>
      <c r="I52" s="52" t="inlineStr">
        <is>
          <t>Emergency Food Security Project (EFSP) – WBK/AF-2</t>
        </is>
      </c>
      <c r="J52" s="52" t="inlineStr">
        <is>
          <t>West / Herat</t>
        </is>
      </c>
      <c r="K52" s="52" t="inlineStr">
        <is>
          <t>Ghor</t>
        </is>
      </c>
      <c r="L52" s="52" t="inlineStr">
        <is>
          <t>Dawlatyar</t>
        </is>
      </c>
      <c r="M52" s="52" t="inlineStr">
        <is>
          <t>Hamaye khan</t>
        </is>
      </c>
      <c r="N52" s="52" t="inlineStr">
        <is>
          <t>World Bank (WBK/AF-2)</t>
        </is>
      </c>
      <c r="O52" s="52" t="inlineStr">
        <is>
          <t>Not awarded</t>
        </is>
      </c>
      <c r="P52" s="52" t="inlineStr">
        <is>
          <t>5. Drip Irrigation systems</t>
        </is>
      </c>
      <c r="Q52" s="52" t="inlineStr">
        <is>
          <t>Haji Abdul Qaiyom</t>
        </is>
      </c>
      <c r="R52" s="52" t="inlineStr"/>
      <c r="S52" s="53" t="n">
        <v>6737.72</v>
      </c>
      <c r="T52" s="46" t="inlineStr">
        <is>
          <t>IF(AQ52="","",AQ52)</t>
        </is>
      </c>
      <c r="U52" s="54" t="n">
        <v>46361</v>
      </c>
      <c r="V52" s="55" t="n">
        <v>5.8</v>
      </c>
      <c r="W52" s="54" t="n">
        <v>46537</v>
      </c>
      <c r="X52" s="46" t="inlineStr">
        <is>
          <t>IF(W52&lt;&gt;"",W52,IF(OR(T52="",V52=""),"",EDATE(T52,V52)))</t>
        </is>
      </c>
      <c r="Y52" s="54" t="n"/>
      <c r="Z52" s="55" t="n"/>
      <c r="AA52" s="52" t="inlineStr">
        <is>
          <t>Retendered (Re-ITB)</t>
        </is>
      </c>
      <c r="AB52" s="52" t="inlineStr">
        <is>
          <t>Work starting from March 2026. A total of 90 days for completion Slack period until end February 2026. | Farmer: Haji Abdul Qaiyom</t>
        </is>
      </c>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outlineLevel="1" ht="18" customHeight="1">
      <c r="A53" s="42" t="inlineStr">
        <is>
          <t>IF(F53="","",ROW()-3)</t>
        </is>
      </c>
      <c r="B53" s="63" t="inlineStr">
        <is>
          <t>AF2-DIS-01A</t>
        </is>
      </c>
      <c r="C53"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3" s="63" t="inlineStr">
        <is>
          <t>4 of 7</t>
        </is>
      </c>
      <c r="E53" s="44" t="inlineStr">
        <is>
          <t>AF2-DIS-N-011</t>
        </is>
      </c>
      <c r="F53" s="44" t="inlineStr">
        <is>
          <t>Jakana Drip Irrigation schemes</t>
        </is>
      </c>
      <c r="G53" s="44" t="inlineStr">
        <is>
          <t>Drip Irrigation</t>
        </is>
      </c>
      <c r="H53" s="44" t="inlineStr">
        <is>
          <t>Drip Irrigation Plot</t>
        </is>
      </c>
      <c r="I53" s="44" t="inlineStr">
        <is>
          <t>Emergency Food Security Project (EFSP) – WBK/AF-2</t>
        </is>
      </c>
      <c r="J53" s="44" t="inlineStr">
        <is>
          <t>West / Herat</t>
        </is>
      </c>
      <c r="K53" s="44" t="inlineStr">
        <is>
          <t>Badghis</t>
        </is>
      </c>
      <c r="L53" s="44" t="inlineStr">
        <is>
          <t>Moqur</t>
        </is>
      </c>
      <c r="M53" s="44" t="inlineStr">
        <is>
          <t>Jakana</t>
        </is>
      </c>
      <c r="N53" s="44" t="inlineStr">
        <is>
          <t>World Bank (WBK/AF-2)</t>
        </is>
      </c>
      <c r="O53" s="44" t="inlineStr">
        <is>
          <t>Not awarded</t>
        </is>
      </c>
      <c r="P53" s="44" t="inlineStr">
        <is>
          <t>5. Drip Irrigation systems</t>
        </is>
      </c>
      <c r="Q53" s="44" t="inlineStr">
        <is>
          <t>Sobhan</t>
        </is>
      </c>
      <c r="R53" s="44" t="inlineStr"/>
      <c r="S53" s="45" t="n">
        <v>7977.58</v>
      </c>
      <c r="T53" s="46" t="inlineStr">
        <is>
          <t>IF(AQ53="","",AQ53)</t>
        </is>
      </c>
      <c r="U53" s="47" t="n">
        <v>46361</v>
      </c>
      <c r="V53" s="48" t="n">
        <v>5.8</v>
      </c>
      <c r="W53" s="47" t="n">
        <v>46537</v>
      </c>
      <c r="X53" s="46" t="inlineStr">
        <is>
          <t>IF(W53&lt;&gt;"",W53,IF(OR(T53="",V53=""),"",EDATE(T53,V53)))</t>
        </is>
      </c>
      <c r="Y53" s="47" t="n"/>
      <c r="Z53" s="48" t="n"/>
      <c r="AA53" s="44" t="inlineStr">
        <is>
          <t>Retendered (Re-ITB)</t>
        </is>
      </c>
      <c r="AB53" s="44" t="inlineStr">
        <is>
          <t>Work starting from March 2026. A total of 90 days for completion Slack period until end February 2026. | Farmer: Sobhan</t>
        </is>
      </c>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outlineLevel="1" ht="18" customHeight="1">
      <c r="A54" s="42" t="inlineStr">
        <is>
          <t>IF(F54="","",ROW()-3)</t>
        </is>
      </c>
      <c r="B54" s="63" t="inlineStr">
        <is>
          <t>AF2-DIS-01A</t>
        </is>
      </c>
      <c r="C54"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4" s="63" t="inlineStr">
        <is>
          <t>5 of 7</t>
        </is>
      </c>
      <c r="E54" s="52" t="inlineStr">
        <is>
          <t>AF2-DIS-N-012</t>
        </is>
      </c>
      <c r="F54" s="52" t="inlineStr">
        <is>
          <t>Kharistan Drip Irrigation schemes</t>
        </is>
      </c>
      <c r="G54" s="52" t="inlineStr">
        <is>
          <t>Drip Irrigation</t>
        </is>
      </c>
      <c r="H54" s="52" t="inlineStr">
        <is>
          <t>Drip Irrigation Plot</t>
        </is>
      </c>
      <c r="I54" s="52" t="inlineStr">
        <is>
          <t>Emergency Food Security Project (EFSP) – WBK/AF-2</t>
        </is>
      </c>
      <c r="J54" s="52" t="inlineStr">
        <is>
          <t>West / Herat</t>
        </is>
      </c>
      <c r="K54" s="52" t="inlineStr">
        <is>
          <t>Badghis</t>
        </is>
      </c>
      <c r="L54" s="52" t="inlineStr">
        <is>
          <t>Moqur</t>
        </is>
      </c>
      <c r="M54" s="52" t="inlineStr">
        <is>
          <t>Kharistan</t>
        </is>
      </c>
      <c r="N54" s="52" t="inlineStr">
        <is>
          <t>World Bank (WBK/AF-2)</t>
        </is>
      </c>
      <c r="O54" s="52" t="inlineStr">
        <is>
          <t>Not awarded</t>
        </is>
      </c>
      <c r="P54" s="52" t="inlineStr">
        <is>
          <t>5. Drip Irrigation systems</t>
        </is>
      </c>
      <c r="Q54" s="52" t="inlineStr">
        <is>
          <t>Saifuddin</t>
        </is>
      </c>
      <c r="R54" s="52" t="inlineStr"/>
      <c r="S54" s="53" t="n">
        <v>9550.690000000001</v>
      </c>
      <c r="T54" s="46" t="inlineStr">
        <is>
          <t>IF(AQ54="","",AQ54)</t>
        </is>
      </c>
      <c r="U54" s="54" t="n">
        <v>46361</v>
      </c>
      <c r="V54" s="55" t="n">
        <v>5.8</v>
      </c>
      <c r="W54" s="54" t="n">
        <v>46537</v>
      </c>
      <c r="X54" s="46" t="inlineStr">
        <is>
          <t>IF(W54&lt;&gt;"",W54,IF(OR(T54="",V54=""),"",EDATE(T54,V54)))</t>
        </is>
      </c>
      <c r="Y54" s="54" t="n"/>
      <c r="Z54" s="55" t="n"/>
      <c r="AA54" s="52" t="inlineStr">
        <is>
          <t>Retendered (Re-ITB)</t>
        </is>
      </c>
      <c r="AB54" s="52" t="inlineStr">
        <is>
          <t>Work starting from March 2026. A total of 90 days for completion Slack period until end February 2026. | Farmer: Saifuddin</t>
        </is>
      </c>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outlineLevel="1" ht="18" customHeight="1">
      <c r="A55" s="42" t="inlineStr">
        <is>
          <t>IF(F55="","",ROW()-3)</t>
        </is>
      </c>
      <c r="B55" s="63" t="inlineStr">
        <is>
          <t>AF2-DIS-01A</t>
        </is>
      </c>
      <c r="C55"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5" s="63" t="inlineStr">
        <is>
          <t>6 of 7</t>
        </is>
      </c>
      <c r="E55" s="44" t="inlineStr">
        <is>
          <t>AF2-DIS-N-013</t>
        </is>
      </c>
      <c r="F55" s="44" t="inlineStr">
        <is>
          <t>Shadeh Olia Drip Irrigation Scheme</t>
        </is>
      </c>
      <c r="G55" s="44" t="inlineStr">
        <is>
          <t>Drip Irrigation</t>
        </is>
      </c>
      <c r="H55" s="44" t="inlineStr">
        <is>
          <t>Drip Irrigation Plot</t>
        </is>
      </c>
      <c r="I55" s="44" t="inlineStr">
        <is>
          <t>Emergency Food Security Project (EFSP) – WBK/AF-2</t>
        </is>
      </c>
      <c r="J55" s="44" t="inlineStr">
        <is>
          <t>West / Herat</t>
        </is>
      </c>
      <c r="K55" s="44" t="inlineStr">
        <is>
          <t>Herat</t>
        </is>
      </c>
      <c r="L55" s="44" t="inlineStr">
        <is>
          <t>Zinda Jan</t>
        </is>
      </c>
      <c r="M55" s="44" t="inlineStr">
        <is>
          <t>Shadeh Olia</t>
        </is>
      </c>
      <c r="N55" s="44" t="inlineStr">
        <is>
          <t>World Bank (WBK/AF-2)</t>
        </is>
      </c>
      <c r="O55" s="44" t="inlineStr">
        <is>
          <t>Not awarded</t>
        </is>
      </c>
      <c r="P55" s="44" t="inlineStr">
        <is>
          <t>5. Drip Irrigation systems</t>
        </is>
      </c>
      <c r="Q55" s="44" t="inlineStr">
        <is>
          <t>Abdul Ghafour</t>
        </is>
      </c>
      <c r="R55" s="44" t="inlineStr"/>
      <c r="S55" s="45" t="n">
        <v>6110.88</v>
      </c>
      <c r="T55" s="46" t="inlineStr">
        <is>
          <t>IF(AQ55="","",AQ55)</t>
        </is>
      </c>
      <c r="U55" s="47" t="n">
        <v>46361</v>
      </c>
      <c r="V55" s="48" t="n">
        <v>5.8</v>
      </c>
      <c r="W55" s="47" t="n">
        <v>46537</v>
      </c>
      <c r="X55" s="46" t="inlineStr">
        <is>
          <t>IF(W55&lt;&gt;"",W55,IF(OR(T55="",V55=""),"",EDATE(T55,V55)))</t>
        </is>
      </c>
      <c r="Y55" s="47" t="n"/>
      <c r="Z55" s="48" t="n"/>
      <c r="AA55" s="44" t="inlineStr">
        <is>
          <t>Retendered (Re-ITB)</t>
        </is>
      </c>
      <c r="AB55" s="44" t="inlineStr">
        <is>
          <t>Work starting from March 2026. A total of 90 days for completion Slack period until end February 2026. | Farmer: Abdul Ghafour</t>
        </is>
      </c>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outlineLevel="1" ht="18" customHeight="1">
      <c r="A56" s="42" t="inlineStr">
        <is>
          <t>IF(F56="","",ROW()-3)</t>
        </is>
      </c>
      <c r="B56" s="63" t="inlineStr">
        <is>
          <t>AF2-DIS-01A</t>
        </is>
      </c>
      <c r="C56"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6" s="63" t="inlineStr">
        <is>
          <t>7 of 7</t>
        </is>
      </c>
      <c r="E56" s="52" t="inlineStr">
        <is>
          <t>AF2-DIS-N-014</t>
        </is>
      </c>
      <c r="F56" s="52" t="inlineStr">
        <is>
          <t>Shadeh Sofla Drip Irrigation Scheme</t>
        </is>
      </c>
      <c r="G56" s="52" t="inlineStr">
        <is>
          <t>Drip Irrigation</t>
        </is>
      </c>
      <c r="H56" s="52" t="inlineStr">
        <is>
          <t>Drip Irrigation Plot</t>
        </is>
      </c>
      <c r="I56" s="52" t="inlineStr">
        <is>
          <t>Emergency Food Security Project (EFSP) – WBK/AF-2</t>
        </is>
      </c>
      <c r="J56" s="52" t="inlineStr">
        <is>
          <t>West / Herat</t>
        </is>
      </c>
      <c r="K56" s="52" t="inlineStr">
        <is>
          <t>Herat</t>
        </is>
      </c>
      <c r="L56" s="52" t="inlineStr">
        <is>
          <t>Zinda Jan</t>
        </is>
      </c>
      <c r="M56" s="52" t="inlineStr">
        <is>
          <t>Shadeh Sofla</t>
        </is>
      </c>
      <c r="N56" s="52" t="inlineStr">
        <is>
          <t>World Bank (WBK/AF-2)</t>
        </is>
      </c>
      <c r="O56" s="52" t="inlineStr">
        <is>
          <t>Not awarded</t>
        </is>
      </c>
      <c r="P56" s="52" t="inlineStr">
        <is>
          <t>5. Drip Irrigation systems</t>
        </is>
      </c>
      <c r="Q56" s="52" t="inlineStr">
        <is>
          <t>Ahmad Zia</t>
        </is>
      </c>
      <c r="R56" s="52" t="inlineStr"/>
      <c r="S56" s="53" t="n">
        <v>6495.85</v>
      </c>
      <c r="T56" s="46" t="inlineStr">
        <is>
          <t>IF(AQ56="","",AQ56)</t>
        </is>
      </c>
      <c r="U56" s="54" t="n">
        <v>46361</v>
      </c>
      <c r="V56" s="55" t="n">
        <v>5.8</v>
      </c>
      <c r="W56" s="54" t="n">
        <v>46537</v>
      </c>
      <c r="X56" s="46" t="inlineStr">
        <is>
          <t>IF(W56&lt;&gt;"",W56,IF(OR(T56="",V56=""),"",EDATE(T56,V56)))</t>
        </is>
      </c>
      <c r="Y56" s="54" t="n"/>
      <c r="Z56" s="55" t="n"/>
      <c r="AA56" s="52" t="inlineStr">
        <is>
          <t>Retendered (Re-ITB)</t>
        </is>
      </c>
      <c r="AB56" s="52" t="inlineStr">
        <is>
          <t>Work starting from March 2026. A total of 90 days for completion Slack period until end February 2026. | Farmer: Ahmad Zia</t>
        </is>
      </c>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32" t="inlineStr">
        <is>
          <t>IF(F57="","",ROW()-3)</t>
        </is>
      </c>
      <c r="B57" s="64" t="inlineStr">
        <is>
          <t>AF2-DIS-02A</t>
        </is>
      </c>
      <c r="C57" s="6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7" s="64" t="inlineStr">
        <is>
          <t>1 of 12</t>
        </is>
      </c>
      <c r="E57" s="57" t="inlineStr">
        <is>
          <t>AF2-DIS-N-015</t>
        </is>
      </c>
      <c r="F57" s="57" t="inlineStr">
        <is>
          <t>1. Abdul Qadir Drip Irrigation Scheme</t>
        </is>
      </c>
      <c r="G57" s="57" t="inlineStr">
        <is>
          <t>Drip Irrigation</t>
        </is>
      </c>
      <c r="H57" s="57" t="inlineStr">
        <is>
          <t>Drip Irrigation Plot</t>
        </is>
      </c>
      <c r="I57" s="57" t="inlineStr">
        <is>
          <t>Emergency Food Security Project (EFSP) – WBK/AF-2</t>
        </is>
      </c>
      <c r="J57" s="57" t="inlineStr">
        <is>
          <t>East / Jalalabad</t>
        </is>
      </c>
      <c r="K57" s="57" t="inlineStr">
        <is>
          <t>Laghman</t>
        </is>
      </c>
      <c r="L57" s="57" t="inlineStr">
        <is>
          <t>Alishing</t>
        </is>
      </c>
      <c r="M57" s="57" t="inlineStr">
        <is>
          <t>Darwesh Abad</t>
        </is>
      </c>
      <c r="N57" s="57" t="inlineStr">
        <is>
          <t>World Bank (WBK/AF-2)</t>
        </is>
      </c>
      <c r="O57" s="57" t="inlineStr">
        <is>
          <t>Not awarded</t>
        </is>
      </c>
      <c r="P57" s="57" t="inlineStr">
        <is>
          <t>5. Drip Irrigation systems</t>
        </is>
      </c>
      <c r="Q57" s="57" t="inlineStr">
        <is>
          <t>Abdul Qadeer</t>
        </is>
      </c>
      <c r="R57" s="57" t="inlineStr"/>
      <c r="S57" s="58" t="n">
        <v>13115.38</v>
      </c>
      <c r="T57" s="36" t="inlineStr">
        <is>
          <t>IF(AQ57="","",AQ57)</t>
        </is>
      </c>
      <c r="U57" s="59" t="n">
        <v>46380</v>
      </c>
      <c r="V57" s="60" t="n">
        <v>4.9</v>
      </c>
      <c r="W57" s="59" t="n">
        <v>46530</v>
      </c>
      <c r="X57" s="36" t="inlineStr">
        <is>
          <t>IF(W57&lt;&gt;"",W57,IF(OR(T57="",V57=""),"",EDATE(T57,V57)))</t>
        </is>
      </c>
      <c r="Y57" s="59" t="n"/>
      <c r="Z57" s="60" t="n"/>
      <c r="AA57" s="57" t="inlineStr">
        <is>
          <t>Retendered (Re-ITB)</t>
        </is>
      </c>
      <c r="AB57" s="57" t="inlineStr">
        <is>
          <t>Five month construction period. No slack period considered for Laghman and Nagrahar and two months slack period for Kunar and Nuristan. '- | Farmer: Abdul Qadeer</t>
        </is>
      </c>
      <c r="AC57" s="32" t="inlineStr">
        <is>
          <t>IF(F57="","",IF(COUNT(AI57:AV57)=0,IF(AA57="","Not started",AA57),SUBSTITUTE(LOOKUP(2,1/(AI57:AV57&lt;&gt;""),$AI$3:$AV$3),"Date: ","")))</t>
        </is>
      </c>
      <c r="AD57" s="39" t="inlineStr">
        <is>
          <t>IF(OR(F57="",COUNT(AI57:AV57)=0),"",TODAY()-LOOKUP(2,1/(AI57:AV57&lt;&gt;""),AI57:AV57))</t>
        </is>
      </c>
      <c r="AE57" s="39" t="inlineStr">
        <is>
          <t>IF(OR(F57="",COUNT(AI57:AV57)&lt;2),"",LOOKUP(2,1/(AI57:AV57&lt;&gt;""),AI57:AV57)-MIN(AI57:AV57))</t>
        </is>
      </c>
      <c r="AF57" s="39" t="inlineStr">
        <is>
          <t>IF(OR(AD57="",AC57="Not started",AC57=""),"",IFERROR(AD57-IF(VLOOKUP(AC57,'06_Status_Pipeline'!$B$3:$E$20,4,FALSE)="",0,VLOOKUP(AC57,'06_Status_Pipeline'!$B$3:$E$20,4,FALSE)),""))</t>
        </is>
      </c>
      <c r="AG57" s="3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39" t="inlineStr">
        <is>
          <t>IF(OR(F57="",AC57="Completed / Handover",AC57="Cancelled"),"",IF(O57="Not awarded",IF(U57&lt;&gt;"",U57-TODAY(),IF(X57="","",X57-TODAY())),IF(X57="","",X57-TODAY())))</t>
        </is>
      </c>
      <c r="AI57" s="59" t="n"/>
      <c r="AJ57" s="59" t="n"/>
      <c r="AK57" s="59" t="n"/>
      <c r="AL57" s="59" t="n"/>
      <c r="AM57" s="59" t="n"/>
      <c r="AN57" s="59" t="n"/>
      <c r="AO57" s="59" t="n"/>
      <c r="AP57" s="59" t="n"/>
      <c r="AQ57" s="59" t="n"/>
      <c r="AR57" s="59" t="n"/>
      <c r="AS57" s="59" t="n"/>
      <c r="AT57" s="40" t="n"/>
      <c r="AU57" s="40" t="n"/>
      <c r="AV57" s="40" t="n"/>
      <c r="AW57" s="39" t="inlineStr">
        <is>
          <t>IF(OR(F57="",AJ57=""),"",IF(COUNT(AI57:AI57)=0,"",AJ57-LOOKUP(2,1/(AI57:AI57&lt;&gt;""),AI57:AI57)))</t>
        </is>
      </c>
      <c r="AX57" s="39" t="inlineStr">
        <is>
          <t>IF(OR(F57="",AK57=""),"",IF(COUNT(AI57:AJ57)=0,"",AK57-LOOKUP(2,1/(AI57:AJ57&lt;&gt;""),AI57:AJ57)))</t>
        </is>
      </c>
      <c r="AY57" s="39" t="inlineStr">
        <is>
          <t>IF(OR(F57="",AL57=""),"",IF(COUNT(AI57:AK57)=0,"",AL57-LOOKUP(2,1/(AI57:AK57&lt;&gt;""),AI57:AK57)))</t>
        </is>
      </c>
      <c r="AZ57" s="39" t="inlineStr">
        <is>
          <t>IF(OR(F57="",AM57=""),"",IF(COUNT(AI57:AL57)=0,"",AM57-LOOKUP(2,1/(AI57:AL57&lt;&gt;""),AI57:AL57)))</t>
        </is>
      </c>
      <c r="BA57" s="39" t="inlineStr">
        <is>
          <t>IF(OR(F57="",AN57=""),"",IF(COUNT(AI57:AM57)=0,"",AN57-LOOKUP(2,1/(AI57:AM57&lt;&gt;""),AI57:AM57)))</t>
        </is>
      </c>
      <c r="BB57" s="39" t="inlineStr">
        <is>
          <t>IF(OR(F57="",AO57=""),"",IF(COUNT(AI57:AN57)=0,"",AO57-LOOKUP(2,1/(AI57:AN57&lt;&gt;""),AI57:AN57)))</t>
        </is>
      </c>
      <c r="BC57" s="39" t="inlineStr">
        <is>
          <t>IF(OR(F57="",AP57=""),"",IF(COUNT(AI57:AO57)=0,"",AP57-LOOKUP(2,1/(AI57:AO57&lt;&gt;""),AI57:AO57)))</t>
        </is>
      </c>
      <c r="BD57" s="39" t="inlineStr">
        <is>
          <t>IF(OR(F57="",AQ57=""),"",IF(COUNT(AI57:AP57)=0,"",AQ57-LOOKUP(2,1/(AI57:AP57&lt;&gt;""),AI57:AP57)))</t>
        </is>
      </c>
      <c r="BE57" s="39" t="inlineStr">
        <is>
          <t>IF(OR(F57="",AR57=""),"",IF(COUNT(AI57:AQ57)=0,"",AR57-LOOKUP(2,1/(AI57:AQ57&lt;&gt;""),AI57:AQ57)))</t>
        </is>
      </c>
      <c r="BF57" s="39" t="inlineStr">
        <is>
          <t>IF(OR(F57="",AS57=""),"",IF(COUNT(AI57:AR57)=0,"",AS57-LOOKUP(2,1/(AI57:AR57&lt;&gt;""),AI57:AR57)))</t>
        </is>
      </c>
      <c r="BG57" s="39" t="inlineStr">
        <is>
          <t>IF(OR(F57="",AT57=""),"",IF(COUNT(AI57:AS57)=0,"",AT57-LOOKUP(2,1/(AI57:AS57&lt;&gt;""),AI57:AS57)))</t>
        </is>
      </c>
      <c r="BH57" s="39" t="inlineStr">
        <is>
          <t>IF(OR(F57="",AU57=""),"",IF(COUNT(AI57:AT57)=0,"",AU57-LOOKUP(2,1/(AI57:AT57&lt;&gt;""),AI57:AT57)))</t>
        </is>
      </c>
      <c r="BI57" s="39" t="inlineStr">
        <is>
          <t>IF(OR(F57="",AV57=""),"",IF(COUNT(AI57:AU57)=0,"",AV57-LOOKUP(2,1/(AI57:AU57&lt;&gt;""),AI57:AU57)))</t>
        </is>
      </c>
      <c r="BJ57" s="41" t="inlineStr">
        <is>
          <t>IF(J57="","All_Provinces",IFERROR(VLOOKUP(J57,'09_Lookups'!$A$4:$B$20,2,FALSE),"All_Provinces"))</t>
        </is>
      </c>
      <c r="BK57" s="41" t="inlineStr">
        <is>
          <t>IF(K57="","All_Districts",IFERROR(VLOOKUP(K57,'09_Lookups'!$E$4:$F$42,2,FALSE),"All_Districts"))</t>
        </is>
      </c>
    </row>
    <row r="58" outlineLevel="1" ht="18" customHeight="1">
      <c r="A58" s="42" t="inlineStr">
        <is>
          <t>IF(F58="","",ROW()-3)</t>
        </is>
      </c>
      <c r="B58" s="65" t="inlineStr">
        <is>
          <t>AF2-DIS-02A</t>
        </is>
      </c>
      <c r="C5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8" s="65" t="inlineStr">
        <is>
          <t>2 of 12</t>
        </is>
      </c>
      <c r="E58" s="52" t="inlineStr">
        <is>
          <t>AF2-DIS-N-016</t>
        </is>
      </c>
      <c r="F58" s="52" t="inlineStr">
        <is>
          <t>10.Habibullah Drip irrigation Site</t>
        </is>
      </c>
      <c r="G58" s="52" t="inlineStr">
        <is>
          <t>Drip Irrigation</t>
        </is>
      </c>
      <c r="H58" s="52" t="inlineStr">
        <is>
          <t>Drip Irrigation Plot</t>
        </is>
      </c>
      <c r="I58" s="52" t="inlineStr">
        <is>
          <t>Emergency Food Security Project (EFSP) – WBK/AF-2</t>
        </is>
      </c>
      <c r="J58" s="52" t="inlineStr">
        <is>
          <t>East / Jalalabad</t>
        </is>
      </c>
      <c r="K58" s="52" t="inlineStr">
        <is>
          <t>Nuristan</t>
        </is>
      </c>
      <c r="L58" s="52" t="inlineStr">
        <is>
          <t>Barg-e-Matal</t>
        </is>
      </c>
      <c r="M58" s="52" t="inlineStr">
        <is>
          <t>Barg-e-Matal Sharqi</t>
        </is>
      </c>
      <c r="N58" s="52" t="inlineStr">
        <is>
          <t>World Bank (WBK/AF-2)</t>
        </is>
      </c>
      <c r="O58" s="52" t="inlineStr">
        <is>
          <t>Not awarded</t>
        </is>
      </c>
      <c r="P58" s="52" t="inlineStr">
        <is>
          <t>5. Drip Irrigation systems</t>
        </is>
      </c>
      <c r="Q58" s="52" t="inlineStr">
        <is>
          <t>Habibullah</t>
        </is>
      </c>
      <c r="R58" s="52" t="inlineStr"/>
      <c r="S58" s="53" t="n">
        <v>4194.9</v>
      </c>
      <c r="T58" s="46" t="inlineStr">
        <is>
          <t>IF(AQ58="","",AQ58)</t>
        </is>
      </c>
      <c r="U58" s="54" t="n">
        <v>46380</v>
      </c>
      <c r="V58" s="55" t="n">
        <v>4.9</v>
      </c>
      <c r="W58" s="54" t="n">
        <v>46530</v>
      </c>
      <c r="X58" s="46" t="inlineStr">
        <is>
          <t>IF(W58&lt;&gt;"",W58,IF(OR(T58="",V58=""),"",EDATE(T58,V58)))</t>
        </is>
      </c>
      <c r="Y58" s="54" t="n"/>
      <c r="Z58" s="55" t="n"/>
      <c r="AA58" s="52" t="inlineStr">
        <is>
          <t>Retendered (Re-ITB)</t>
        </is>
      </c>
      <c r="AB58" s="52" t="inlineStr">
        <is>
          <t>Five month construction period. No slack period considered for Laghman and Nagrahar and two months slack period for Kunar and Nuristan. '- | Farmer: Habibullah</t>
        </is>
      </c>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outlineLevel="1" ht="18" customHeight="1">
      <c r="A59" s="42" t="inlineStr">
        <is>
          <t>IF(F59="","",ROW()-3)</t>
        </is>
      </c>
      <c r="B59" s="65" t="inlineStr">
        <is>
          <t>AF2-DIS-02A</t>
        </is>
      </c>
      <c r="C59"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9" s="65" t="inlineStr">
        <is>
          <t>3 of 12</t>
        </is>
      </c>
      <c r="E59" s="44" t="inlineStr">
        <is>
          <t>AF2-DIS-N-017</t>
        </is>
      </c>
      <c r="F59" s="44" t="inlineStr">
        <is>
          <t>11.Surkhrood Drip irrigation Site</t>
        </is>
      </c>
      <c r="G59" s="44" t="inlineStr">
        <is>
          <t>Drip Irrigation</t>
        </is>
      </c>
      <c r="H59" s="44" t="inlineStr">
        <is>
          <t>Drip Irrigation Plot</t>
        </is>
      </c>
      <c r="I59" s="44" t="inlineStr">
        <is>
          <t>Emergency Food Security Project (EFSP) – WBK/AF-2</t>
        </is>
      </c>
      <c r="J59" s="44" t="inlineStr">
        <is>
          <t>East / Jalalabad</t>
        </is>
      </c>
      <c r="K59" s="44" t="inlineStr">
        <is>
          <t>Nangarhar</t>
        </is>
      </c>
      <c r="L59" s="44" t="inlineStr">
        <is>
          <t>Sorkhrud</t>
        </is>
      </c>
      <c r="M59" s="44" t="inlineStr">
        <is>
          <t>Fatih Abad</t>
        </is>
      </c>
      <c r="N59" s="44" t="inlineStr">
        <is>
          <t>World Bank (WBK/AF-2)</t>
        </is>
      </c>
      <c r="O59" s="44" t="inlineStr">
        <is>
          <t>Not awarded</t>
        </is>
      </c>
      <c r="P59" s="44" t="inlineStr">
        <is>
          <t>5. Drip Irrigation systems</t>
        </is>
      </c>
      <c r="Q59" s="44" t="inlineStr">
        <is>
          <t>Ehsanullah</t>
        </is>
      </c>
      <c r="R59" s="44" t="inlineStr"/>
      <c r="S59" s="45" t="n">
        <v>4831.74</v>
      </c>
      <c r="T59" s="46" t="inlineStr">
        <is>
          <t>IF(AQ59="","",AQ59)</t>
        </is>
      </c>
      <c r="U59" s="47" t="n">
        <v>46380</v>
      </c>
      <c r="V59" s="48" t="n">
        <v>4.9</v>
      </c>
      <c r="W59" s="47" t="n">
        <v>46530</v>
      </c>
      <c r="X59" s="46" t="inlineStr">
        <is>
          <t>IF(W59&lt;&gt;"",W59,IF(OR(T59="",V59=""),"",EDATE(T59,V59)))</t>
        </is>
      </c>
      <c r="Y59" s="47" t="n"/>
      <c r="Z59" s="48" t="n"/>
      <c r="AA59" s="44" t="inlineStr">
        <is>
          <t>Retendered (Re-ITB)</t>
        </is>
      </c>
      <c r="AB59" s="44" t="inlineStr">
        <is>
          <t>Five month construction period. No slack period considered for Laghman and Nagrahar and two months slack period for Kunar and Nuristan. '- | Farmer: Ehsanullah</t>
        </is>
      </c>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outlineLevel="1" ht="18" customHeight="1">
      <c r="A60" s="42" t="inlineStr">
        <is>
          <t>IF(F60="","",ROW()-3)</t>
        </is>
      </c>
      <c r="B60" s="65" t="inlineStr">
        <is>
          <t>AF2-DIS-02A</t>
        </is>
      </c>
      <c r="C60"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0" s="65" t="inlineStr">
        <is>
          <t>4 of 12</t>
        </is>
      </c>
      <c r="E60" s="52" t="inlineStr">
        <is>
          <t>AF2-DIS-N-018</t>
        </is>
      </c>
      <c r="F60" s="52" t="inlineStr">
        <is>
          <t>12.Khewa Drip irrigation Site</t>
        </is>
      </c>
      <c r="G60" s="52" t="inlineStr">
        <is>
          <t>Drip Irrigation</t>
        </is>
      </c>
      <c r="H60" s="52" t="inlineStr">
        <is>
          <t>Drip Irrigation Plot</t>
        </is>
      </c>
      <c r="I60" s="52" t="inlineStr">
        <is>
          <t>Emergency Food Security Project (EFSP) – WBK/AF-2</t>
        </is>
      </c>
      <c r="J60" s="52" t="inlineStr">
        <is>
          <t>East / Jalalabad</t>
        </is>
      </c>
      <c r="K60" s="52" t="inlineStr">
        <is>
          <t>Nangarhar</t>
        </is>
      </c>
      <c r="L60" s="52" t="inlineStr">
        <is>
          <t>Khewa</t>
        </is>
      </c>
      <c r="M60" s="52" t="inlineStr">
        <is>
          <t>Sarjal</t>
        </is>
      </c>
      <c r="N60" s="52" t="inlineStr">
        <is>
          <t>World Bank (WBK/AF-2)</t>
        </is>
      </c>
      <c r="O60" s="52" t="inlineStr">
        <is>
          <t>Not awarded</t>
        </is>
      </c>
      <c r="P60" s="52" t="inlineStr">
        <is>
          <t>5. Drip Irrigation systems</t>
        </is>
      </c>
      <c r="Q60" s="52" t="inlineStr">
        <is>
          <t>Ramin</t>
        </is>
      </c>
      <c r="R60" s="52" t="inlineStr"/>
      <c r="S60" s="53" t="n">
        <v>3562.46</v>
      </c>
      <c r="T60" s="46" t="inlineStr">
        <is>
          <t>IF(AQ60="","",AQ60)</t>
        </is>
      </c>
      <c r="U60" s="54" t="n">
        <v>46380</v>
      </c>
      <c r="V60" s="55" t="n">
        <v>4.9</v>
      </c>
      <c r="W60" s="54" t="n">
        <v>46530</v>
      </c>
      <c r="X60" s="46" t="inlineStr">
        <is>
          <t>IF(W60&lt;&gt;"",W60,IF(OR(T60="",V60=""),"",EDATE(T60,V60)))</t>
        </is>
      </c>
      <c r="Y60" s="54" t="n"/>
      <c r="Z60" s="55" t="n"/>
      <c r="AA60" s="52" t="inlineStr">
        <is>
          <t>Retendered (Re-ITB)</t>
        </is>
      </c>
      <c r="AB60" s="52" t="inlineStr">
        <is>
          <t>Five month construction period. No slack period considered for Laghman and Nagrahar and two months slack period for Kunar and Nuristan. '- | Farmer: Ramin</t>
        </is>
      </c>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outlineLevel="1" ht="18" customHeight="1">
      <c r="A61" s="42" t="inlineStr">
        <is>
          <t>IF(F61="","",ROW()-3)</t>
        </is>
      </c>
      <c r="B61" s="65" t="inlineStr">
        <is>
          <t>AF2-DIS-02A</t>
        </is>
      </c>
      <c r="C61"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1" s="65" t="inlineStr">
        <is>
          <t>5 of 12</t>
        </is>
      </c>
      <c r="E61" s="44" t="inlineStr">
        <is>
          <t>AF2-DIS-N-019</t>
        </is>
      </c>
      <c r="F61" s="44" t="inlineStr">
        <is>
          <t>2. Abdul Raqib drip Irrigation Scheme</t>
        </is>
      </c>
      <c r="G61" s="44" t="inlineStr">
        <is>
          <t>Drip Irrigation</t>
        </is>
      </c>
      <c r="H61" s="44" t="inlineStr">
        <is>
          <t>Drip Irrigation Plot</t>
        </is>
      </c>
      <c r="I61" s="44" t="inlineStr">
        <is>
          <t>Emergency Food Security Project (EFSP) – WBK/AF-2</t>
        </is>
      </c>
      <c r="J61" s="44" t="inlineStr">
        <is>
          <t>East / Jalalabad</t>
        </is>
      </c>
      <c r="K61" s="44" t="inlineStr">
        <is>
          <t>Nangarhar</t>
        </is>
      </c>
      <c r="L61" s="44" t="inlineStr">
        <is>
          <t>Pacheragam</t>
        </is>
      </c>
      <c r="M61" s="44" t="inlineStr">
        <is>
          <t>Landi Khil</t>
        </is>
      </c>
      <c r="N61" s="44" t="inlineStr">
        <is>
          <t>World Bank (WBK/AF-2)</t>
        </is>
      </c>
      <c r="O61" s="44" t="inlineStr">
        <is>
          <t>Not awarded</t>
        </is>
      </c>
      <c r="P61" s="44" t="inlineStr">
        <is>
          <t>5. Drip Irrigation systems</t>
        </is>
      </c>
      <c r="Q61" s="44" t="inlineStr">
        <is>
          <t>Abdur Raqeeb</t>
        </is>
      </c>
      <c r="R61" s="44" t="inlineStr"/>
      <c r="S61" s="45" t="n"/>
      <c r="T61" s="46" t="inlineStr">
        <is>
          <t>IF(AQ61="","",AQ61)</t>
        </is>
      </c>
      <c r="U61" s="47" t="n">
        <v>46380</v>
      </c>
      <c r="V61" s="48" t="n">
        <v>4.9</v>
      </c>
      <c r="W61" s="47" t="n">
        <v>46530</v>
      </c>
      <c r="X61" s="46" t="inlineStr">
        <is>
          <t>IF(W61&lt;&gt;"",W61,IF(OR(T61="",V61=""),"",EDATE(T61,V61)))</t>
        </is>
      </c>
      <c r="Y61" s="47" t="n"/>
      <c r="Z61" s="48" t="n"/>
      <c r="AA61" s="44" t="inlineStr">
        <is>
          <t>Retendered (Re-ITB)</t>
        </is>
      </c>
      <c r="AB61" s="44" t="inlineStr">
        <is>
          <t>Five month construction period. No slack period considered for Laghman and Nagrahar and two months slack period for Kunar and Nuristan. '- | Farmer: Abdur Raqeeb</t>
        </is>
      </c>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outlineLevel="1" ht="18" customHeight="1">
      <c r="A62" s="42" t="inlineStr">
        <is>
          <t>IF(F62="","",ROW()-3)</t>
        </is>
      </c>
      <c r="B62" s="65" t="inlineStr">
        <is>
          <t>AF2-DIS-02A</t>
        </is>
      </c>
      <c r="C62"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2" s="65" t="inlineStr">
        <is>
          <t>6 of 12</t>
        </is>
      </c>
      <c r="E62" s="52" t="inlineStr">
        <is>
          <t>AF2-DIS-N-020</t>
        </is>
      </c>
      <c r="F62" s="52" t="inlineStr">
        <is>
          <t>3. Nazar Khan Drip Irrigation Scheme</t>
        </is>
      </c>
      <c r="G62" s="52" t="inlineStr">
        <is>
          <t>Drip Irrigation</t>
        </is>
      </c>
      <c r="H62" s="52" t="inlineStr">
        <is>
          <t>Drip Irrigation Plot</t>
        </is>
      </c>
      <c r="I62" s="52" t="inlineStr">
        <is>
          <t>Emergency Food Security Project (EFSP) – WBK/AF-2</t>
        </is>
      </c>
      <c r="J62" s="52" t="inlineStr">
        <is>
          <t>East / Jalalabad</t>
        </is>
      </c>
      <c r="K62" s="52" t="inlineStr">
        <is>
          <t>Nangarhar</t>
        </is>
      </c>
      <c r="L62" s="52" t="inlineStr">
        <is>
          <t>Batikot</t>
        </is>
      </c>
      <c r="M62" s="52" t="inlineStr">
        <is>
          <t>Heabat Khil</t>
        </is>
      </c>
      <c r="N62" s="52" t="inlineStr">
        <is>
          <t>World Bank (WBK/AF-2)</t>
        </is>
      </c>
      <c r="O62" s="52" t="inlineStr">
        <is>
          <t>Not awarded</t>
        </is>
      </c>
      <c r="P62" s="52" t="inlineStr">
        <is>
          <t>5. Drip Irrigation systems</t>
        </is>
      </c>
      <c r="Q62" s="52" t="inlineStr">
        <is>
          <t>Nazar Khan</t>
        </is>
      </c>
      <c r="R62" s="52" t="inlineStr"/>
      <c r="S62" s="53" t="n"/>
      <c r="T62" s="46" t="inlineStr">
        <is>
          <t>IF(AQ62="","",AQ62)</t>
        </is>
      </c>
      <c r="U62" s="54" t="n">
        <v>46380</v>
      </c>
      <c r="V62" s="55" t="n">
        <v>4.9</v>
      </c>
      <c r="W62" s="54" t="n">
        <v>46530</v>
      </c>
      <c r="X62" s="46" t="inlineStr">
        <is>
          <t>IF(W62&lt;&gt;"",W62,IF(OR(T62="",V62=""),"",EDATE(T62,V62)))</t>
        </is>
      </c>
      <c r="Y62" s="54" t="n"/>
      <c r="Z62" s="55" t="n"/>
      <c r="AA62" s="52" t="inlineStr">
        <is>
          <t>Retendered (Re-ITB)</t>
        </is>
      </c>
      <c r="AB62" s="52" t="inlineStr">
        <is>
          <t>Five month construction period. No slack period considered for Laghman and Nagrahar and two months slack period for Kunar and Nuristan. '- | Farmer: Nazar Khan</t>
        </is>
      </c>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outlineLevel="1" ht="18" customHeight="1">
      <c r="A63" s="42" t="inlineStr">
        <is>
          <t>IF(F63="","",ROW()-3)</t>
        </is>
      </c>
      <c r="B63" s="65" t="inlineStr">
        <is>
          <t>AF2-DIS-02A</t>
        </is>
      </c>
      <c r="C63"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3" s="65" t="inlineStr">
        <is>
          <t>7 of 12</t>
        </is>
      </c>
      <c r="E63" s="44" t="inlineStr">
        <is>
          <t>AF2-DIS-N-021</t>
        </is>
      </c>
      <c r="F63" s="44" t="inlineStr">
        <is>
          <t>4.Khas Kunar Drip Irrigation Scheme</t>
        </is>
      </c>
      <c r="G63" s="44" t="inlineStr">
        <is>
          <t>Drip Irrigation</t>
        </is>
      </c>
      <c r="H63" s="44" t="inlineStr">
        <is>
          <t>Drip Irrigation Plot</t>
        </is>
      </c>
      <c r="I63" s="44" t="inlineStr">
        <is>
          <t>Emergency Food Security Project (EFSP) – WBK/AF-2</t>
        </is>
      </c>
      <c r="J63" s="44" t="inlineStr">
        <is>
          <t>East / Jalalabad</t>
        </is>
      </c>
      <c r="K63" s="44" t="inlineStr">
        <is>
          <t>Kunar</t>
        </is>
      </c>
      <c r="L63" s="44" t="inlineStr">
        <is>
          <t>Khas Kunar</t>
        </is>
      </c>
      <c r="M63" s="44" t="inlineStr">
        <is>
          <t>Chanchan</t>
        </is>
      </c>
      <c r="N63" s="44" t="inlineStr">
        <is>
          <t>World Bank (WBK/AF-2)</t>
        </is>
      </c>
      <c r="O63" s="44" t="inlineStr">
        <is>
          <t>Not awarded</t>
        </is>
      </c>
      <c r="P63" s="44" t="inlineStr">
        <is>
          <t>5. Drip Irrigation systems</t>
        </is>
      </c>
      <c r="Q63" s="44" t="inlineStr">
        <is>
          <t>M. Nabi</t>
        </is>
      </c>
      <c r="R63" s="44" t="inlineStr"/>
      <c r="S63" s="45" t="n">
        <v>6935.5</v>
      </c>
      <c r="T63" s="46" t="inlineStr">
        <is>
          <t>IF(AQ63="","",AQ63)</t>
        </is>
      </c>
      <c r="U63" s="47" t="n">
        <v>46380</v>
      </c>
      <c r="V63" s="48" t="n">
        <v>4.9</v>
      </c>
      <c r="W63" s="47" t="n">
        <v>46530</v>
      </c>
      <c r="X63" s="46" t="inlineStr">
        <is>
          <t>IF(W63&lt;&gt;"",W63,IF(OR(T63="",V63=""),"",EDATE(T63,V63)))</t>
        </is>
      </c>
      <c r="Y63" s="47" t="n"/>
      <c r="Z63" s="48" t="n"/>
      <c r="AA63" s="44" t="inlineStr">
        <is>
          <t>Retendered (Re-ITB)</t>
        </is>
      </c>
      <c r="AB63" s="44" t="inlineStr">
        <is>
          <t>Five month construction period. No slack period considered for Laghman and Nagrahar and two months slack period for Kunar and Nuristan. '- | Farmer: M. Nabi</t>
        </is>
      </c>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outlineLevel="1" ht="18" customHeight="1">
      <c r="A64" s="42" t="inlineStr">
        <is>
          <t>IF(F64="","",ROW()-3)</t>
        </is>
      </c>
      <c r="B64" s="65" t="inlineStr">
        <is>
          <t>AF2-DIS-02A</t>
        </is>
      </c>
      <c r="C64"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4" s="65" t="inlineStr">
        <is>
          <t>8 of 12</t>
        </is>
      </c>
      <c r="E64" s="52" t="inlineStr">
        <is>
          <t>AF2-DIS-N-022</t>
        </is>
      </c>
      <c r="F64" s="52" t="inlineStr">
        <is>
          <t>5.Asmar Drip Irrigation Scheme</t>
        </is>
      </c>
      <c r="G64" s="52" t="inlineStr">
        <is>
          <t>Drip Irrigation</t>
        </is>
      </c>
      <c r="H64" s="52" t="inlineStr">
        <is>
          <t>Drip Irrigation Plot</t>
        </is>
      </c>
      <c r="I64" s="52" t="inlineStr">
        <is>
          <t>Emergency Food Security Project (EFSP) – WBK/AF-2</t>
        </is>
      </c>
      <c r="J64" s="52" t="inlineStr">
        <is>
          <t>East / Jalalabad</t>
        </is>
      </c>
      <c r="K64" s="52" t="inlineStr">
        <is>
          <t>Kunar</t>
        </is>
      </c>
      <c r="L64" s="52" t="inlineStr">
        <is>
          <t>Asmar</t>
        </is>
      </c>
      <c r="M64" s="52" t="inlineStr">
        <is>
          <t>Baylaye</t>
        </is>
      </c>
      <c r="N64" s="52" t="inlineStr">
        <is>
          <t>World Bank (WBK/AF-2)</t>
        </is>
      </c>
      <c r="O64" s="52" t="inlineStr">
        <is>
          <t>Not awarded</t>
        </is>
      </c>
      <c r="P64" s="52" t="inlineStr">
        <is>
          <t>5. Drip Irrigation systems</t>
        </is>
      </c>
      <c r="Q64" s="52" t="inlineStr">
        <is>
          <t>Malik Rostam</t>
        </is>
      </c>
      <c r="R64" s="52" t="inlineStr"/>
      <c r="S64" s="53" t="n">
        <v>4921.9</v>
      </c>
      <c r="T64" s="46" t="inlineStr">
        <is>
          <t>IF(AQ64="","",AQ64)</t>
        </is>
      </c>
      <c r="U64" s="54" t="n">
        <v>46380</v>
      </c>
      <c r="V64" s="55" t="n">
        <v>4.9</v>
      </c>
      <c r="W64" s="54" t="n">
        <v>46530</v>
      </c>
      <c r="X64" s="46" t="inlineStr">
        <is>
          <t>IF(W64&lt;&gt;"",W64,IF(OR(T64="",V64=""),"",EDATE(T64,V64)))</t>
        </is>
      </c>
      <c r="Y64" s="54" t="n"/>
      <c r="Z64" s="55" t="n"/>
      <c r="AA64" s="52" t="inlineStr">
        <is>
          <t>Retendered (Re-ITB)</t>
        </is>
      </c>
      <c r="AB64" s="52" t="inlineStr">
        <is>
          <t>Five month construction period. No slack period considered for Laghman and Nagrahar and two months slack period for Kunar and Nuristan. '- | Farmer: Malik Rostam</t>
        </is>
      </c>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outlineLevel="1" ht="18" customHeight="1">
      <c r="A65" s="42" t="inlineStr">
        <is>
          <t>IF(F65="","",ROW()-3)</t>
        </is>
      </c>
      <c r="B65" s="65" t="inlineStr">
        <is>
          <t>AF2-DIS-02A</t>
        </is>
      </c>
      <c r="C65"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5" s="65" t="inlineStr">
        <is>
          <t>9 of 12</t>
        </is>
      </c>
      <c r="E65" s="44" t="inlineStr">
        <is>
          <t>AF2-DIS-N-023</t>
        </is>
      </c>
      <c r="F65" s="44" t="inlineStr">
        <is>
          <t>6.Manogai Drip Irrigation Scheme</t>
        </is>
      </c>
      <c r="G65" s="44" t="inlineStr">
        <is>
          <t>Drip Irrigation</t>
        </is>
      </c>
      <c r="H65" s="44" t="inlineStr">
        <is>
          <t>Drip Irrigation Plot</t>
        </is>
      </c>
      <c r="I65" s="44" t="inlineStr">
        <is>
          <t>Emergency Food Security Project (EFSP) – WBK/AF-2</t>
        </is>
      </c>
      <c r="J65" s="44" t="inlineStr">
        <is>
          <t>East / Jalalabad</t>
        </is>
      </c>
      <c r="K65" s="44" t="inlineStr">
        <is>
          <t>Kunar</t>
        </is>
      </c>
      <c r="L65" s="44" t="inlineStr">
        <is>
          <t>Manogai</t>
        </is>
      </c>
      <c r="M65" s="44" t="inlineStr">
        <is>
          <t>Dabarzai</t>
        </is>
      </c>
      <c r="N65" s="44" t="inlineStr">
        <is>
          <t>World Bank (WBK/AF-2)</t>
        </is>
      </c>
      <c r="O65" s="44" t="inlineStr">
        <is>
          <t>Not awarded</t>
        </is>
      </c>
      <c r="P65" s="44" t="inlineStr">
        <is>
          <t>5. Drip Irrigation systems</t>
        </is>
      </c>
      <c r="Q65" s="44" t="inlineStr">
        <is>
          <t>M. Afzal</t>
        </is>
      </c>
      <c r="R65" s="44" t="inlineStr"/>
      <c r="S65" s="45" t="n">
        <v>5530.7</v>
      </c>
      <c r="T65" s="46" t="inlineStr">
        <is>
          <t>IF(AQ65="","",AQ65)</t>
        </is>
      </c>
      <c r="U65" s="47" t="n">
        <v>46380</v>
      </c>
      <c r="V65" s="48" t="n">
        <v>4.9</v>
      </c>
      <c r="W65" s="47" t="n">
        <v>46530</v>
      </c>
      <c r="X65" s="46" t="inlineStr">
        <is>
          <t>IF(W65&lt;&gt;"",W65,IF(OR(T65="",V65=""),"",EDATE(T65,V65)))</t>
        </is>
      </c>
      <c r="Y65" s="47" t="n"/>
      <c r="Z65" s="48" t="n"/>
      <c r="AA65" s="44" t="inlineStr">
        <is>
          <t>Retendered (Re-ITB)</t>
        </is>
      </c>
      <c r="AB65" s="44" t="inlineStr">
        <is>
          <t>Five month construction period. No slack period considered for Laghman and Nagrahar and two months slack period for Kunar and Nuristan. '- | Farmer: M. Afzal</t>
        </is>
      </c>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outlineLevel="1" ht="18" customHeight="1">
      <c r="A66" s="42" t="inlineStr">
        <is>
          <t>IF(F66="","",ROW()-3)</t>
        </is>
      </c>
      <c r="B66" s="65" t="inlineStr">
        <is>
          <t>AF2-DIS-02A</t>
        </is>
      </c>
      <c r="C66"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6" s="65" t="inlineStr">
        <is>
          <t>10 of 12</t>
        </is>
      </c>
      <c r="E66" s="52" t="inlineStr">
        <is>
          <t>AF2-DIS-N-024</t>
        </is>
      </c>
      <c r="F66" s="52" t="inlineStr">
        <is>
          <t>7.Kunar University Drip irrigation Scheme</t>
        </is>
      </c>
      <c r="G66" s="52" t="inlineStr">
        <is>
          <t>Drip Irrigation</t>
        </is>
      </c>
      <c r="H66" s="52" t="inlineStr">
        <is>
          <t>Drip Irrigation Plot</t>
        </is>
      </c>
      <c r="I66" s="52" t="inlineStr">
        <is>
          <t>Emergency Food Security Project (EFSP) – WBK/AF-2</t>
        </is>
      </c>
      <c r="J66" s="52" t="inlineStr">
        <is>
          <t>East / Jalalabad</t>
        </is>
      </c>
      <c r="K66" s="52" t="inlineStr">
        <is>
          <t>Kunar</t>
        </is>
      </c>
      <c r="L66" s="52" t="inlineStr">
        <is>
          <t>Asadabad</t>
        </is>
      </c>
      <c r="M66" s="52" t="inlineStr">
        <is>
          <t>Kunar University</t>
        </is>
      </c>
      <c r="N66" s="52" t="inlineStr">
        <is>
          <t>World Bank (WBK/AF-2)</t>
        </is>
      </c>
      <c r="O66" s="52" t="inlineStr">
        <is>
          <t>Not awarded</t>
        </is>
      </c>
      <c r="P66" s="52" t="inlineStr">
        <is>
          <t>5. Drip Irrigation systems</t>
        </is>
      </c>
      <c r="Q66" s="52" t="inlineStr">
        <is>
          <t>Kunar University</t>
        </is>
      </c>
      <c r="R66" s="52" t="inlineStr"/>
      <c r="S66" s="53" t="n">
        <v>4255.5</v>
      </c>
      <c r="T66" s="46" t="inlineStr">
        <is>
          <t>IF(AQ66="","",AQ66)</t>
        </is>
      </c>
      <c r="U66" s="54" t="n">
        <v>46380</v>
      </c>
      <c r="V66" s="55" t="n">
        <v>4.9</v>
      </c>
      <c r="W66" s="54" t="n">
        <v>46530</v>
      </c>
      <c r="X66" s="46" t="inlineStr">
        <is>
          <t>IF(W66&lt;&gt;"",W66,IF(OR(T66="",V66=""),"",EDATE(T66,V66)))</t>
        </is>
      </c>
      <c r="Y66" s="54" t="n"/>
      <c r="Z66" s="55" t="n"/>
      <c r="AA66" s="52" t="inlineStr">
        <is>
          <t>Retendered (Re-ITB)</t>
        </is>
      </c>
      <c r="AB66" s="52" t="inlineStr">
        <is>
          <t>Five month construction period. No slack period considered for Laghman and Nagrahar and two months slack period for Kunar and Nuristan. '- | Farmer: Kunar University</t>
        </is>
      </c>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outlineLevel="1" ht="18" customHeight="1">
      <c r="A67" s="42" t="inlineStr">
        <is>
          <t>IF(F67="","",ROW()-3)</t>
        </is>
      </c>
      <c r="B67" s="65" t="inlineStr">
        <is>
          <t>AF2-DIS-02A</t>
        </is>
      </c>
      <c r="C67"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7" s="65" t="inlineStr">
        <is>
          <t>11 of 12</t>
        </is>
      </c>
      <c r="E67" s="44" t="inlineStr">
        <is>
          <t>AF2-DIS-N-025</t>
        </is>
      </c>
      <c r="F67" s="44" t="inlineStr">
        <is>
          <t>8.Parun Drip irrigation Site</t>
        </is>
      </c>
      <c r="G67" s="44" t="inlineStr">
        <is>
          <t>Drip Irrigation</t>
        </is>
      </c>
      <c r="H67" s="44" t="inlineStr">
        <is>
          <t>Drip Irrigation Plot</t>
        </is>
      </c>
      <c r="I67" s="44" t="inlineStr">
        <is>
          <t>Emergency Food Security Project (EFSP) – WBK/AF-2</t>
        </is>
      </c>
      <c r="J67" s="44" t="inlineStr">
        <is>
          <t>East / Jalalabad</t>
        </is>
      </c>
      <c r="K67" s="44" t="inlineStr">
        <is>
          <t>Nuristan</t>
        </is>
      </c>
      <c r="L67" s="44" t="inlineStr">
        <is>
          <t>Parun</t>
        </is>
      </c>
      <c r="M67" s="44" t="inlineStr">
        <is>
          <t>Ishtivi</t>
        </is>
      </c>
      <c r="N67" s="44" t="inlineStr">
        <is>
          <t>World Bank (WBK/AF-2)</t>
        </is>
      </c>
      <c r="O67" s="44" t="inlineStr">
        <is>
          <t>Not awarded</t>
        </is>
      </c>
      <c r="P67" s="44" t="inlineStr">
        <is>
          <t>5. Drip Irrigation systems</t>
        </is>
      </c>
      <c r="Q67" s="44" t="inlineStr">
        <is>
          <t>Ehsanullah</t>
        </is>
      </c>
      <c r="R67" s="44" t="inlineStr"/>
      <c r="S67" s="45" t="n">
        <v>5725.3</v>
      </c>
      <c r="T67" s="46" t="inlineStr">
        <is>
          <t>IF(AQ67="","",AQ67)</t>
        </is>
      </c>
      <c r="U67" s="47" t="n">
        <v>46380</v>
      </c>
      <c r="V67" s="48" t="n">
        <v>4.9</v>
      </c>
      <c r="W67" s="47" t="n">
        <v>46530</v>
      </c>
      <c r="X67" s="46" t="inlineStr">
        <is>
          <t>IF(W67&lt;&gt;"",W67,IF(OR(T67="",V67=""),"",EDATE(T67,V67)))</t>
        </is>
      </c>
      <c r="Y67" s="47" t="n"/>
      <c r="Z67" s="48" t="n"/>
      <c r="AA67" s="44" t="inlineStr">
        <is>
          <t>Retendered (Re-ITB)</t>
        </is>
      </c>
      <c r="AB67" s="44" t="inlineStr">
        <is>
          <t>Five month construction period. No slack period considered for Laghman and Nagrahar and two months slack period for Kunar and Nuristan. '- | Farmer: Ehsanullah</t>
        </is>
      </c>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outlineLevel="1" ht="18" customHeight="1">
      <c r="A68" s="42" t="inlineStr">
        <is>
          <t>IF(F68="","",ROW()-3)</t>
        </is>
      </c>
      <c r="B68" s="65" t="inlineStr">
        <is>
          <t>AF2-DIS-02A</t>
        </is>
      </c>
      <c r="C6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8" s="65" t="inlineStr">
        <is>
          <t>12 of 12</t>
        </is>
      </c>
      <c r="E68" s="52" t="inlineStr">
        <is>
          <t>AF2-DIS-N-026</t>
        </is>
      </c>
      <c r="F68" s="52" t="inlineStr">
        <is>
          <t>9.Mateeullah Drip irrigation Site</t>
        </is>
      </c>
      <c r="G68" s="52" t="inlineStr">
        <is>
          <t>Drip Irrigation</t>
        </is>
      </c>
      <c r="H68" s="52" t="inlineStr">
        <is>
          <t>Drip Irrigation Plot</t>
        </is>
      </c>
      <c r="I68" s="52" t="inlineStr">
        <is>
          <t>Emergency Food Security Project (EFSP) – WBK/AF-2</t>
        </is>
      </c>
      <c r="J68" s="52" t="inlineStr">
        <is>
          <t>East / Jalalabad</t>
        </is>
      </c>
      <c r="K68" s="52" t="inlineStr">
        <is>
          <t>Nuristan</t>
        </is>
      </c>
      <c r="L68" s="52" t="inlineStr">
        <is>
          <t>Parun</t>
        </is>
      </c>
      <c r="M68" s="52" t="inlineStr">
        <is>
          <t>Pronz</t>
        </is>
      </c>
      <c r="N68" s="52" t="inlineStr">
        <is>
          <t>World Bank (WBK/AF-2)</t>
        </is>
      </c>
      <c r="O68" s="52" t="inlineStr">
        <is>
          <t>Not awarded</t>
        </is>
      </c>
      <c r="P68" s="52" t="inlineStr">
        <is>
          <t>5. Drip Irrigation systems</t>
        </is>
      </c>
      <c r="Q68" s="52" t="inlineStr">
        <is>
          <t>Mateeullah</t>
        </is>
      </c>
      <c r="R68" s="52" t="inlineStr"/>
      <c r="S68" s="53" t="n">
        <v>5216.26</v>
      </c>
      <c r="T68" s="46" t="inlineStr">
        <is>
          <t>IF(AQ68="","",AQ68)</t>
        </is>
      </c>
      <c r="U68" s="54" t="n">
        <v>46380</v>
      </c>
      <c r="V68" s="55" t="n">
        <v>4.9</v>
      </c>
      <c r="W68" s="54" t="n">
        <v>46530</v>
      </c>
      <c r="X68" s="46" t="inlineStr">
        <is>
          <t>IF(W68&lt;&gt;"",W68,IF(OR(T68="",V68=""),"",EDATE(T68,V68)))</t>
        </is>
      </c>
      <c r="Y68" s="54" t="n"/>
      <c r="Z68" s="55" t="n"/>
      <c r="AA68" s="52" t="inlineStr">
        <is>
          <t>Retendered (Re-ITB)</t>
        </is>
      </c>
      <c r="AB68" s="52" t="inlineStr">
        <is>
          <t>Five month construction period. No slack period considered for Laghman and Nagrahar and two months slack period for Kunar and Nuristan. '- | Farmer: Mateeullah</t>
        </is>
      </c>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32" t="inlineStr">
        <is>
          <t>IF(F69="","",ROW()-3)</t>
        </is>
      </c>
      <c r="B69" s="33" t="inlineStr">
        <is>
          <t>AF2-DIS-03</t>
        </is>
      </c>
      <c r="C69" s="33" t="inlineStr">
        <is>
          <t>Package #3-WBK/AF2 DIS: Demonstration of 14 Drip irrigation schemes at 13 district sites of 1. Parwan, 2. Kabul, 3. Wardak and 4. Kapisa provinces.</t>
        </is>
      </c>
      <c r="D69" s="33" t="inlineStr">
        <is>
          <t>1 of 14</t>
        </is>
      </c>
      <c r="E69" s="57" t="inlineStr">
        <is>
          <t>AF2-DIS-N-027</t>
        </is>
      </c>
      <c r="F69" s="57" t="inlineStr">
        <is>
          <t>Alberoni University Drip irrigation schemes</t>
        </is>
      </c>
      <c r="G69" s="57" t="inlineStr">
        <is>
          <t>Drip Irrigation</t>
        </is>
      </c>
      <c r="H69" s="57" t="inlineStr">
        <is>
          <t>Drip Irrigation Plot</t>
        </is>
      </c>
      <c r="I69" s="57" t="inlineStr">
        <is>
          <t>Emergency Food Security Project (EFSP) – WBK/AF-2</t>
        </is>
      </c>
      <c r="J69" s="57" t="inlineStr">
        <is>
          <t>Central / Kabul</t>
        </is>
      </c>
      <c r="K69" s="57" t="inlineStr">
        <is>
          <t>Kapisa</t>
        </is>
      </c>
      <c r="L69" s="57" t="inlineStr">
        <is>
          <t>Hesa-e- Awal Kohistan</t>
        </is>
      </c>
      <c r="M69" s="57" t="inlineStr">
        <is>
          <t>Alberoni university</t>
        </is>
      </c>
      <c r="N69" s="57" t="inlineStr">
        <is>
          <t>World Bank (WBK/AF-2)</t>
        </is>
      </c>
      <c r="O69" s="57" t="inlineStr">
        <is>
          <t>Not awarded</t>
        </is>
      </c>
      <c r="P69" s="57" t="inlineStr">
        <is>
          <t>5. Drip Irrigation systems</t>
        </is>
      </c>
      <c r="Q69" s="57" t="inlineStr">
        <is>
          <t>Alberoni University</t>
        </is>
      </c>
      <c r="R69" s="57" t="inlineStr"/>
      <c r="S69" s="58" t="n">
        <v>4250</v>
      </c>
      <c r="T69" s="36" t="inlineStr">
        <is>
          <t>IF(AQ69="","",AQ69)</t>
        </is>
      </c>
      <c r="U69" s="59" t="n">
        <v>46376</v>
      </c>
      <c r="V69" s="60" t="n">
        <v>6.3</v>
      </c>
      <c r="W69" s="59" t="n">
        <v>46568</v>
      </c>
      <c r="X69" s="36" t="inlineStr">
        <is>
          <t>IF(W69&lt;&gt;"",W69,IF(OR(T69="",V69=""),"",EDATE(T69,V69)))</t>
        </is>
      </c>
      <c r="Y69" s="59" t="n"/>
      <c r="Z69" s="60" t="n"/>
      <c r="AA69" s="57" t="inlineStr">
        <is>
          <t>Retendered (Re-ITB)</t>
        </is>
      </c>
      <c r="AB69" s="57" t="inlineStr">
        <is>
          <t>Slack period from mid December to March 2026. Four months construction period.'''- | Farmer: Alberoni University</t>
        </is>
      </c>
      <c r="AC69" s="32" t="inlineStr">
        <is>
          <t>IF(F69="","",IF(COUNT(AI69:AV69)=0,IF(AA69="","Not started",AA69),SUBSTITUTE(LOOKUP(2,1/(AI69:AV69&lt;&gt;""),$AI$3:$AV$3),"Date: ","")))</t>
        </is>
      </c>
      <c r="AD69" s="39" t="inlineStr">
        <is>
          <t>IF(OR(F69="",COUNT(AI69:AV69)=0),"",TODAY()-LOOKUP(2,1/(AI69:AV69&lt;&gt;""),AI69:AV69))</t>
        </is>
      </c>
      <c r="AE69" s="39" t="inlineStr">
        <is>
          <t>IF(OR(F69="",COUNT(AI69:AV69)&lt;2),"",LOOKUP(2,1/(AI69:AV69&lt;&gt;""),AI69:AV69)-MIN(AI69:AV69))</t>
        </is>
      </c>
      <c r="AF69" s="39" t="inlineStr">
        <is>
          <t>IF(OR(AD69="",AC69="Not started",AC69=""),"",IFERROR(AD69-IF(VLOOKUP(AC69,'06_Status_Pipeline'!$B$3:$E$20,4,FALSE)="",0,VLOOKUP(AC69,'06_Status_Pipeline'!$B$3:$E$20,4,FALSE)),""))</t>
        </is>
      </c>
      <c r="AG69" s="3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39" t="inlineStr">
        <is>
          <t>IF(OR(F69="",AC69="Completed / Handover",AC69="Cancelled"),"",IF(O69="Not awarded",IF(U69&lt;&gt;"",U69-TODAY(),IF(X69="","",X69-TODAY())),IF(X69="","",X69-TODAY())))</t>
        </is>
      </c>
      <c r="AI69" s="59" t="n"/>
      <c r="AJ69" s="59" t="n"/>
      <c r="AK69" s="59" t="n"/>
      <c r="AL69" s="59" t="n"/>
      <c r="AM69" s="59" t="n"/>
      <c r="AN69" s="59" t="n"/>
      <c r="AO69" s="59" t="n"/>
      <c r="AP69" s="59" t="n"/>
      <c r="AQ69" s="59" t="n"/>
      <c r="AR69" s="59" t="n"/>
      <c r="AS69" s="59" t="n"/>
      <c r="AT69" s="40" t="n"/>
      <c r="AU69" s="40" t="n"/>
      <c r="AV69" s="40" t="n"/>
      <c r="AW69" s="39" t="inlineStr">
        <is>
          <t>IF(OR(F69="",AJ69=""),"",IF(COUNT(AI69:AI69)=0,"",AJ69-LOOKUP(2,1/(AI69:AI69&lt;&gt;""),AI69:AI69)))</t>
        </is>
      </c>
      <c r="AX69" s="39" t="inlineStr">
        <is>
          <t>IF(OR(F69="",AK69=""),"",IF(COUNT(AI69:AJ69)=0,"",AK69-LOOKUP(2,1/(AI69:AJ69&lt;&gt;""),AI69:AJ69)))</t>
        </is>
      </c>
      <c r="AY69" s="39" t="inlineStr">
        <is>
          <t>IF(OR(F69="",AL69=""),"",IF(COUNT(AI69:AK69)=0,"",AL69-LOOKUP(2,1/(AI69:AK69&lt;&gt;""),AI69:AK69)))</t>
        </is>
      </c>
      <c r="AZ69" s="39" t="inlineStr">
        <is>
          <t>IF(OR(F69="",AM69=""),"",IF(COUNT(AI69:AL69)=0,"",AM69-LOOKUP(2,1/(AI69:AL69&lt;&gt;""),AI69:AL69)))</t>
        </is>
      </c>
      <c r="BA69" s="39" t="inlineStr">
        <is>
          <t>IF(OR(F69="",AN69=""),"",IF(COUNT(AI69:AM69)=0,"",AN69-LOOKUP(2,1/(AI69:AM69&lt;&gt;""),AI69:AM69)))</t>
        </is>
      </c>
      <c r="BB69" s="39" t="inlineStr">
        <is>
          <t>IF(OR(F69="",AO69=""),"",IF(COUNT(AI69:AN69)=0,"",AO69-LOOKUP(2,1/(AI69:AN69&lt;&gt;""),AI69:AN69)))</t>
        </is>
      </c>
      <c r="BC69" s="39" t="inlineStr">
        <is>
          <t>IF(OR(F69="",AP69=""),"",IF(COUNT(AI69:AO69)=0,"",AP69-LOOKUP(2,1/(AI69:AO69&lt;&gt;""),AI69:AO69)))</t>
        </is>
      </c>
      <c r="BD69" s="39" t="inlineStr">
        <is>
          <t>IF(OR(F69="",AQ69=""),"",IF(COUNT(AI69:AP69)=0,"",AQ69-LOOKUP(2,1/(AI69:AP69&lt;&gt;""),AI69:AP69)))</t>
        </is>
      </c>
      <c r="BE69" s="39" t="inlineStr">
        <is>
          <t>IF(OR(F69="",AR69=""),"",IF(COUNT(AI69:AQ69)=0,"",AR69-LOOKUP(2,1/(AI69:AQ69&lt;&gt;""),AI69:AQ69)))</t>
        </is>
      </c>
      <c r="BF69" s="39" t="inlineStr">
        <is>
          <t>IF(OR(F69="",AS69=""),"",IF(COUNT(AI69:AR69)=0,"",AS69-LOOKUP(2,1/(AI69:AR69&lt;&gt;""),AI69:AR69)))</t>
        </is>
      </c>
      <c r="BG69" s="39" t="inlineStr">
        <is>
          <t>IF(OR(F69="",AT69=""),"",IF(COUNT(AI69:AS69)=0,"",AT69-LOOKUP(2,1/(AI69:AS69&lt;&gt;""),AI69:AS69)))</t>
        </is>
      </c>
      <c r="BH69" s="39" t="inlineStr">
        <is>
          <t>IF(OR(F69="",AU69=""),"",IF(COUNT(AI69:AT69)=0,"",AU69-LOOKUP(2,1/(AI69:AT69&lt;&gt;""),AI69:AT69)))</t>
        </is>
      </c>
      <c r="BI69" s="39" t="inlineStr">
        <is>
          <t>IF(OR(F69="",AV69=""),"",IF(COUNT(AI69:AU69)=0,"",AV69-LOOKUP(2,1/(AI69:AU69&lt;&gt;""),AI69:AU69)))</t>
        </is>
      </c>
      <c r="BJ69" s="41" t="inlineStr">
        <is>
          <t>IF(J69="","All_Provinces",IFERROR(VLOOKUP(J69,'09_Lookups'!$A$4:$B$20,2,FALSE),"All_Provinces"))</t>
        </is>
      </c>
      <c r="BK69" s="41" t="inlineStr">
        <is>
          <t>IF(K69="","All_Districts",IFERROR(VLOOKUP(K69,'09_Lookups'!$E$4:$F$42,2,FALSE),"All_Districts"))</t>
        </is>
      </c>
    </row>
    <row r="70" outlineLevel="1" ht="18" customHeight="1">
      <c r="A70" s="42" t="inlineStr">
        <is>
          <t>IF(F70="","",ROW()-3)</t>
        </is>
      </c>
      <c r="B70" s="43" t="inlineStr">
        <is>
          <t>AF2-DIS-03</t>
        </is>
      </c>
      <c r="C70" s="43" t="inlineStr">
        <is>
          <t>Package #3-WBK/AF2 DIS: Demonstration of 14 Drip irrigation schemes at 13 district sites of 1. Parwan, 2. Kabul, 3. Wardak and 4. Kapisa provinces.</t>
        </is>
      </c>
      <c r="D70" s="43" t="inlineStr">
        <is>
          <t>2 of 14</t>
        </is>
      </c>
      <c r="E70" s="52" t="inlineStr">
        <is>
          <t>AF2-DIS-N-028</t>
        </is>
      </c>
      <c r="F70" s="52" t="inlineStr">
        <is>
          <t>Arghande Bala Drip irrigation schemes</t>
        </is>
      </c>
      <c r="G70" s="52" t="inlineStr">
        <is>
          <t>Drip Irrigation</t>
        </is>
      </c>
      <c r="H70" s="52" t="inlineStr">
        <is>
          <t>Drip Irrigation Plot</t>
        </is>
      </c>
      <c r="I70" s="52" t="inlineStr">
        <is>
          <t>Emergency Food Security Project (EFSP) – WBK/AF-2</t>
        </is>
      </c>
      <c r="J70" s="52" t="inlineStr">
        <is>
          <t>Central / Kabul</t>
        </is>
      </c>
      <c r="K70" s="52" t="inlineStr">
        <is>
          <t>Kabul</t>
        </is>
      </c>
      <c r="L70" s="52" t="inlineStr">
        <is>
          <t>Paghman</t>
        </is>
      </c>
      <c r="M70" s="52" t="inlineStr">
        <is>
          <t>Arghande bala</t>
        </is>
      </c>
      <c r="N70" s="52" t="inlineStr">
        <is>
          <t>World Bank (WBK/AF-2)</t>
        </is>
      </c>
      <c r="O70" s="52" t="inlineStr">
        <is>
          <t>Not awarded</t>
        </is>
      </c>
      <c r="P70" s="52" t="inlineStr">
        <is>
          <t>5. Drip Irrigation systems</t>
        </is>
      </c>
      <c r="Q70" s="52" t="inlineStr">
        <is>
          <t>Mohammad Yousaf</t>
        </is>
      </c>
      <c r="R70" s="52" t="inlineStr"/>
      <c r="S70" s="53" t="n">
        <v>8500</v>
      </c>
      <c r="T70" s="46" t="inlineStr">
        <is>
          <t>IF(AQ70="","",AQ70)</t>
        </is>
      </c>
      <c r="U70" s="54" t="n">
        <v>46376</v>
      </c>
      <c r="V70" s="55" t="n">
        <v>6.3</v>
      </c>
      <c r="W70" s="54" t="n">
        <v>46568</v>
      </c>
      <c r="X70" s="46" t="inlineStr">
        <is>
          <t>IF(W70&lt;&gt;"",W70,IF(OR(T70="",V70=""),"",EDATE(T70,V70)))</t>
        </is>
      </c>
      <c r="Y70" s="54" t="n"/>
      <c r="Z70" s="55" t="n"/>
      <c r="AA70" s="52" t="inlineStr">
        <is>
          <t>Retendered (Re-ITB)</t>
        </is>
      </c>
      <c r="AB70" s="52" t="inlineStr">
        <is>
          <t>Slack period from mid December to March 2026. Four months construction period.''- | Farmer: Mohammad Yousaf</t>
        </is>
      </c>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outlineLevel="1" ht="18" customHeight="1">
      <c r="A71" s="42" t="inlineStr">
        <is>
          <t>IF(F71="","",ROW()-3)</t>
        </is>
      </c>
      <c r="B71" s="43" t="inlineStr">
        <is>
          <t>AF2-DIS-03</t>
        </is>
      </c>
      <c r="C71" s="43" t="inlineStr">
        <is>
          <t>Package #3-WBK/AF2 DIS: Demonstration of 14 Drip irrigation schemes at 13 district sites of 1. Parwan, 2. Kabul, 3. Wardak and 4. Kapisa provinces.</t>
        </is>
      </c>
      <c r="D71" s="43" t="inlineStr">
        <is>
          <t>3 of 14</t>
        </is>
      </c>
      <c r="E71" s="44" t="inlineStr">
        <is>
          <t>AF2-DIS-N-029</t>
        </is>
      </c>
      <c r="F71" s="44" t="inlineStr">
        <is>
          <t>Dahan Rabat Drip irrigation schemes</t>
        </is>
      </c>
      <c r="G71" s="44" t="inlineStr">
        <is>
          <t>Drip Irrigation</t>
        </is>
      </c>
      <c r="H71" s="44" t="inlineStr">
        <is>
          <t>Drip Irrigation Plot</t>
        </is>
      </c>
      <c r="I71" s="44" t="inlineStr">
        <is>
          <t>Emergency Food Security Project (EFSP) – WBK/AF-2</t>
        </is>
      </c>
      <c r="J71" s="44" t="inlineStr">
        <is>
          <t>Central / Kabul</t>
        </is>
      </c>
      <c r="K71" s="44" t="inlineStr">
        <is>
          <t>Parwan</t>
        </is>
      </c>
      <c r="L71" s="44" t="inlineStr">
        <is>
          <t>Shikh Ali</t>
        </is>
      </c>
      <c r="M71" s="44" t="inlineStr">
        <is>
          <t>Dahan Rabat</t>
        </is>
      </c>
      <c r="N71" s="44" t="inlineStr">
        <is>
          <t>World Bank (WBK/AF-2)</t>
        </is>
      </c>
      <c r="O71" s="44" t="inlineStr">
        <is>
          <t>Not awarded</t>
        </is>
      </c>
      <c r="P71" s="44" t="inlineStr">
        <is>
          <t>5. Drip Irrigation systems</t>
        </is>
      </c>
      <c r="Q71" s="44" t="inlineStr">
        <is>
          <t>Abdullah</t>
        </is>
      </c>
      <c r="R71" s="44" t="inlineStr"/>
      <c r="S71" s="45" t="n">
        <v>4250</v>
      </c>
      <c r="T71" s="46" t="inlineStr">
        <is>
          <t>IF(AQ71="","",AQ71)</t>
        </is>
      </c>
      <c r="U71" s="47" t="n">
        <v>46371</v>
      </c>
      <c r="V71" s="48" t="n">
        <v>6.4</v>
      </c>
      <c r="W71" s="47" t="n">
        <v>46566</v>
      </c>
      <c r="X71" s="46" t="inlineStr">
        <is>
          <t>IF(W71&lt;&gt;"",W71,IF(OR(T71="",V71=""),"",EDATE(T71,V71)))</t>
        </is>
      </c>
      <c r="Y71" s="47" t="n"/>
      <c r="Z71" s="48" t="n"/>
      <c r="AA71" s="44" t="inlineStr">
        <is>
          <t>Retendered (Re-ITB)</t>
        </is>
      </c>
      <c r="AB71" s="44" t="inlineStr">
        <is>
          <t>Slack period from mid December to March 2026. Four months construction period.'- | Farmer: Abdullah</t>
        </is>
      </c>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outlineLevel="1" ht="18" customHeight="1">
      <c r="A72" s="42" t="inlineStr">
        <is>
          <t>IF(F72="","",ROW()-3)</t>
        </is>
      </c>
      <c r="B72" s="43" t="inlineStr">
        <is>
          <t>AF2-DIS-03</t>
        </is>
      </c>
      <c r="C72" s="43" t="inlineStr">
        <is>
          <t>Package #3-WBK/AF2 DIS: Demonstration of 14 Drip irrigation schemes at 13 district sites of 1. Parwan, 2. Kabul, 3. Wardak and 4. Kapisa provinces.</t>
        </is>
      </c>
      <c r="D72" s="43" t="inlineStr">
        <is>
          <t>4 of 14</t>
        </is>
      </c>
      <c r="E72" s="52" t="inlineStr">
        <is>
          <t>AF2-DIS-N-030</t>
        </is>
      </c>
      <c r="F72" s="52" t="inlineStr">
        <is>
          <t>Dasht-e- Top Drip irrigation schemes</t>
        </is>
      </c>
      <c r="G72" s="52" t="inlineStr">
        <is>
          <t>Drip Irrigation</t>
        </is>
      </c>
      <c r="H72" s="52" t="inlineStr">
        <is>
          <t>Drip Irrigation Plot</t>
        </is>
      </c>
      <c r="I72" s="52" t="inlineStr">
        <is>
          <t>Emergency Food Security Project (EFSP) – WBK/AF-2</t>
        </is>
      </c>
      <c r="J72" s="52" t="inlineStr">
        <is>
          <t>Central / Kabul</t>
        </is>
      </c>
      <c r="K72" s="52" t="inlineStr">
        <is>
          <t>Wardak</t>
        </is>
      </c>
      <c r="L72" s="52" t="inlineStr">
        <is>
          <t>Saydabad</t>
        </is>
      </c>
      <c r="M72" s="52" t="inlineStr">
        <is>
          <t>Wardak university</t>
        </is>
      </c>
      <c r="N72" s="52" t="inlineStr">
        <is>
          <t>World Bank (WBK/AF-2)</t>
        </is>
      </c>
      <c r="O72" s="52" t="inlineStr">
        <is>
          <t>Not awarded</t>
        </is>
      </c>
      <c r="P72" s="52" t="inlineStr">
        <is>
          <t>5. Drip Irrigation systems</t>
        </is>
      </c>
      <c r="Q72" s="52" t="inlineStr">
        <is>
          <t>Wardak University</t>
        </is>
      </c>
      <c r="R72" s="52" t="inlineStr"/>
      <c r="S72" s="53" t="n">
        <v>4250</v>
      </c>
      <c r="T72" s="46" t="inlineStr">
        <is>
          <t>IF(AQ72="","",AQ72)</t>
        </is>
      </c>
      <c r="U72" s="54" t="n">
        <v>46381</v>
      </c>
      <c r="V72" s="55" t="n">
        <v>6.3</v>
      </c>
      <c r="W72" s="54" t="n">
        <v>46573</v>
      </c>
      <c r="X72" s="46" t="inlineStr">
        <is>
          <t>IF(W72&lt;&gt;"",W72,IF(OR(T72="",V72=""),"",EDATE(T72,V72)))</t>
        </is>
      </c>
      <c r="Y72" s="54" t="n"/>
      <c r="Z72" s="55" t="n"/>
      <c r="AA72" s="52" t="inlineStr">
        <is>
          <t>Retendered (Re-ITB)</t>
        </is>
      </c>
      <c r="AB72" s="52" t="inlineStr">
        <is>
          <t>Slack period from mid December to March 2026. Four months construction period.''- | Farmer: Wardak University</t>
        </is>
      </c>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outlineLevel="1" ht="18" customHeight="1">
      <c r="A73" s="42" t="inlineStr">
        <is>
          <t>IF(F73="","",ROW()-3)</t>
        </is>
      </c>
      <c r="B73" s="43" t="inlineStr">
        <is>
          <t>AF2-DIS-03</t>
        </is>
      </c>
      <c r="C73" s="43" t="inlineStr">
        <is>
          <t>Package #3-WBK/AF2 DIS: Demonstration of 14 Drip irrigation schemes at 13 district sites of 1. Parwan, 2. Kabul, 3. Wardak and 4. Kapisa provinces.</t>
        </is>
      </c>
      <c r="D73" s="43" t="inlineStr">
        <is>
          <t>5 of 14</t>
        </is>
      </c>
      <c r="E73" s="44" t="inlineStr">
        <is>
          <t>AF2-DIS-N-031</t>
        </is>
      </c>
      <c r="F73" s="44" t="inlineStr">
        <is>
          <t>Durani Drip irrigation schemes</t>
        </is>
      </c>
      <c r="G73" s="44" t="inlineStr">
        <is>
          <t>Drip Irrigation</t>
        </is>
      </c>
      <c r="H73" s="44" t="inlineStr">
        <is>
          <t>Drip Irrigation Plot</t>
        </is>
      </c>
      <c r="I73" s="44" t="inlineStr">
        <is>
          <t>Emergency Food Security Project (EFSP) – WBK/AF-2</t>
        </is>
      </c>
      <c r="J73" s="44" t="inlineStr">
        <is>
          <t>Central / Kabul</t>
        </is>
      </c>
      <c r="K73" s="44" t="inlineStr">
        <is>
          <t>Wardak</t>
        </is>
      </c>
      <c r="L73" s="44" t="inlineStr">
        <is>
          <t>Nirkh</t>
        </is>
      </c>
      <c r="M73" s="44" t="inlineStr">
        <is>
          <t>Durani</t>
        </is>
      </c>
      <c r="N73" s="44" t="inlineStr">
        <is>
          <t>World Bank (WBK/AF-2)</t>
        </is>
      </c>
      <c r="O73" s="44" t="inlineStr">
        <is>
          <t>Not awarded</t>
        </is>
      </c>
      <c r="P73" s="44" t="inlineStr">
        <is>
          <t>5. Drip Irrigation systems</t>
        </is>
      </c>
      <c r="Q73" s="44" t="inlineStr">
        <is>
          <t>Fazel Rahman</t>
        </is>
      </c>
      <c r="R73" s="44" t="inlineStr"/>
      <c r="S73" s="45" t="n">
        <v>8500</v>
      </c>
      <c r="T73" s="46" t="inlineStr">
        <is>
          <t>IF(AQ73="","",AQ73)</t>
        </is>
      </c>
      <c r="U73" s="47" t="n">
        <v>46381</v>
      </c>
      <c r="V73" s="48" t="n">
        <v>6.3</v>
      </c>
      <c r="W73" s="47" t="n">
        <v>46573</v>
      </c>
      <c r="X73" s="46" t="inlineStr">
        <is>
          <t>IF(W73&lt;&gt;"",W73,IF(OR(T73="",V73=""),"",EDATE(T73,V73)))</t>
        </is>
      </c>
      <c r="Y73" s="47" t="n"/>
      <c r="Z73" s="48" t="n"/>
      <c r="AA73" s="44" t="inlineStr">
        <is>
          <t>Retendered (Re-ITB)</t>
        </is>
      </c>
      <c r="AB73" s="44" t="inlineStr">
        <is>
          <t>Slack period from mid December to March 2026. Four months construction period.''- | Farmer: Fazel Rahman</t>
        </is>
      </c>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outlineLevel="1" ht="18" customHeight="1">
      <c r="A74" s="42" t="inlineStr">
        <is>
          <t>IF(F74="","",ROW()-3)</t>
        </is>
      </c>
      <c r="B74" s="43" t="inlineStr">
        <is>
          <t>AF2-DIS-03</t>
        </is>
      </c>
      <c r="C74" s="43" t="inlineStr">
        <is>
          <t>Package #3-WBK/AF2 DIS: Demonstration of 14 Drip irrigation schemes at 13 district sites of 1. Parwan, 2. Kabul, 3. Wardak and 4. Kapisa provinces.</t>
        </is>
      </c>
      <c r="D74" s="43" t="inlineStr">
        <is>
          <t>6 of 14</t>
        </is>
      </c>
      <c r="E74" s="52" t="inlineStr">
        <is>
          <t>AF2-DIS-N-032</t>
        </is>
      </c>
      <c r="F74" s="52" t="inlineStr">
        <is>
          <t>Goga Manda Drip irrigation schemes</t>
        </is>
      </c>
      <c r="G74" s="52" t="inlineStr">
        <is>
          <t>Drip Irrigation</t>
        </is>
      </c>
      <c r="H74" s="52" t="inlineStr">
        <is>
          <t>Drip Irrigation Plot</t>
        </is>
      </c>
      <c r="I74" s="52" t="inlineStr">
        <is>
          <t>Emergency Food Security Project (EFSP) – WBK/AF-2</t>
        </is>
      </c>
      <c r="J74" s="52" t="inlineStr">
        <is>
          <t>Central / Kabul</t>
        </is>
      </c>
      <c r="K74" s="52" t="inlineStr">
        <is>
          <t>Kabul</t>
        </is>
      </c>
      <c r="L74" s="52" t="inlineStr">
        <is>
          <t>Sarobi</t>
        </is>
      </c>
      <c r="M74" s="52" t="inlineStr">
        <is>
          <t>Goga manda</t>
        </is>
      </c>
      <c r="N74" s="52" t="inlineStr">
        <is>
          <t>World Bank (WBK/AF-2)</t>
        </is>
      </c>
      <c r="O74" s="52" t="inlineStr">
        <is>
          <t>Not awarded</t>
        </is>
      </c>
      <c r="P74" s="52" t="inlineStr">
        <is>
          <t>5. Drip Irrigation systems</t>
        </is>
      </c>
      <c r="Q74" s="52" t="inlineStr">
        <is>
          <t>Hayatullah</t>
        </is>
      </c>
      <c r="R74" s="52" t="inlineStr"/>
      <c r="S74" s="53" t="n">
        <v>4250</v>
      </c>
      <c r="T74" s="46" t="inlineStr">
        <is>
          <t>IF(AQ74="","",AQ74)</t>
        </is>
      </c>
      <c r="U74" s="54" t="n">
        <v>46376</v>
      </c>
      <c r="V74" s="55" t="n">
        <v>6.3</v>
      </c>
      <c r="W74" s="54" t="n">
        <v>46568</v>
      </c>
      <c r="X74" s="46" t="inlineStr">
        <is>
          <t>IF(W74&lt;&gt;"",W74,IF(OR(T74="",V74=""),"",EDATE(T74,V74)))</t>
        </is>
      </c>
      <c r="Y74" s="54" t="n"/>
      <c r="Z74" s="55" t="n"/>
      <c r="AA74" s="52" t="inlineStr">
        <is>
          <t>Retendered (Re-ITB)</t>
        </is>
      </c>
      <c r="AB74" s="52" t="inlineStr">
        <is>
          <t>Slack period from mid December to March 2026. Four months construction period.''- | Farmer: Hayatullah</t>
        </is>
      </c>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outlineLevel="1" ht="18" customHeight="1">
      <c r="A75" s="42" t="inlineStr">
        <is>
          <t>IF(F75="","",ROW()-3)</t>
        </is>
      </c>
      <c r="B75" s="43" t="inlineStr">
        <is>
          <t>AF2-DIS-03</t>
        </is>
      </c>
      <c r="C75" s="43" t="inlineStr">
        <is>
          <t>Package #3-WBK/AF2 DIS: Demonstration of 14 Drip irrigation schemes at 13 district sites of 1. Parwan, 2. Kabul, 3. Wardak and 4. Kapisa provinces.</t>
        </is>
      </c>
      <c r="D75" s="43" t="inlineStr">
        <is>
          <t>7 of 14</t>
        </is>
      </c>
      <c r="E75" s="44" t="inlineStr">
        <is>
          <t>AF2-DIS-N-033</t>
        </is>
      </c>
      <c r="F75" s="44" t="inlineStr">
        <is>
          <t>Khar Drip irrigation schemes</t>
        </is>
      </c>
      <c r="G75" s="44" t="inlineStr">
        <is>
          <t>Drip Irrigation</t>
        </is>
      </c>
      <c r="H75" s="44" t="inlineStr">
        <is>
          <t>Drip Irrigation Plot</t>
        </is>
      </c>
      <c r="I75" s="44" t="inlineStr">
        <is>
          <t>Emergency Food Security Project (EFSP) – WBK/AF-2</t>
        </is>
      </c>
      <c r="J75" s="44" t="inlineStr">
        <is>
          <t>Central / Kabul</t>
        </is>
      </c>
      <c r="K75" s="44" t="inlineStr">
        <is>
          <t>Wardak</t>
        </is>
      </c>
      <c r="L75" s="44" t="inlineStr">
        <is>
          <t>Jaghatu</t>
        </is>
      </c>
      <c r="M75" s="44" t="inlineStr">
        <is>
          <t>Khar</t>
        </is>
      </c>
      <c r="N75" s="44" t="inlineStr">
        <is>
          <t>World Bank (WBK/AF-2)</t>
        </is>
      </c>
      <c r="O75" s="44" t="inlineStr">
        <is>
          <t>Not awarded</t>
        </is>
      </c>
      <c r="P75" s="44" t="inlineStr">
        <is>
          <t>5. Drip Irrigation systems</t>
        </is>
      </c>
      <c r="Q75" s="44" t="inlineStr">
        <is>
          <t>Mohammad Akbar</t>
        </is>
      </c>
      <c r="R75" s="44" t="inlineStr"/>
      <c r="S75" s="45" t="n">
        <v>8500</v>
      </c>
      <c r="T75" s="46" t="inlineStr">
        <is>
          <t>IF(AQ75="","",AQ75)</t>
        </is>
      </c>
      <c r="U75" s="47" t="n">
        <v>46381</v>
      </c>
      <c r="V75" s="48" t="n">
        <v>6.3</v>
      </c>
      <c r="W75" s="47" t="n">
        <v>46573</v>
      </c>
      <c r="X75" s="46" t="inlineStr">
        <is>
          <t>IF(W75&lt;&gt;"",W75,IF(OR(T75="",V75=""),"",EDATE(T75,V75)))</t>
        </is>
      </c>
      <c r="Y75" s="47" t="n"/>
      <c r="Z75" s="48" t="n"/>
      <c r="AA75" s="44" t="inlineStr">
        <is>
          <t>Retendered (Re-ITB)</t>
        </is>
      </c>
      <c r="AB75" s="44" t="inlineStr">
        <is>
          <t>Slack period from mid December to March 2026. Four months construction period.''- | Farmer: Mohammad Akbar</t>
        </is>
      </c>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outlineLevel="1" ht="18" customHeight="1">
      <c r="A76" s="42" t="inlineStr">
        <is>
          <t>IF(F76="","",ROW()-3)</t>
        </is>
      </c>
      <c r="B76" s="43" t="inlineStr">
        <is>
          <t>AF2-DIS-03</t>
        </is>
      </c>
      <c r="C76" s="43" t="inlineStr">
        <is>
          <t>Package #3-WBK/AF2 DIS: Demonstration of 14 Drip irrigation schemes at 13 district sites of 1. Parwan, 2. Kabul, 3. Wardak and 4. Kapisa provinces.</t>
        </is>
      </c>
      <c r="D76" s="43" t="inlineStr">
        <is>
          <t>8 of 14</t>
        </is>
      </c>
      <c r="E76" s="52" t="inlineStr">
        <is>
          <t>AF2-DIS-N-034</t>
        </is>
      </c>
      <c r="F76" s="52" t="inlineStr">
        <is>
          <t>Lolenj Drip irrigation schemes</t>
        </is>
      </c>
      <c r="G76" s="52" t="inlineStr">
        <is>
          <t>Drip Irrigation</t>
        </is>
      </c>
      <c r="H76" s="52" t="inlineStr">
        <is>
          <t>Drip Irrigation Plot</t>
        </is>
      </c>
      <c r="I76" s="52" t="inlineStr">
        <is>
          <t>Emergency Food Security Project (EFSP) – WBK/AF-2</t>
        </is>
      </c>
      <c r="J76" s="52" t="inlineStr">
        <is>
          <t>Central / Kabul</t>
        </is>
      </c>
      <c r="K76" s="52" t="inlineStr">
        <is>
          <t>Parwan</t>
        </is>
      </c>
      <c r="L76" s="52" t="inlineStr">
        <is>
          <t>Surkh Parsa</t>
        </is>
      </c>
      <c r="M76" s="52" t="inlineStr">
        <is>
          <t>Lolenj</t>
        </is>
      </c>
      <c r="N76" s="52" t="inlineStr">
        <is>
          <t>World Bank (WBK/AF-2)</t>
        </is>
      </c>
      <c r="O76" s="52" t="inlineStr">
        <is>
          <t>Not awarded</t>
        </is>
      </c>
      <c r="P76" s="52" t="inlineStr">
        <is>
          <t>5. Drip Irrigation systems</t>
        </is>
      </c>
      <c r="Q76" s="52" t="inlineStr">
        <is>
          <t>Ghulam Haider Shah</t>
        </is>
      </c>
      <c r="R76" s="52" t="inlineStr"/>
      <c r="S76" s="53" t="n">
        <v>8500</v>
      </c>
      <c r="T76" s="46" t="inlineStr">
        <is>
          <t>IF(AQ76="","",AQ76)</t>
        </is>
      </c>
      <c r="U76" s="54" t="n">
        <v>46371</v>
      </c>
      <c r="V76" s="55" t="n">
        <v>6.4</v>
      </c>
      <c r="W76" s="54" t="n">
        <v>46566</v>
      </c>
      <c r="X76" s="46" t="inlineStr">
        <is>
          <t>IF(W76&lt;&gt;"",W76,IF(OR(T76="",V76=""),"",EDATE(T76,V76)))</t>
        </is>
      </c>
      <c r="Y76" s="54" t="n"/>
      <c r="Z76" s="55" t="n"/>
      <c r="AA76" s="52" t="inlineStr">
        <is>
          <t>Retendered (Re-ITB)</t>
        </is>
      </c>
      <c r="AB76" s="52" t="inlineStr">
        <is>
          <t>Slack period from mid December to March 2026. Four months construction period.'- | Farmer: Ghulam Haider Shah</t>
        </is>
      </c>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outlineLevel="1" ht="18" customHeight="1">
      <c r="A77" s="42" t="inlineStr">
        <is>
          <t>IF(F77="","",ROW()-3)</t>
        </is>
      </c>
      <c r="B77" s="43" t="inlineStr">
        <is>
          <t>AF2-DIS-03</t>
        </is>
      </c>
      <c r="C77" s="43" t="inlineStr">
        <is>
          <t>Package #3-WBK/AF2 DIS: Demonstration of 14 Drip irrigation schemes at 13 district sites of 1. Parwan, 2. Kabul, 3. Wardak and 4. Kapisa provinces.</t>
        </is>
      </c>
      <c r="D77" s="43" t="inlineStr">
        <is>
          <t>9 of 14</t>
        </is>
      </c>
      <c r="E77" s="44" t="inlineStr">
        <is>
          <t>AF2-DIS-N-035</t>
        </is>
      </c>
      <c r="F77" s="44" t="inlineStr">
        <is>
          <t>Madad Drip irrigation schemes</t>
        </is>
      </c>
      <c r="G77" s="44" t="inlineStr">
        <is>
          <t>Drip Irrigation</t>
        </is>
      </c>
      <c r="H77" s="44" t="inlineStr">
        <is>
          <t>Drip Irrigation Plot</t>
        </is>
      </c>
      <c r="I77" s="44" t="inlineStr">
        <is>
          <t>Emergency Food Security Project (EFSP) – WBK/AF-2</t>
        </is>
      </c>
      <c r="J77" s="44" t="inlineStr">
        <is>
          <t>Central / Kabul</t>
        </is>
      </c>
      <c r="K77" s="44" t="inlineStr">
        <is>
          <t>Wardak</t>
        </is>
      </c>
      <c r="L77" s="44" t="inlineStr">
        <is>
          <t>Chack</t>
        </is>
      </c>
      <c r="M77" s="44" t="inlineStr">
        <is>
          <t>Madad</t>
        </is>
      </c>
      <c r="N77" s="44" t="inlineStr">
        <is>
          <t>World Bank (WBK/AF-2)</t>
        </is>
      </c>
      <c r="O77" s="44" t="inlineStr">
        <is>
          <t>Not awarded</t>
        </is>
      </c>
      <c r="P77" s="44" t="inlineStr">
        <is>
          <t>5. Drip Irrigation systems</t>
        </is>
      </c>
      <c r="Q77" s="44" t="inlineStr">
        <is>
          <t>Mohammad Qasim</t>
        </is>
      </c>
      <c r="R77" s="44" t="inlineStr"/>
      <c r="S77" s="45" t="n">
        <v>4250</v>
      </c>
      <c r="T77" s="46" t="inlineStr">
        <is>
          <t>IF(AQ77="","",AQ77)</t>
        </is>
      </c>
      <c r="U77" s="47" t="n">
        <v>46381</v>
      </c>
      <c r="V77" s="48" t="n">
        <v>6.3</v>
      </c>
      <c r="W77" s="47" t="n">
        <v>46573</v>
      </c>
      <c r="X77" s="46" t="inlineStr">
        <is>
          <t>IF(W77&lt;&gt;"",W77,IF(OR(T77="",V77=""),"",EDATE(T77,V77)))</t>
        </is>
      </c>
      <c r="Y77" s="47" t="n"/>
      <c r="Z77" s="48" t="n"/>
      <c r="AA77" s="44" t="inlineStr">
        <is>
          <t>Retendered (Re-ITB)</t>
        </is>
      </c>
      <c r="AB77" s="44" t="inlineStr">
        <is>
          <t>Slack period from mid December to March 2026. Four months construction period.''- | Farmer: Mohammad Qasim</t>
        </is>
      </c>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outlineLevel="1" ht="18" customHeight="1">
      <c r="A78" s="42" t="inlineStr">
        <is>
          <t>IF(F78="","",ROW()-3)</t>
        </is>
      </c>
      <c r="B78" s="43" t="inlineStr">
        <is>
          <t>AF2-DIS-03</t>
        </is>
      </c>
      <c r="C78" s="43" t="inlineStr">
        <is>
          <t>Package #3-WBK/AF2 DIS: Demonstration of 14 Drip irrigation schemes at 13 district sites of 1. Parwan, 2. Kabul, 3. Wardak and 4. Kapisa provinces.</t>
        </is>
      </c>
      <c r="D78" s="43" t="inlineStr">
        <is>
          <t>10 of 14</t>
        </is>
      </c>
      <c r="E78" s="52" t="inlineStr">
        <is>
          <t>AF2-DIS-N-036</t>
        </is>
      </c>
      <c r="F78" s="52" t="inlineStr">
        <is>
          <t>Nizam Khil Drip irrigation schemes</t>
        </is>
      </c>
      <c r="G78" s="52" t="inlineStr">
        <is>
          <t>Drip Irrigation</t>
        </is>
      </c>
      <c r="H78" s="52" t="inlineStr">
        <is>
          <t>Drip Irrigation Plot</t>
        </is>
      </c>
      <c r="I78" s="52" t="inlineStr">
        <is>
          <t>Emergency Food Security Project (EFSP) – WBK/AF-2</t>
        </is>
      </c>
      <c r="J78" s="52" t="inlineStr">
        <is>
          <t>Central / Kabul</t>
        </is>
      </c>
      <c r="K78" s="52" t="inlineStr">
        <is>
          <t>Kapisa</t>
        </is>
      </c>
      <c r="L78" s="52" t="inlineStr">
        <is>
          <t>Tagab</t>
        </is>
      </c>
      <c r="M78" s="52" t="inlineStr">
        <is>
          <t>Nizam khil</t>
        </is>
      </c>
      <c r="N78" s="52" t="inlineStr">
        <is>
          <t>World Bank (WBK/AF-2)</t>
        </is>
      </c>
      <c r="O78" s="52" t="inlineStr">
        <is>
          <t>Not awarded</t>
        </is>
      </c>
      <c r="P78" s="52" t="inlineStr">
        <is>
          <t>5. Drip Irrigation systems</t>
        </is>
      </c>
      <c r="Q78" s="52" t="inlineStr">
        <is>
          <t>Najeebullah</t>
        </is>
      </c>
      <c r="R78" s="52" t="inlineStr"/>
      <c r="S78" s="53" t="n">
        <v>4250</v>
      </c>
      <c r="T78" s="46" t="inlineStr">
        <is>
          <t>IF(AQ78="","",AQ78)</t>
        </is>
      </c>
      <c r="U78" s="54" t="n">
        <v>46376</v>
      </c>
      <c r="V78" s="55" t="n">
        <v>6.3</v>
      </c>
      <c r="W78" s="54" t="n">
        <v>46568</v>
      </c>
      <c r="X78" s="46" t="inlineStr">
        <is>
          <t>IF(W78&lt;&gt;"",W78,IF(OR(T78="",V78=""),"",EDATE(T78,V78)))</t>
        </is>
      </c>
      <c r="Y78" s="54" t="n"/>
      <c r="Z78" s="55" t="n"/>
      <c r="AA78" s="52" t="inlineStr">
        <is>
          <t>Retendered (Re-ITB)</t>
        </is>
      </c>
      <c r="AB78" s="52" t="inlineStr">
        <is>
          <t>Slack period from mid December to March 2026. Four months construction period.'''- | Farmer: Najeebullah</t>
        </is>
      </c>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outlineLevel="1" ht="18" customHeight="1">
      <c r="A79" s="42" t="inlineStr">
        <is>
          <t>IF(F79="","",ROW()-3)</t>
        </is>
      </c>
      <c r="B79" s="43" t="inlineStr">
        <is>
          <t>AF2-DIS-03</t>
        </is>
      </c>
      <c r="C79" s="43" t="inlineStr">
        <is>
          <t>Package #3-WBK/AF2 DIS: Demonstration of 14 Drip irrigation schemes at 13 district sites of 1. Parwan, 2. Kabul, 3. Wardak and 4. Kapisa provinces.</t>
        </is>
      </c>
      <c r="D79" s="43" t="inlineStr">
        <is>
          <t>11 of 14</t>
        </is>
      </c>
      <c r="E79" s="44" t="inlineStr">
        <is>
          <t>AF2-DIS-N-037</t>
        </is>
      </c>
      <c r="F79" s="44" t="inlineStr">
        <is>
          <t>Qafas Qala Drip irrigation schemes</t>
        </is>
      </c>
      <c r="G79" s="44" t="inlineStr">
        <is>
          <t>Drip Irrigation</t>
        </is>
      </c>
      <c r="H79" s="44" t="inlineStr">
        <is>
          <t>Drip Irrigation Plot</t>
        </is>
      </c>
      <c r="I79" s="44" t="inlineStr">
        <is>
          <t>Emergency Food Security Project (EFSP) – WBK/AF-2</t>
        </is>
      </c>
      <c r="J79" s="44" t="inlineStr">
        <is>
          <t>Central / Kabul</t>
        </is>
      </c>
      <c r="K79" s="44" t="inlineStr">
        <is>
          <t>Kabul</t>
        </is>
      </c>
      <c r="L79" s="44" t="inlineStr">
        <is>
          <t>Khak-e-Jabar</t>
        </is>
      </c>
      <c r="M79" s="44" t="inlineStr">
        <is>
          <t>Qafas Qala</t>
        </is>
      </c>
      <c r="N79" s="44" t="inlineStr">
        <is>
          <t>World Bank (WBK/AF-2)</t>
        </is>
      </c>
      <c r="O79" s="44" t="inlineStr">
        <is>
          <t>Not awarded</t>
        </is>
      </c>
      <c r="P79" s="44" t="inlineStr">
        <is>
          <t>5. Drip Irrigation systems</t>
        </is>
      </c>
      <c r="Q79" s="44" t="inlineStr">
        <is>
          <t>Jalal</t>
        </is>
      </c>
      <c r="R79" s="44" t="inlineStr"/>
      <c r="S79" s="45" t="n">
        <v>8500</v>
      </c>
      <c r="T79" s="46" t="inlineStr">
        <is>
          <t>IF(AQ79="","",AQ79)</t>
        </is>
      </c>
      <c r="U79" s="47" t="n">
        <v>46376</v>
      </c>
      <c r="V79" s="48" t="n">
        <v>6.3</v>
      </c>
      <c r="W79" s="47" t="n">
        <v>46568</v>
      </c>
      <c r="X79" s="46" t="inlineStr">
        <is>
          <t>IF(W79&lt;&gt;"",W79,IF(OR(T79="",V79=""),"",EDATE(T79,V79)))</t>
        </is>
      </c>
      <c r="Y79" s="47" t="n"/>
      <c r="Z79" s="48" t="n"/>
      <c r="AA79" s="44" t="inlineStr">
        <is>
          <t>Retendered (Re-ITB)</t>
        </is>
      </c>
      <c r="AB79" s="44" t="inlineStr">
        <is>
          <t>Slack period from mid December to March 2026. Four months construction period.''- | Farmer: Jalal</t>
        </is>
      </c>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outlineLevel="1" ht="18" customHeight="1">
      <c r="A80" s="42" t="inlineStr">
        <is>
          <t>IF(F80="","",ROW()-3)</t>
        </is>
      </c>
      <c r="B80" s="43" t="inlineStr">
        <is>
          <t>AF2-DIS-03</t>
        </is>
      </c>
      <c r="C80" s="43" t="inlineStr">
        <is>
          <t>Package #3-WBK/AF2 DIS: Demonstration of 14 Drip irrigation schemes at 13 district sites of 1. Parwan, 2. Kabul, 3. Wardak and 4. Kapisa provinces.</t>
        </is>
      </c>
      <c r="D80" s="43" t="inlineStr">
        <is>
          <t>12 of 14</t>
        </is>
      </c>
      <c r="E80" s="52" t="inlineStr">
        <is>
          <t>AF2-DIS-N-038</t>
        </is>
      </c>
      <c r="F80" s="52" t="inlineStr">
        <is>
          <t>Qala-e- Nasro Drip irrigation schemes</t>
        </is>
      </c>
      <c r="G80" s="52" t="inlineStr">
        <is>
          <t>Drip Irrigation</t>
        </is>
      </c>
      <c r="H80" s="52" t="inlineStr">
        <is>
          <t>Drip Irrigation Plot</t>
        </is>
      </c>
      <c r="I80" s="52" t="inlineStr">
        <is>
          <t>Emergency Food Security Project (EFSP) – WBK/AF-2</t>
        </is>
      </c>
      <c r="J80" s="52" t="inlineStr">
        <is>
          <t>Central / Kabul</t>
        </is>
      </c>
      <c r="K80" s="52" t="inlineStr">
        <is>
          <t>Parwan</t>
        </is>
      </c>
      <c r="L80" s="52" t="inlineStr">
        <is>
          <t>Bagram</t>
        </is>
      </c>
      <c r="M80" s="52" t="inlineStr">
        <is>
          <t>Qala-e- Nasro</t>
        </is>
      </c>
      <c r="N80" s="52" t="inlineStr">
        <is>
          <t>World Bank (WBK/AF-2)</t>
        </is>
      </c>
      <c r="O80" s="52" t="inlineStr">
        <is>
          <t>Not awarded</t>
        </is>
      </c>
      <c r="P80" s="52" t="inlineStr">
        <is>
          <t>5. Drip Irrigation systems</t>
        </is>
      </c>
      <c r="Q80" s="52" t="inlineStr">
        <is>
          <t>Mohammad Waseem</t>
        </is>
      </c>
      <c r="R80" s="52" t="inlineStr"/>
      <c r="S80" s="53" t="n">
        <v>4250</v>
      </c>
      <c r="T80" s="46" t="inlineStr">
        <is>
          <t>IF(AQ80="","",AQ80)</t>
        </is>
      </c>
      <c r="U80" s="54" t="n">
        <v>46371</v>
      </c>
      <c r="V80" s="55" t="n">
        <v>6.4</v>
      </c>
      <c r="W80" s="54" t="n">
        <v>46566</v>
      </c>
      <c r="X80" s="46" t="inlineStr">
        <is>
          <t>IF(W80&lt;&gt;"",W80,IF(OR(T80="",V80=""),"",EDATE(T80,V80)))</t>
        </is>
      </c>
      <c r="Y80" s="54" t="n"/>
      <c r="Z80" s="55" t="n"/>
      <c r="AA80" s="52" t="inlineStr">
        <is>
          <t>Retendered (Re-ITB)</t>
        </is>
      </c>
      <c r="AB80" s="52" t="inlineStr">
        <is>
          <t>Slack period from mid December to March 2026. Four months construction period.'- | Farmer: Mohammad Waseem</t>
        </is>
      </c>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outlineLevel="1" ht="18" customHeight="1">
      <c r="A81" s="42" t="inlineStr">
        <is>
          <t>IF(F81="","",ROW()-3)</t>
        </is>
      </c>
      <c r="B81" s="43" t="inlineStr">
        <is>
          <t>AF2-DIS-03</t>
        </is>
      </c>
      <c r="C81" s="43" t="inlineStr">
        <is>
          <t>Package #3-WBK/AF2 DIS: Demonstration of 14 Drip irrigation schemes at 13 district sites of 1. Parwan, 2. Kabul, 3. Wardak and 4. Kapisa provinces.</t>
        </is>
      </c>
      <c r="D81" s="43" t="inlineStr">
        <is>
          <t>13 of 14</t>
        </is>
      </c>
      <c r="E81" s="44" t="inlineStr">
        <is>
          <t>AF2-DIS-N-039</t>
        </is>
      </c>
      <c r="F81" s="44" t="inlineStr">
        <is>
          <t>Reg-e-Rawan Drip irrigation schemes</t>
        </is>
      </c>
      <c r="G81" s="44" t="inlineStr">
        <is>
          <t>Drip Irrigation</t>
        </is>
      </c>
      <c r="H81" s="44" t="inlineStr">
        <is>
          <t>Drip Irrigation Plot</t>
        </is>
      </c>
      <c r="I81" s="44" t="inlineStr">
        <is>
          <t>Emergency Food Security Project (EFSP) – WBK/AF-2</t>
        </is>
      </c>
      <c r="J81" s="44" t="inlineStr">
        <is>
          <t>Central / Kabul</t>
        </is>
      </c>
      <c r="K81" s="44" t="inlineStr">
        <is>
          <t>Kapisa</t>
        </is>
      </c>
      <c r="L81" s="44" t="inlineStr">
        <is>
          <t>Mahmood Raqi</t>
        </is>
      </c>
      <c r="M81" s="44" t="inlineStr">
        <is>
          <t>Reg-e-Rawan</t>
        </is>
      </c>
      <c r="N81" s="44" t="inlineStr">
        <is>
          <t>World Bank (WBK/AF-2)</t>
        </is>
      </c>
      <c r="O81" s="44" t="inlineStr">
        <is>
          <t>Not awarded</t>
        </is>
      </c>
      <c r="P81" s="44" t="inlineStr">
        <is>
          <t>5. Drip Irrigation systems</t>
        </is>
      </c>
      <c r="Q81" s="44" t="inlineStr">
        <is>
          <t>Reg-e-Rawa park</t>
        </is>
      </c>
      <c r="R81" s="44" t="inlineStr"/>
      <c r="S81" s="45" t="n">
        <v>8500</v>
      </c>
      <c r="T81" s="46" t="inlineStr">
        <is>
          <t>IF(AQ81="","",AQ81)</t>
        </is>
      </c>
      <c r="U81" s="47" t="n">
        <v>46376</v>
      </c>
      <c r="V81" s="48" t="n">
        <v>6.3</v>
      </c>
      <c r="W81" s="47" t="n">
        <v>46568</v>
      </c>
      <c r="X81" s="46" t="inlineStr">
        <is>
          <t>IF(W81&lt;&gt;"",W81,IF(OR(T81="",V81=""),"",EDATE(T81,V81)))</t>
        </is>
      </c>
      <c r="Y81" s="47" t="n"/>
      <c r="Z81" s="48" t="n"/>
      <c r="AA81" s="44" t="inlineStr">
        <is>
          <t>Retendered (Re-ITB)</t>
        </is>
      </c>
      <c r="AB81" s="44" t="inlineStr">
        <is>
          <t>Slack period from mid December to March 2026. Four months construction period.'''- | Farmer: Reg-e-Rawa park</t>
        </is>
      </c>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outlineLevel="1" ht="18" customHeight="1">
      <c r="A82" s="42" t="inlineStr">
        <is>
          <t>IF(F82="","",ROW()-3)</t>
        </is>
      </c>
      <c r="B82" s="43" t="inlineStr">
        <is>
          <t>AF2-DIS-03</t>
        </is>
      </c>
      <c r="C82" s="43" t="inlineStr">
        <is>
          <t>Package #3-WBK/AF2 DIS: Demonstration of 14 Drip irrigation schemes at 13 district sites of 1. Parwan, 2. Kabul, 3. Wardak and 4. Kapisa provinces.</t>
        </is>
      </c>
      <c r="D82" s="43" t="inlineStr">
        <is>
          <t>14 of 14</t>
        </is>
      </c>
      <c r="E82" s="52" t="inlineStr">
        <is>
          <t>AF2-DIS-N-040</t>
        </is>
      </c>
      <c r="F82" s="52" t="inlineStr">
        <is>
          <t>Zar Shakh Drip irrigation schemes</t>
        </is>
      </c>
      <c r="G82" s="52" t="inlineStr">
        <is>
          <t>Drip Irrigation</t>
        </is>
      </c>
      <c r="H82" s="52" t="inlineStr">
        <is>
          <t>Drip Irrigation Plot</t>
        </is>
      </c>
      <c r="I82" s="52" t="inlineStr">
        <is>
          <t>Emergency Food Security Project (EFSP) – WBK/AF-2</t>
        </is>
      </c>
      <c r="J82" s="52" t="inlineStr">
        <is>
          <t>Central / Kabul</t>
        </is>
      </c>
      <c r="K82" s="52" t="inlineStr">
        <is>
          <t>Kabul</t>
        </is>
      </c>
      <c r="L82" s="52" t="inlineStr">
        <is>
          <t>Paghman</t>
        </is>
      </c>
      <c r="M82" s="52" t="inlineStr">
        <is>
          <t>Zar Shakh</t>
        </is>
      </c>
      <c r="N82" s="52" t="inlineStr">
        <is>
          <t>World Bank (WBK/AF-2)</t>
        </is>
      </c>
      <c r="O82" s="52" t="inlineStr">
        <is>
          <t>Not awarded</t>
        </is>
      </c>
      <c r="P82" s="52" t="inlineStr">
        <is>
          <t>5. Drip Irrigation systems</t>
        </is>
      </c>
      <c r="Q82" s="52" t="inlineStr">
        <is>
          <t>Khairullah Zia</t>
        </is>
      </c>
      <c r="R82" s="52" t="inlineStr"/>
      <c r="S82" s="53" t="n">
        <v>4250</v>
      </c>
      <c r="T82" s="46" t="inlineStr">
        <is>
          <t>IF(AQ82="","",AQ82)</t>
        </is>
      </c>
      <c r="U82" s="54" t="n">
        <v>46376</v>
      </c>
      <c r="V82" s="55" t="n">
        <v>6.3</v>
      </c>
      <c r="W82" s="54" t="n">
        <v>46568</v>
      </c>
      <c r="X82" s="46" t="inlineStr">
        <is>
          <t>IF(W82&lt;&gt;"",W82,IF(OR(T82="",V82=""),"",EDATE(T82,V82)))</t>
        </is>
      </c>
      <c r="Y82" s="54" t="n"/>
      <c r="Z82" s="55" t="n"/>
      <c r="AA82" s="52" t="inlineStr">
        <is>
          <t>Retendered (Re-ITB)</t>
        </is>
      </c>
      <c r="AB82" s="52" t="inlineStr">
        <is>
          <t>Slack period from mid December to March 2026. Four months construction period.''- | Farmer: Khairullah Zia</t>
        </is>
      </c>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32" t="inlineStr">
        <is>
          <t>IF(F83="","",ROW()-3)</t>
        </is>
      </c>
      <c r="B83" s="56" t="inlineStr">
        <is>
          <t>AF2-DIS-04</t>
        </is>
      </c>
      <c r="C83" s="56" t="inlineStr">
        <is>
          <t>Package #4-WBK/AF2 DIS: Demonstration of 12 Drip irrigation schemes at 4 district sites of 1. Miramor, 2. Shahristan, 3.Nilli, and 4.Sayghan in Daykundi and Bamyan provinces</t>
        </is>
      </c>
      <c r="D83" s="56" t="inlineStr">
        <is>
          <t>1 of 12</t>
        </is>
      </c>
      <c r="E83" s="57" t="inlineStr">
        <is>
          <t>AF2-DIS-N-041</t>
        </is>
      </c>
      <c r="F83" s="57" t="inlineStr">
        <is>
          <t>Bagh Drip Irrigation System</t>
        </is>
      </c>
      <c r="G83" s="57" t="inlineStr">
        <is>
          <t>Drip Irrigation</t>
        </is>
      </c>
      <c r="H83" s="57" t="inlineStr">
        <is>
          <t>Drip Irrigation Plot</t>
        </is>
      </c>
      <c r="I83" s="57" t="inlineStr">
        <is>
          <t>Emergency Food Security Project (EFSP) – WBK/AF-2</t>
        </is>
      </c>
      <c r="J83" s="57" t="inlineStr">
        <is>
          <t>Central Highland / Bamyan</t>
        </is>
      </c>
      <c r="K83" s="57" t="inlineStr">
        <is>
          <t>Daykundi</t>
        </is>
      </c>
      <c r="L83" s="57" t="inlineStr">
        <is>
          <t>Miramor</t>
        </is>
      </c>
      <c r="M83" s="57" t="inlineStr">
        <is>
          <t>Bagh</t>
        </is>
      </c>
      <c r="N83" s="57" t="inlineStr">
        <is>
          <t>World Bank (WBK/AF-2)</t>
        </is>
      </c>
      <c r="O83" s="57" t="inlineStr">
        <is>
          <t>Not awarded</t>
        </is>
      </c>
      <c r="P83" s="57" t="inlineStr">
        <is>
          <t>5. Drip Irrigation systems</t>
        </is>
      </c>
      <c r="Q83" s="57" t="inlineStr">
        <is>
          <t>Ghulam</t>
        </is>
      </c>
      <c r="R83" s="57" t="inlineStr"/>
      <c r="S83" s="58" t="n">
        <v>3300.86</v>
      </c>
      <c r="T83" s="36" t="inlineStr">
        <is>
          <t>IF(AQ83="","",AQ83)</t>
        </is>
      </c>
      <c r="U83" s="59" t="n">
        <v>46376</v>
      </c>
      <c r="V83" s="60" t="n">
        <v>6.2</v>
      </c>
      <c r="W83" s="59" t="n">
        <v>46566</v>
      </c>
      <c r="X83" s="36" t="inlineStr">
        <is>
          <t>IF(W83&lt;&gt;"",W83,IF(OR(T83="",V83=""),"",EDATE(T83,V83)))</t>
        </is>
      </c>
      <c r="Y83" s="59" t="n"/>
      <c r="Z83" s="60" t="n"/>
      <c r="AA83" s="57" t="inlineStr">
        <is>
          <t>Retendered (Re-ITB)</t>
        </is>
      </c>
      <c r="AB83" s="57" t="inlineStr">
        <is>
          <t>Slack period up to end March. Four months construction period starting from April 2026. | Farmer: Ghulam</t>
        </is>
      </c>
      <c r="AC83" s="32" t="inlineStr">
        <is>
          <t>IF(F83="","",IF(COUNT(AI83:AV83)=0,IF(AA83="","Not started",AA83),SUBSTITUTE(LOOKUP(2,1/(AI83:AV83&lt;&gt;""),$AI$3:$AV$3),"Date: ","")))</t>
        </is>
      </c>
      <c r="AD83" s="39" t="inlineStr">
        <is>
          <t>IF(OR(F83="",COUNT(AI83:AV83)=0),"",TODAY()-LOOKUP(2,1/(AI83:AV83&lt;&gt;""),AI83:AV83))</t>
        </is>
      </c>
      <c r="AE83" s="39" t="inlineStr">
        <is>
          <t>IF(OR(F83="",COUNT(AI83:AV83)&lt;2),"",LOOKUP(2,1/(AI83:AV83&lt;&gt;""),AI83:AV83)-MIN(AI83:AV83))</t>
        </is>
      </c>
      <c r="AF83" s="39" t="inlineStr">
        <is>
          <t>IF(OR(AD83="",AC83="Not started",AC83=""),"",IFERROR(AD83-IF(VLOOKUP(AC83,'06_Status_Pipeline'!$B$3:$E$20,4,FALSE)="",0,VLOOKUP(AC83,'06_Status_Pipeline'!$B$3:$E$20,4,FALSE)),""))</t>
        </is>
      </c>
      <c r="AG83" s="3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39" t="inlineStr">
        <is>
          <t>IF(OR(F83="",AC83="Completed / Handover",AC83="Cancelled"),"",IF(O83="Not awarded",IF(U83&lt;&gt;"",U83-TODAY(),IF(X83="","",X83-TODAY())),IF(X83="","",X83-TODAY())))</t>
        </is>
      </c>
      <c r="AI83" s="59" t="n"/>
      <c r="AJ83" s="59" t="n"/>
      <c r="AK83" s="59" t="n"/>
      <c r="AL83" s="59" t="n"/>
      <c r="AM83" s="59" t="n"/>
      <c r="AN83" s="59" t="n"/>
      <c r="AO83" s="59" t="n"/>
      <c r="AP83" s="59" t="n"/>
      <c r="AQ83" s="59" t="n"/>
      <c r="AR83" s="59" t="n"/>
      <c r="AS83" s="59" t="n"/>
      <c r="AT83" s="40" t="n"/>
      <c r="AU83" s="40" t="n"/>
      <c r="AV83" s="40" t="n"/>
      <c r="AW83" s="39" t="inlineStr">
        <is>
          <t>IF(OR(F83="",AJ83=""),"",IF(COUNT(AI83:AI83)=0,"",AJ83-LOOKUP(2,1/(AI83:AI83&lt;&gt;""),AI83:AI83)))</t>
        </is>
      </c>
      <c r="AX83" s="39" t="inlineStr">
        <is>
          <t>IF(OR(F83="",AK83=""),"",IF(COUNT(AI83:AJ83)=0,"",AK83-LOOKUP(2,1/(AI83:AJ83&lt;&gt;""),AI83:AJ83)))</t>
        </is>
      </c>
      <c r="AY83" s="39" t="inlineStr">
        <is>
          <t>IF(OR(F83="",AL83=""),"",IF(COUNT(AI83:AK83)=0,"",AL83-LOOKUP(2,1/(AI83:AK83&lt;&gt;""),AI83:AK83)))</t>
        </is>
      </c>
      <c r="AZ83" s="39" t="inlineStr">
        <is>
          <t>IF(OR(F83="",AM83=""),"",IF(COUNT(AI83:AL83)=0,"",AM83-LOOKUP(2,1/(AI83:AL83&lt;&gt;""),AI83:AL83)))</t>
        </is>
      </c>
      <c r="BA83" s="39" t="inlineStr">
        <is>
          <t>IF(OR(F83="",AN83=""),"",IF(COUNT(AI83:AM83)=0,"",AN83-LOOKUP(2,1/(AI83:AM83&lt;&gt;""),AI83:AM83)))</t>
        </is>
      </c>
      <c r="BB83" s="39" t="inlineStr">
        <is>
          <t>IF(OR(F83="",AO83=""),"",IF(COUNT(AI83:AN83)=0,"",AO83-LOOKUP(2,1/(AI83:AN83&lt;&gt;""),AI83:AN83)))</t>
        </is>
      </c>
      <c r="BC83" s="39" t="inlineStr">
        <is>
          <t>IF(OR(F83="",AP83=""),"",IF(COUNT(AI83:AO83)=0,"",AP83-LOOKUP(2,1/(AI83:AO83&lt;&gt;""),AI83:AO83)))</t>
        </is>
      </c>
      <c r="BD83" s="39" t="inlineStr">
        <is>
          <t>IF(OR(F83="",AQ83=""),"",IF(COUNT(AI83:AP83)=0,"",AQ83-LOOKUP(2,1/(AI83:AP83&lt;&gt;""),AI83:AP83)))</t>
        </is>
      </c>
      <c r="BE83" s="39" t="inlineStr">
        <is>
          <t>IF(OR(F83="",AR83=""),"",IF(COUNT(AI83:AQ83)=0,"",AR83-LOOKUP(2,1/(AI83:AQ83&lt;&gt;""),AI83:AQ83)))</t>
        </is>
      </c>
      <c r="BF83" s="39" t="inlineStr">
        <is>
          <t>IF(OR(F83="",AS83=""),"",IF(COUNT(AI83:AR83)=0,"",AS83-LOOKUP(2,1/(AI83:AR83&lt;&gt;""),AI83:AR83)))</t>
        </is>
      </c>
      <c r="BG83" s="39" t="inlineStr">
        <is>
          <t>IF(OR(F83="",AT83=""),"",IF(COUNT(AI83:AS83)=0,"",AT83-LOOKUP(2,1/(AI83:AS83&lt;&gt;""),AI83:AS83)))</t>
        </is>
      </c>
      <c r="BH83" s="39" t="inlineStr">
        <is>
          <t>IF(OR(F83="",AU83=""),"",IF(COUNT(AI83:AT83)=0,"",AU83-LOOKUP(2,1/(AI83:AT83&lt;&gt;""),AI83:AT83)))</t>
        </is>
      </c>
      <c r="BI83" s="39" t="inlineStr">
        <is>
          <t>IF(OR(F83="",AV83=""),"",IF(COUNT(AI83:AU83)=0,"",AV83-LOOKUP(2,1/(AI83:AU83&lt;&gt;""),AI83:AU83)))</t>
        </is>
      </c>
      <c r="BJ83" s="41" t="inlineStr">
        <is>
          <t>IF(J83="","All_Provinces",IFERROR(VLOOKUP(J83,'09_Lookups'!$A$4:$B$20,2,FALSE),"All_Provinces"))</t>
        </is>
      </c>
      <c r="BK83" s="41" t="inlineStr">
        <is>
          <t>IF(K83="","All_Districts",IFERROR(VLOOKUP(K83,'09_Lookups'!$E$4:$F$42,2,FALSE),"All_Districts"))</t>
        </is>
      </c>
    </row>
    <row r="84" outlineLevel="1" ht="18" customHeight="1">
      <c r="A84" s="42" t="inlineStr">
        <is>
          <t>IF(F84="","",ROW()-3)</t>
        </is>
      </c>
      <c r="B84" s="61" t="inlineStr">
        <is>
          <t>AF2-DIS-04</t>
        </is>
      </c>
      <c r="C84" s="61" t="inlineStr">
        <is>
          <t>Package #4-WBK/AF2 DIS: Demonstration of 12 Drip irrigation schemes at 4 district sites of 1. Miramor, 2. Shahristan, 3.Nilli, and 4.Sayghan in Daykundi and Bamyan provinces</t>
        </is>
      </c>
      <c r="D84" s="61" t="inlineStr">
        <is>
          <t>2 of 12</t>
        </is>
      </c>
      <c r="E84" s="52" t="inlineStr">
        <is>
          <t>AF2-DIS-N-042</t>
        </is>
      </c>
      <c r="F84" s="52" t="inlineStr">
        <is>
          <t>Deraw drip Irrigation Systen</t>
        </is>
      </c>
      <c r="G84" s="52" t="inlineStr">
        <is>
          <t>Drip Irrigation</t>
        </is>
      </c>
      <c r="H84" s="52" t="inlineStr">
        <is>
          <t>Drip Irrigation Plot</t>
        </is>
      </c>
      <c r="I84" s="52" t="inlineStr">
        <is>
          <t>Emergency Food Security Project (EFSP) – WBK/AF-2</t>
        </is>
      </c>
      <c r="J84" s="52" t="inlineStr">
        <is>
          <t>Central Highland / Bamyan</t>
        </is>
      </c>
      <c r="K84" s="52" t="inlineStr">
        <is>
          <t>Daykundi</t>
        </is>
      </c>
      <c r="L84" s="52" t="inlineStr">
        <is>
          <t>Miramor</t>
        </is>
      </c>
      <c r="M84" s="52" t="inlineStr">
        <is>
          <t>Deraw</t>
        </is>
      </c>
      <c r="N84" s="52" t="inlineStr">
        <is>
          <t>World Bank (WBK/AF-2)</t>
        </is>
      </c>
      <c r="O84" s="52" t="inlineStr">
        <is>
          <t>Not awarded</t>
        </is>
      </c>
      <c r="P84" s="52" t="inlineStr">
        <is>
          <t>5. Drip Irrigation systems</t>
        </is>
      </c>
      <c r="Q84" s="52" t="inlineStr">
        <is>
          <t>Mohammad Arif</t>
        </is>
      </c>
      <c r="R84" s="52" t="inlineStr"/>
      <c r="S84" s="53" t="n">
        <v>6011.99</v>
      </c>
      <c r="T84" s="46" t="inlineStr">
        <is>
          <t>IF(AQ84="","",AQ84)</t>
        </is>
      </c>
      <c r="U84" s="54" t="n">
        <v>46376</v>
      </c>
      <c r="V84" s="55" t="n">
        <v>6.2</v>
      </c>
      <c r="W84" s="54" t="n">
        <v>46566</v>
      </c>
      <c r="X84" s="46" t="inlineStr">
        <is>
          <t>IF(W84&lt;&gt;"",W84,IF(OR(T84="",V84=""),"",EDATE(T84,V84)))</t>
        </is>
      </c>
      <c r="Y84" s="54" t="n"/>
      <c r="Z84" s="55" t="n"/>
      <c r="AA84" s="52" t="inlineStr">
        <is>
          <t>Retendered (Re-ITB)</t>
        </is>
      </c>
      <c r="AB84" s="52" t="inlineStr">
        <is>
          <t>Slack period up to end March. Four months construction period starting from April 2026. | Farmer: Mohammad Arif</t>
        </is>
      </c>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outlineLevel="1" ht="18" customHeight="1">
      <c r="A85" s="42" t="inlineStr">
        <is>
          <t>IF(F85="","",ROW()-3)</t>
        </is>
      </c>
      <c r="B85" s="61" t="inlineStr">
        <is>
          <t>AF2-DIS-04</t>
        </is>
      </c>
      <c r="C85" s="61" t="inlineStr">
        <is>
          <t>Package #4-WBK/AF2 DIS: Demonstration of 12 Drip irrigation schemes at 4 district sites of 1. Miramor, 2. Shahristan, 3.Nilli, and 4.Sayghan in Daykundi and Bamyan provinces</t>
        </is>
      </c>
      <c r="D85" s="61" t="inlineStr">
        <is>
          <t>3 of 12</t>
        </is>
      </c>
      <c r="E85" s="44" t="inlineStr">
        <is>
          <t>AF2-DIS-N-043</t>
        </is>
      </c>
      <c r="F85" s="44" t="inlineStr">
        <is>
          <t>Ghaf Drip Irrigation</t>
        </is>
      </c>
      <c r="G85" s="44" t="inlineStr">
        <is>
          <t>Drip Irrigation</t>
        </is>
      </c>
      <c r="H85" s="44" t="inlineStr">
        <is>
          <t>Drip Irrigation Plot</t>
        </is>
      </c>
      <c r="I85" s="44" t="inlineStr">
        <is>
          <t>Emergency Food Security Project (EFSP) – WBK/AF-2</t>
        </is>
      </c>
      <c r="J85" s="44" t="inlineStr">
        <is>
          <t>Central Highland / Bamyan</t>
        </is>
      </c>
      <c r="K85" s="44" t="inlineStr">
        <is>
          <t>Daykundi</t>
        </is>
      </c>
      <c r="L85" s="44" t="inlineStr">
        <is>
          <t>Shahristan</t>
        </is>
      </c>
      <c r="M85" s="44" t="inlineStr">
        <is>
          <t>Ghaf</t>
        </is>
      </c>
      <c r="N85" s="44" t="inlineStr">
        <is>
          <t>World Bank (WBK/AF-2)</t>
        </is>
      </c>
      <c r="O85" s="44" t="inlineStr">
        <is>
          <t>Not awarded</t>
        </is>
      </c>
      <c r="P85" s="44" t="inlineStr">
        <is>
          <t>5. Drip Irrigation systems</t>
        </is>
      </c>
      <c r="Q85" s="44" t="inlineStr">
        <is>
          <t>Mohammad Ibrahim</t>
        </is>
      </c>
      <c r="R85" s="44" t="inlineStr"/>
      <c r="S85" s="45" t="n">
        <v>5880.43</v>
      </c>
      <c r="T85" s="46" t="inlineStr">
        <is>
          <t>IF(AQ85="","",AQ85)</t>
        </is>
      </c>
      <c r="U85" s="47" t="n">
        <v>46376</v>
      </c>
      <c r="V85" s="48" t="n">
        <v>6.2</v>
      </c>
      <c r="W85" s="47" t="n">
        <v>46566</v>
      </c>
      <c r="X85" s="46" t="inlineStr">
        <is>
          <t>IF(W85&lt;&gt;"",W85,IF(OR(T85="",V85=""),"",EDATE(T85,V85)))</t>
        </is>
      </c>
      <c r="Y85" s="47" t="n"/>
      <c r="Z85" s="48" t="n"/>
      <c r="AA85" s="44" t="inlineStr">
        <is>
          <t>Retendered (Re-ITB)</t>
        </is>
      </c>
      <c r="AB85" s="44" t="inlineStr">
        <is>
          <t>Slack period up to end March. Four months construction period starting from April 2026. | Farmer: Mohammad Ibrahim</t>
        </is>
      </c>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outlineLevel="1" ht="18" customHeight="1">
      <c r="A86" s="42" t="inlineStr">
        <is>
          <t>IF(F86="","",ROW()-3)</t>
        </is>
      </c>
      <c r="B86" s="61" t="inlineStr">
        <is>
          <t>AF2-DIS-04</t>
        </is>
      </c>
      <c r="C86" s="61" t="inlineStr">
        <is>
          <t>Package #4-WBK/AF2 DIS: Demonstration of 12 Drip irrigation schemes at 4 district sites of 1. Miramor, 2. Shahristan, 3.Nilli, and 4.Sayghan in Daykundi and Bamyan provinces</t>
        </is>
      </c>
      <c r="D86" s="61" t="inlineStr">
        <is>
          <t>4 of 12</t>
        </is>
      </c>
      <c r="E86" s="52" t="inlineStr">
        <is>
          <t>AF2-DIS-N-044</t>
        </is>
      </c>
      <c r="F86" s="52" t="inlineStr">
        <is>
          <t>Gorg Kosht Drip Irrigation system</t>
        </is>
      </c>
      <c r="G86" s="52" t="inlineStr">
        <is>
          <t>Drip Irrigation</t>
        </is>
      </c>
      <c r="H86" s="52" t="inlineStr">
        <is>
          <t>Drip Irrigation Plot</t>
        </is>
      </c>
      <c r="I86" s="52" t="inlineStr">
        <is>
          <t>Emergency Food Security Project (EFSP) – WBK/AF-2</t>
        </is>
      </c>
      <c r="J86" s="52" t="inlineStr">
        <is>
          <t>Central Highland / Bamyan</t>
        </is>
      </c>
      <c r="K86" s="52" t="inlineStr">
        <is>
          <t>Daykundi</t>
        </is>
      </c>
      <c r="L86" s="52" t="inlineStr"/>
      <c r="M86" s="52" t="inlineStr">
        <is>
          <t>Gorg Koshta</t>
        </is>
      </c>
      <c r="N86" s="52" t="inlineStr">
        <is>
          <t>World Bank (WBK/AF-2)</t>
        </is>
      </c>
      <c r="O86" s="52" t="inlineStr">
        <is>
          <t>Not awarded</t>
        </is>
      </c>
      <c r="P86" s="52" t="inlineStr">
        <is>
          <t>5. Drip Irrigation systems</t>
        </is>
      </c>
      <c r="Q86" s="52" t="inlineStr">
        <is>
          <t>Ahmad</t>
        </is>
      </c>
      <c r="R86" s="52" t="inlineStr"/>
      <c r="S86" s="53" t="n">
        <v>3484.2</v>
      </c>
      <c r="T86" s="46" t="inlineStr">
        <is>
          <t>IF(AQ86="","",AQ86)</t>
        </is>
      </c>
      <c r="U86" s="54" t="n">
        <v>46376</v>
      </c>
      <c r="V86" s="55" t="n">
        <v>6.2</v>
      </c>
      <c r="W86" s="54" t="n">
        <v>46566</v>
      </c>
      <c r="X86" s="46" t="inlineStr">
        <is>
          <t>IF(W86&lt;&gt;"",W86,IF(OR(T86="",V86=""),"",EDATE(T86,V86)))</t>
        </is>
      </c>
      <c r="Y86" s="54" t="n"/>
      <c r="Z86" s="55" t="n"/>
      <c r="AA86" s="52" t="inlineStr">
        <is>
          <t>Retendered (Re-ITB)</t>
        </is>
      </c>
      <c r="AB86" s="52" t="inlineStr">
        <is>
          <t>Slack period up to end March. Four months construction period starting from April 2026. | Farmer: Ahmad</t>
        </is>
      </c>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outlineLevel="1" ht="18" customHeight="1">
      <c r="A87" s="42" t="inlineStr">
        <is>
          <t>IF(F87="","",ROW()-3)</t>
        </is>
      </c>
      <c r="B87" s="61" t="inlineStr">
        <is>
          <t>AF2-DIS-04</t>
        </is>
      </c>
      <c r="C87" s="61" t="inlineStr">
        <is>
          <t>Package #4-WBK/AF2 DIS: Demonstration of 12 Drip irrigation schemes at 4 district sites of 1. Miramor, 2. Shahristan, 3.Nilli, and 4.Sayghan in Daykundi and Bamyan provinces</t>
        </is>
      </c>
      <c r="D87" s="61" t="inlineStr">
        <is>
          <t>5 of 12</t>
        </is>
      </c>
      <c r="E87" s="44" t="inlineStr">
        <is>
          <t>AF2-DIS-N-045</t>
        </is>
      </c>
      <c r="F87" s="44" t="inlineStr">
        <is>
          <t>Hejdi Drip irrigatio System</t>
        </is>
      </c>
      <c r="G87" s="44" t="inlineStr">
        <is>
          <t>Drip Irrigation</t>
        </is>
      </c>
      <c r="H87" s="44" t="inlineStr">
        <is>
          <t>Drip Irrigation Plot</t>
        </is>
      </c>
      <c r="I87" s="44" t="inlineStr">
        <is>
          <t>Emergency Food Security Project (EFSP) – WBK/AF-2</t>
        </is>
      </c>
      <c r="J87" s="44" t="inlineStr">
        <is>
          <t>Central Highland / Bamyan</t>
        </is>
      </c>
      <c r="K87" s="44" t="inlineStr">
        <is>
          <t>Daykundi</t>
        </is>
      </c>
      <c r="L87" s="44" t="inlineStr"/>
      <c r="M87" s="44" t="inlineStr">
        <is>
          <t>Hijdi</t>
        </is>
      </c>
      <c r="N87" s="44" t="inlineStr">
        <is>
          <t>World Bank (WBK/AF-2)</t>
        </is>
      </c>
      <c r="O87" s="44" t="inlineStr">
        <is>
          <t>Not awarded</t>
        </is>
      </c>
      <c r="P87" s="44" t="inlineStr">
        <is>
          <t>5. Drip Irrigation systems</t>
        </is>
      </c>
      <c r="Q87" s="44" t="inlineStr">
        <is>
          <t>Mohammad Ali</t>
        </is>
      </c>
      <c r="R87" s="44" t="inlineStr"/>
      <c r="S87" s="45" t="n">
        <v>4425.06</v>
      </c>
      <c r="T87" s="46" t="inlineStr">
        <is>
          <t>IF(AQ87="","",AQ87)</t>
        </is>
      </c>
      <c r="U87" s="47" t="n">
        <v>46376</v>
      </c>
      <c r="V87" s="48" t="n">
        <v>6.2</v>
      </c>
      <c r="W87" s="47" t="n">
        <v>46566</v>
      </c>
      <c r="X87" s="46" t="inlineStr">
        <is>
          <t>IF(W87&lt;&gt;"",W87,IF(OR(T87="",V87=""),"",EDATE(T87,V87)))</t>
        </is>
      </c>
      <c r="Y87" s="47" t="n"/>
      <c r="Z87" s="48" t="n"/>
      <c r="AA87" s="44" t="inlineStr">
        <is>
          <t>Retendered (Re-ITB)</t>
        </is>
      </c>
      <c r="AB87" s="44" t="inlineStr">
        <is>
          <t>Slack period up to end March. Four months construction period starting from April 2026. | Farmer: Mohammad Ali</t>
        </is>
      </c>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outlineLevel="1" ht="18" customHeight="1">
      <c r="A88" s="42" t="inlineStr">
        <is>
          <t>IF(F88="","",ROW()-3)</t>
        </is>
      </c>
      <c r="B88" s="61" t="inlineStr">
        <is>
          <t>AF2-DIS-04</t>
        </is>
      </c>
      <c r="C88" s="61" t="inlineStr">
        <is>
          <t>Package #4-WBK/AF2 DIS: Demonstration of 12 Drip irrigation schemes at 4 district sites of 1. Miramor, 2. Shahristan, 3.Nilli, and 4.Sayghan in Daykundi and Bamyan provinces</t>
        </is>
      </c>
      <c r="D88" s="61" t="inlineStr">
        <is>
          <t>6 of 12</t>
        </is>
      </c>
      <c r="E88" s="52" t="inlineStr">
        <is>
          <t>AF2-DIS-N-046</t>
        </is>
      </c>
      <c r="F88" s="52" t="inlineStr">
        <is>
          <t>Khawalak Drip irrigatio SYSTEM</t>
        </is>
      </c>
      <c r="G88" s="52" t="inlineStr">
        <is>
          <t>Drip Irrigation</t>
        </is>
      </c>
      <c r="H88" s="52" t="inlineStr">
        <is>
          <t>Drip Irrigation Plot</t>
        </is>
      </c>
      <c r="I88" s="52" t="inlineStr">
        <is>
          <t>Emergency Food Security Project (EFSP) – WBK/AF-2</t>
        </is>
      </c>
      <c r="J88" s="52" t="inlineStr">
        <is>
          <t>Central Highland / Bamyan</t>
        </is>
      </c>
      <c r="K88" s="52" t="inlineStr">
        <is>
          <t>Daykundi</t>
        </is>
      </c>
      <c r="L88" s="52" t="inlineStr"/>
      <c r="M88" s="52" t="inlineStr">
        <is>
          <t>Khawalak</t>
        </is>
      </c>
      <c r="N88" s="52" t="inlineStr">
        <is>
          <t>World Bank (WBK/AF-2)</t>
        </is>
      </c>
      <c r="O88" s="52" t="inlineStr">
        <is>
          <t>Not awarded</t>
        </is>
      </c>
      <c r="P88" s="52" t="inlineStr">
        <is>
          <t>5. Drip Irrigation systems</t>
        </is>
      </c>
      <c r="Q88" s="52" t="inlineStr">
        <is>
          <t>Ali Dost</t>
        </is>
      </c>
      <c r="R88" s="52" t="inlineStr"/>
      <c r="S88" s="53" t="n">
        <v>3573.45</v>
      </c>
      <c r="T88" s="46" t="inlineStr">
        <is>
          <t>IF(AQ88="","",AQ88)</t>
        </is>
      </c>
      <c r="U88" s="54" t="n">
        <v>46376</v>
      </c>
      <c r="V88" s="55" t="n">
        <v>6.2</v>
      </c>
      <c r="W88" s="54" t="n">
        <v>46566</v>
      </c>
      <c r="X88" s="46" t="inlineStr">
        <is>
          <t>IF(W88&lt;&gt;"",W88,IF(OR(T88="",V88=""),"",EDATE(T88,V88)))</t>
        </is>
      </c>
      <c r="Y88" s="54" t="n"/>
      <c r="Z88" s="55" t="n"/>
      <c r="AA88" s="52" t="inlineStr">
        <is>
          <t>Retendered (Re-ITB)</t>
        </is>
      </c>
      <c r="AB88" s="52" t="inlineStr">
        <is>
          <t>Slack period up to end March. Four months construction period starting from April 2026. | Farmer: Ali Dost</t>
        </is>
      </c>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outlineLevel="1" ht="18" customHeight="1">
      <c r="A89" s="42" t="inlineStr">
        <is>
          <t>IF(F89="","",ROW()-3)</t>
        </is>
      </c>
      <c r="B89" s="61" t="inlineStr">
        <is>
          <t>AF2-DIS-04</t>
        </is>
      </c>
      <c r="C89" s="61" t="inlineStr">
        <is>
          <t>Package #4-WBK/AF2 DIS: Demonstration of 12 Drip irrigation schemes at 4 district sites of 1. Miramor, 2. Shahristan, 3.Nilli, and 4.Sayghan in Daykundi and Bamyan provinces</t>
        </is>
      </c>
      <c r="D89" s="61" t="inlineStr">
        <is>
          <t>7 of 12</t>
        </is>
      </c>
      <c r="E89" s="44" t="inlineStr">
        <is>
          <t>AF2-DIS-N-047</t>
        </is>
      </c>
      <c r="F89" s="44" t="inlineStr">
        <is>
          <t>Khawja Chast )Drip irrigation Sysytem</t>
        </is>
      </c>
      <c r="G89" s="44" t="inlineStr">
        <is>
          <t>Drip Irrigation</t>
        </is>
      </c>
      <c r="H89" s="44" t="inlineStr">
        <is>
          <t>Drip Irrigation Plot</t>
        </is>
      </c>
      <c r="I89" s="44" t="inlineStr">
        <is>
          <t>Emergency Food Security Project (EFSP) – WBK/AF-2</t>
        </is>
      </c>
      <c r="J89" s="44" t="inlineStr">
        <is>
          <t>Central Highland / Bamyan</t>
        </is>
      </c>
      <c r="K89" s="44" t="inlineStr">
        <is>
          <t>Daykundi</t>
        </is>
      </c>
      <c r="L89" s="44" t="inlineStr">
        <is>
          <t>Shahristan</t>
        </is>
      </c>
      <c r="M89" s="44" t="inlineStr">
        <is>
          <t>Khwaja Chasht</t>
        </is>
      </c>
      <c r="N89" s="44" t="inlineStr">
        <is>
          <t>World Bank (WBK/AF-2)</t>
        </is>
      </c>
      <c r="O89" s="44" t="inlineStr">
        <is>
          <t>Not awarded</t>
        </is>
      </c>
      <c r="P89" s="44" t="inlineStr">
        <is>
          <t>5. Drip Irrigation systems</t>
        </is>
      </c>
      <c r="Q89" s="44" t="inlineStr">
        <is>
          <t>Mohammad Hashim</t>
        </is>
      </c>
      <c r="R89" s="44" t="inlineStr"/>
      <c r="S89" s="45" t="n">
        <v>5364.63</v>
      </c>
      <c r="T89" s="46" t="inlineStr">
        <is>
          <t>IF(AQ89="","",AQ89)</t>
        </is>
      </c>
      <c r="U89" s="47" t="n">
        <v>46376</v>
      </c>
      <c r="V89" s="48" t="n">
        <v>6.2</v>
      </c>
      <c r="W89" s="47" t="n">
        <v>46566</v>
      </c>
      <c r="X89" s="46" t="inlineStr">
        <is>
          <t>IF(W89&lt;&gt;"",W89,IF(OR(T89="",V89=""),"",EDATE(T89,V89)))</t>
        </is>
      </c>
      <c r="Y89" s="47" t="n"/>
      <c r="Z89" s="48" t="n"/>
      <c r="AA89" s="44" t="inlineStr">
        <is>
          <t>Retendered (Re-ITB)</t>
        </is>
      </c>
      <c r="AB89" s="44" t="inlineStr">
        <is>
          <t>Slack period up to end March. Four months construction period starting from April 2026. | Farmer: Mohammad Hashim</t>
        </is>
      </c>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outlineLevel="1" ht="18" customHeight="1">
      <c r="A90" s="42" t="inlineStr">
        <is>
          <t>IF(F90="","",ROW()-3)</t>
        </is>
      </c>
      <c r="B90" s="61" t="inlineStr">
        <is>
          <t>AF2-DIS-04</t>
        </is>
      </c>
      <c r="C90" s="61" t="inlineStr">
        <is>
          <t>Package #4-WBK/AF2 DIS: Demonstration of 12 Drip irrigation schemes at 4 district sites of 1. Miramor, 2. Shahristan, 3.Nilli, and 4.Sayghan in Daykundi and Bamyan provinces</t>
        </is>
      </c>
      <c r="D90" s="61" t="inlineStr">
        <is>
          <t>8 of 12</t>
        </is>
      </c>
      <c r="E90" s="52" t="inlineStr">
        <is>
          <t>AF2-DIS-N-048</t>
        </is>
      </c>
      <c r="F90" s="52" t="inlineStr">
        <is>
          <t>Peshang Drip Irrigation system</t>
        </is>
      </c>
      <c r="G90" s="52" t="inlineStr">
        <is>
          <t>Drip Irrigation</t>
        </is>
      </c>
      <c r="H90" s="52" t="inlineStr">
        <is>
          <t>Drip Irrigation Plot</t>
        </is>
      </c>
      <c r="I90" s="52" t="inlineStr">
        <is>
          <t>Emergency Food Security Project (EFSP) – WBK/AF-2</t>
        </is>
      </c>
      <c r="J90" s="52" t="inlineStr">
        <is>
          <t>Central Highland / Bamyan</t>
        </is>
      </c>
      <c r="K90" s="52" t="inlineStr">
        <is>
          <t>Bamyan</t>
        </is>
      </c>
      <c r="L90" s="52" t="inlineStr">
        <is>
          <t>Sayghan</t>
        </is>
      </c>
      <c r="M90" s="52" t="inlineStr">
        <is>
          <t>Peshang</t>
        </is>
      </c>
      <c r="N90" s="52" t="inlineStr">
        <is>
          <t>World Bank (WBK/AF-2)</t>
        </is>
      </c>
      <c r="O90" s="52" t="inlineStr">
        <is>
          <t>Not awarded</t>
        </is>
      </c>
      <c r="P90" s="52" t="inlineStr">
        <is>
          <t>5. Drip Irrigation systems</t>
        </is>
      </c>
      <c r="Q90" s="52" t="inlineStr">
        <is>
          <t>Abdul Rahman</t>
        </is>
      </c>
      <c r="R90" s="52" t="inlineStr"/>
      <c r="S90" s="53" t="n">
        <v>3856.11</v>
      </c>
      <c r="T90" s="46" t="inlineStr">
        <is>
          <t>IF(AQ90="","",AQ90)</t>
        </is>
      </c>
      <c r="U90" s="54" t="n">
        <v>46376</v>
      </c>
      <c r="V90" s="55" t="n">
        <v>6.2</v>
      </c>
      <c r="W90" s="54" t="n">
        <v>46566</v>
      </c>
      <c r="X90" s="46" t="inlineStr">
        <is>
          <t>IF(W90&lt;&gt;"",W90,IF(OR(T90="",V90=""),"",EDATE(T90,V90)))</t>
        </is>
      </c>
      <c r="Y90" s="54" t="n"/>
      <c r="Z90" s="55" t="n"/>
      <c r="AA90" s="52" t="inlineStr">
        <is>
          <t>Retendered (Re-ITB)</t>
        </is>
      </c>
      <c r="AB90" s="52" t="inlineStr">
        <is>
          <t>Slack period up to end March. Four months construction period starting from April 2026. | Farmer: Abdul Rahman</t>
        </is>
      </c>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outlineLevel="1" ht="18" customHeight="1">
      <c r="A91" s="42" t="inlineStr">
        <is>
          <t>IF(F91="","",ROW()-3)</t>
        </is>
      </c>
      <c r="B91" s="61" t="inlineStr">
        <is>
          <t>AF2-DIS-04</t>
        </is>
      </c>
      <c r="C91" s="61" t="inlineStr">
        <is>
          <t>Package #4-WBK/AF2 DIS: Demonstration of 12 Drip irrigation schemes at 4 district sites of 1. Miramor, 2. Shahristan, 3.Nilli, and 4.Sayghan in Daykundi and Bamyan provinces</t>
        </is>
      </c>
      <c r="D91" s="61" t="inlineStr">
        <is>
          <t>9 of 12</t>
        </is>
      </c>
      <c r="E91" s="44" t="inlineStr">
        <is>
          <t>AF2-DIS-N-049</t>
        </is>
      </c>
      <c r="F91" s="44" t="inlineStr">
        <is>
          <t>Safid Derakht 01 Drip Irrigtion System</t>
        </is>
      </c>
      <c r="G91" s="44" t="inlineStr">
        <is>
          <t>Drip Irrigation</t>
        </is>
      </c>
      <c r="H91" s="44" t="inlineStr">
        <is>
          <t>Drip Irrigation Plot</t>
        </is>
      </c>
      <c r="I91" s="44" t="inlineStr">
        <is>
          <t>Emergency Food Security Project (EFSP) – WBK/AF-2</t>
        </is>
      </c>
      <c r="J91" s="44" t="inlineStr">
        <is>
          <t>Central Highland / Bamyan</t>
        </is>
      </c>
      <c r="K91" s="44" t="inlineStr">
        <is>
          <t>Daykundi</t>
        </is>
      </c>
      <c r="L91" s="44" t="inlineStr">
        <is>
          <t>Nilli</t>
        </is>
      </c>
      <c r="M91" s="44" t="inlineStr">
        <is>
          <t>Safid Derakht,</t>
        </is>
      </c>
      <c r="N91" s="44" t="inlineStr">
        <is>
          <t>World Bank (WBK/AF-2)</t>
        </is>
      </c>
      <c r="O91" s="44" t="inlineStr">
        <is>
          <t>Not awarded</t>
        </is>
      </c>
      <c r="P91" s="44" t="inlineStr">
        <is>
          <t>5. Drip Irrigation systems</t>
        </is>
      </c>
      <c r="Q91" s="44" t="inlineStr">
        <is>
          <t>Sayed Mohammad</t>
        </is>
      </c>
      <c r="R91" s="44" t="inlineStr"/>
      <c r="S91" s="45" t="n">
        <v>5459.95</v>
      </c>
      <c r="T91" s="46" t="inlineStr">
        <is>
          <t>IF(AQ91="","",AQ91)</t>
        </is>
      </c>
      <c r="U91" s="47" t="n">
        <v>46376</v>
      </c>
      <c r="V91" s="48" t="n">
        <v>6.2</v>
      </c>
      <c r="W91" s="47" t="n">
        <v>46566</v>
      </c>
      <c r="X91" s="46" t="inlineStr">
        <is>
          <t>IF(W91&lt;&gt;"",W91,IF(OR(T91="",V91=""),"",EDATE(T91,V91)))</t>
        </is>
      </c>
      <c r="Y91" s="47" t="n"/>
      <c r="Z91" s="48" t="n"/>
      <c r="AA91" s="44" t="inlineStr">
        <is>
          <t>Retendered (Re-ITB)</t>
        </is>
      </c>
      <c r="AB91" s="44" t="inlineStr">
        <is>
          <t>Slack period up to end March. Four months construction period starting from April 2026. | Farmer: Sayed Mohammad</t>
        </is>
      </c>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outlineLevel="1" ht="18" customHeight="1">
      <c r="A92" s="42" t="inlineStr">
        <is>
          <t>IF(F92="","",ROW()-3)</t>
        </is>
      </c>
      <c r="B92" s="61" t="inlineStr">
        <is>
          <t>AF2-DIS-04</t>
        </is>
      </c>
      <c r="C92" s="61" t="inlineStr">
        <is>
          <t>Package #4-WBK/AF2 DIS: Demonstration of 12 Drip irrigation schemes at 4 district sites of 1. Miramor, 2. Shahristan, 3.Nilli, and 4.Sayghan in Daykundi and Bamyan provinces</t>
        </is>
      </c>
      <c r="D92" s="61" t="inlineStr">
        <is>
          <t>10 of 12</t>
        </is>
      </c>
      <c r="E92" s="52" t="inlineStr">
        <is>
          <t>AF2-DIS-N-050</t>
        </is>
      </c>
      <c r="F92" s="52" t="inlineStr">
        <is>
          <t>Safid Derakht 02 Drip Irrigtion System</t>
        </is>
      </c>
      <c r="G92" s="52" t="inlineStr">
        <is>
          <t>Drip Irrigation</t>
        </is>
      </c>
      <c r="H92" s="52" t="inlineStr">
        <is>
          <t>Drip Irrigation Plot</t>
        </is>
      </c>
      <c r="I92" s="52" t="inlineStr">
        <is>
          <t>Emergency Food Security Project (EFSP) – WBK/AF-2</t>
        </is>
      </c>
      <c r="J92" s="52" t="inlineStr">
        <is>
          <t>Central Highland / Bamyan</t>
        </is>
      </c>
      <c r="K92" s="52" t="inlineStr">
        <is>
          <t>Daykundi</t>
        </is>
      </c>
      <c r="L92" s="52" t="inlineStr"/>
      <c r="M92" s="52" t="inlineStr">
        <is>
          <t>Safid Derakht,</t>
        </is>
      </c>
      <c r="N92" s="52" t="inlineStr">
        <is>
          <t>World Bank (WBK/AF-2)</t>
        </is>
      </c>
      <c r="O92" s="52" t="inlineStr">
        <is>
          <t>Not awarded</t>
        </is>
      </c>
      <c r="P92" s="52" t="inlineStr">
        <is>
          <t>5. Drip Irrigation systems</t>
        </is>
      </c>
      <c r="Q92" s="52" t="inlineStr">
        <is>
          <t>Ghulam Hussain</t>
        </is>
      </c>
      <c r="R92" s="52" t="inlineStr"/>
      <c r="S92" s="53" t="n">
        <v>3764.17</v>
      </c>
      <c r="T92" s="46" t="inlineStr">
        <is>
          <t>IF(AQ92="","",AQ92)</t>
        </is>
      </c>
      <c r="U92" s="54" t="n">
        <v>46376</v>
      </c>
      <c r="V92" s="55" t="n">
        <v>6.2</v>
      </c>
      <c r="W92" s="54" t="n">
        <v>46566</v>
      </c>
      <c r="X92" s="46" t="inlineStr">
        <is>
          <t>IF(W92&lt;&gt;"",W92,IF(OR(T92="",V92=""),"",EDATE(T92,V92)))</t>
        </is>
      </c>
      <c r="Y92" s="54" t="n"/>
      <c r="Z92" s="55" t="n"/>
      <c r="AA92" s="52" t="inlineStr">
        <is>
          <t>Retendered (Re-ITB)</t>
        </is>
      </c>
      <c r="AB92" s="52" t="inlineStr">
        <is>
          <t>Slack period up to end March. Four months construction period starting from April 2026. | Farmer: Ghulam Hussain</t>
        </is>
      </c>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outlineLevel="1" ht="18" customHeight="1">
      <c r="A93" s="42" t="inlineStr">
        <is>
          <t>IF(F93="","",ROW()-3)</t>
        </is>
      </c>
      <c r="B93" s="61" t="inlineStr">
        <is>
          <t>AF2-DIS-04</t>
        </is>
      </c>
      <c r="C93" s="61" t="inlineStr">
        <is>
          <t>Package #4-WBK/AF2 DIS: Demonstration of 12 Drip irrigation schemes at 4 district sites of 1. Miramor, 2. Shahristan, 3.Nilli, and 4.Sayghan in Daykundi and Bamyan provinces</t>
        </is>
      </c>
      <c r="D93" s="61" t="inlineStr">
        <is>
          <t>11 of 12</t>
        </is>
      </c>
      <c r="E93" s="44" t="inlineStr">
        <is>
          <t>AF2-DIS-N-051</t>
        </is>
      </c>
      <c r="F93" s="44" t="inlineStr">
        <is>
          <t>Sarawood Drip Irrigation System</t>
        </is>
      </c>
      <c r="G93" s="44" t="inlineStr">
        <is>
          <t>Drip Irrigation</t>
        </is>
      </c>
      <c r="H93" s="44" t="inlineStr">
        <is>
          <t>Drip Irrigation Plot</t>
        </is>
      </c>
      <c r="I93" s="44" t="inlineStr">
        <is>
          <t>Emergency Food Security Project (EFSP) – WBK/AF-2</t>
        </is>
      </c>
      <c r="J93" s="44" t="inlineStr">
        <is>
          <t>Central Highland / Bamyan</t>
        </is>
      </c>
      <c r="K93" s="44" t="inlineStr">
        <is>
          <t>Daykundi</t>
        </is>
      </c>
      <c r="L93" s="44" t="inlineStr">
        <is>
          <t>Miramor</t>
        </is>
      </c>
      <c r="M93" s="44" t="inlineStr">
        <is>
          <t>Sarawood</t>
        </is>
      </c>
      <c r="N93" s="44" t="inlineStr">
        <is>
          <t>World Bank (WBK/AF-2)</t>
        </is>
      </c>
      <c r="O93" s="44" t="inlineStr">
        <is>
          <t>Not awarded</t>
        </is>
      </c>
      <c r="P93" s="44" t="inlineStr">
        <is>
          <t>5. Drip Irrigation systems</t>
        </is>
      </c>
      <c r="Q93" s="44" t="inlineStr">
        <is>
          <t>Sayed Hassan</t>
        </is>
      </c>
      <c r="R93" s="44" t="inlineStr"/>
      <c r="S93" s="45" t="n">
        <v>3559.69</v>
      </c>
      <c r="T93" s="46" t="inlineStr">
        <is>
          <t>IF(AQ93="","",AQ93)</t>
        </is>
      </c>
      <c r="U93" s="47" t="n">
        <v>46376</v>
      </c>
      <c r="V93" s="48" t="n">
        <v>6.2</v>
      </c>
      <c r="W93" s="47" t="n">
        <v>46566</v>
      </c>
      <c r="X93" s="46" t="inlineStr">
        <is>
          <t>IF(W93&lt;&gt;"",W93,IF(OR(T93="",V93=""),"",EDATE(T93,V93)))</t>
        </is>
      </c>
      <c r="Y93" s="47" t="n"/>
      <c r="Z93" s="48" t="n"/>
      <c r="AA93" s="44" t="inlineStr">
        <is>
          <t>Retendered (Re-ITB)</t>
        </is>
      </c>
      <c r="AB93" s="44" t="inlineStr">
        <is>
          <t>Slack period up to end March. Four months construction period starting from April 2026. | Farmer: Sayed Hassan</t>
        </is>
      </c>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outlineLevel="1" ht="18" customHeight="1">
      <c r="A94" s="42" t="inlineStr">
        <is>
          <t>IF(F94="","",ROW()-3)</t>
        </is>
      </c>
      <c r="B94" s="61" t="inlineStr">
        <is>
          <t>AF2-DIS-04</t>
        </is>
      </c>
      <c r="C94" s="61" t="inlineStr">
        <is>
          <t>Package #4-WBK/AF2 DIS: Demonstration of 12 Drip irrigation schemes at 4 district sites of 1. Miramor, 2. Shahristan, 3.Nilli, and 4.Sayghan in Daykundi and Bamyan provinces</t>
        </is>
      </c>
      <c r="D94" s="61" t="inlineStr">
        <is>
          <t>12 of 12</t>
        </is>
      </c>
      <c r="E94" s="52" t="inlineStr">
        <is>
          <t>AF2-DIS-N-052</t>
        </is>
      </c>
      <c r="F94" s="52" t="inlineStr">
        <is>
          <t>Sorkh Nawor Drip Irrigation</t>
        </is>
      </c>
      <c r="G94" s="52" t="inlineStr">
        <is>
          <t>Drip Irrigation</t>
        </is>
      </c>
      <c r="H94" s="52" t="inlineStr">
        <is>
          <t>Drip Irrigation Plot</t>
        </is>
      </c>
      <c r="I94" s="52" t="inlineStr">
        <is>
          <t>Emergency Food Security Project (EFSP) – WBK/AF-2</t>
        </is>
      </c>
      <c r="J94" s="52" t="inlineStr">
        <is>
          <t>Central Highland / Bamyan</t>
        </is>
      </c>
      <c r="K94" s="52" t="inlineStr">
        <is>
          <t>Daykundi</t>
        </is>
      </c>
      <c r="L94" s="52" t="inlineStr"/>
      <c r="M94" s="52" t="inlineStr">
        <is>
          <t>Sorkh Nawor</t>
        </is>
      </c>
      <c r="N94" s="52" t="inlineStr">
        <is>
          <t>World Bank (WBK/AF-2)</t>
        </is>
      </c>
      <c r="O94" s="52" t="inlineStr">
        <is>
          <t>Not awarded</t>
        </is>
      </c>
      <c r="P94" s="52" t="inlineStr">
        <is>
          <t>5. Drip Irrigation systems</t>
        </is>
      </c>
      <c r="Q94" s="52" t="inlineStr">
        <is>
          <t>Reza</t>
        </is>
      </c>
      <c r="R94" s="52" t="inlineStr"/>
      <c r="S94" s="53" t="n">
        <v>5564.4</v>
      </c>
      <c r="T94" s="46" t="inlineStr">
        <is>
          <t>IF(AQ94="","",AQ94)</t>
        </is>
      </c>
      <c r="U94" s="54" t="n">
        <v>46376</v>
      </c>
      <c r="V94" s="55" t="n">
        <v>6.2</v>
      </c>
      <c r="W94" s="54" t="n">
        <v>46566</v>
      </c>
      <c r="X94" s="46" t="inlineStr">
        <is>
          <t>IF(W94&lt;&gt;"",W94,IF(OR(T94="",V94=""),"",EDATE(T94,V94)))</t>
        </is>
      </c>
      <c r="Y94" s="54" t="n"/>
      <c r="Z94" s="55" t="n"/>
      <c r="AA94" s="52" t="inlineStr">
        <is>
          <t>Retendered (Re-ITB)</t>
        </is>
      </c>
      <c r="AB94" s="52" t="inlineStr">
        <is>
          <t>Slack period up to end March. Four months construction period starting from April 2026. | Farmer: Reza</t>
        </is>
      </c>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32" t="inlineStr">
        <is>
          <t>IF(F95="","",ROW()-3)</t>
        </is>
      </c>
      <c r="B95" s="62" t="inlineStr">
        <is>
          <t>AF2-DIS-05</t>
        </is>
      </c>
      <c r="C95" s="6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5" s="62" t="inlineStr">
        <is>
          <t>1 of 15</t>
        </is>
      </c>
      <c r="E95" s="57" t="inlineStr">
        <is>
          <t>AF2-DIS-N-053</t>
        </is>
      </c>
      <c r="F95" s="57" t="inlineStr">
        <is>
          <t>Agriculture Research Drip Irrigation scheme</t>
        </is>
      </c>
      <c r="G95" s="57" t="inlineStr">
        <is>
          <t>Drip Irrigation</t>
        </is>
      </c>
      <c r="H95" s="57" t="inlineStr">
        <is>
          <t>Drip Irrigation Plot</t>
        </is>
      </c>
      <c r="I95" s="57" t="inlineStr">
        <is>
          <t>Emergency Food Security Project (EFSP) – WBK/AF-2</t>
        </is>
      </c>
      <c r="J95" s="57" t="inlineStr">
        <is>
          <t>Southeast / Gardez</t>
        </is>
      </c>
      <c r="K95" s="57" t="inlineStr">
        <is>
          <t>Khost</t>
        </is>
      </c>
      <c r="L95" s="57" t="inlineStr">
        <is>
          <t>Matoon</t>
        </is>
      </c>
      <c r="M95" s="57" t="inlineStr">
        <is>
          <t>Agriculture Feseach Farm</t>
        </is>
      </c>
      <c r="N95" s="57" t="inlineStr">
        <is>
          <t>World Bank (WBK/AF-2)</t>
        </is>
      </c>
      <c r="O95" s="57" t="inlineStr">
        <is>
          <t>Not awarded</t>
        </is>
      </c>
      <c r="P95" s="57" t="inlineStr">
        <is>
          <t>5. Drip Irrigation systems</t>
        </is>
      </c>
      <c r="Q95" s="57" t="inlineStr">
        <is>
          <t>Hazrat Wali</t>
        </is>
      </c>
      <c r="R95" s="57" t="inlineStr"/>
      <c r="S95" s="58" t="n"/>
      <c r="T95" s="36" t="inlineStr">
        <is>
          <t>IF(AQ95="","",AQ95)</t>
        </is>
      </c>
      <c r="U95" s="59" t="n">
        <v>46381</v>
      </c>
      <c r="V95" s="60" t="n">
        <v>6.2</v>
      </c>
      <c r="W95" s="59" t="n">
        <v>46571</v>
      </c>
      <c r="X95" s="36" t="inlineStr">
        <is>
          <t>IF(W95&lt;&gt;"",W95,IF(OR(T95="",V95=""),"",EDATE(T95,V95)))</t>
        </is>
      </c>
      <c r="Y95" s="59" t="n"/>
      <c r="Z95" s="60" t="n"/>
      <c r="AA95" s="57" t="inlineStr">
        <is>
          <t>Retendered (Re-ITB)</t>
        </is>
      </c>
      <c r="AB95" s="57" t="inlineStr">
        <is>
          <t>Slack period up to end March. Four months construction period starting from April 2026. | Farmer: Hazrat Wali</t>
        </is>
      </c>
      <c r="AC95" s="32" t="inlineStr">
        <is>
          <t>IF(F95="","",IF(COUNT(AI95:AV95)=0,IF(AA95="","Not started",AA95),SUBSTITUTE(LOOKUP(2,1/(AI95:AV95&lt;&gt;""),$AI$3:$AV$3),"Date: ","")))</t>
        </is>
      </c>
      <c r="AD95" s="39" t="inlineStr">
        <is>
          <t>IF(OR(F95="",COUNT(AI95:AV95)=0),"",TODAY()-LOOKUP(2,1/(AI95:AV95&lt;&gt;""),AI95:AV95))</t>
        </is>
      </c>
      <c r="AE95" s="39" t="inlineStr">
        <is>
          <t>IF(OR(F95="",COUNT(AI95:AV95)&lt;2),"",LOOKUP(2,1/(AI95:AV95&lt;&gt;""),AI95:AV95)-MIN(AI95:AV95))</t>
        </is>
      </c>
      <c r="AF95" s="39" t="inlineStr">
        <is>
          <t>IF(OR(AD95="",AC95="Not started",AC95=""),"",IFERROR(AD95-IF(VLOOKUP(AC95,'06_Status_Pipeline'!$B$3:$E$20,4,FALSE)="",0,VLOOKUP(AC95,'06_Status_Pipeline'!$B$3:$E$20,4,FALSE)),""))</t>
        </is>
      </c>
      <c r="AG95" s="3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39" t="inlineStr">
        <is>
          <t>IF(OR(F95="",AC95="Completed / Handover",AC95="Cancelled"),"",IF(O95="Not awarded",IF(U95&lt;&gt;"",U95-TODAY(),IF(X95="","",X95-TODAY())),IF(X95="","",X95-TODAY())))</t>
        </is>
      </c>
      <c r="AI95" s="59" t="n"/>
      <c r="AJ95" s="59" t="n"/>
      <c r="AK95" s="59" t="n"/>
      <c r="AL95" s="59" t="n"/>
      <c r="AM95" s="59" t="n"/>
      <c r="AN95" s="59" t="n"/>
      <c r="AO95" s="59" t="n"/>
      <c r="AP95" s="59" t="n"/>
      <c r="AQ95" s="59" t="n"/>
      <c r="AR95" s="59" t="n"/>
      <c r="AS95" s="59" t="n"/>
      <c r="AT95" s="40" t="n"/>
      <c r="AU95" s="40" t="n"/>
      <c r="AV95" s="40" t="n"/>
      <c r="AW95" s="39" t="inlineStr">
        <is>
          <t>IF(OR(F95="",AJ95=""),"",IF(COUNT(AI95:AI95)=0,"",AJ95-LOOKUP(2,1/(AI95:AI95&lt;&gt;""),AI95:AI95)))</t>
        </is>
      </c>
      <c r="AX95" s="39" t="inlineStr">
        <is>
          <t>IF(OR(F95="",AK95=""),"",IF(COUNT(AI95:AJ95)=0,"",AK95-LOOKUP(2,1/(AI95:AJ95&lt;&gt;""),AI95:AJ95)))</t>
        </is>
      </c>
      <c r="AY95" s="39" t="inlineStr">
        <is>
          <t>IF(OR(F95="",AL95=""),"",IF(COUNT(AI95:AK95)=0,"",AL95-LOOKUP(2,1/(AI95:AK95&lt;&gt;""),AI95:AK95)))</t>
        </is>
      </c>
      <c r="AZ95" s="39" t="inlineStr">
        <is>
          <t>IF(OR(F95="",AM95=""),"",IF(COUNT(AI95:AL95)=0,"",AM95-LOOKUP(2,1/(AI95:AL95&lt;&gt;""),AI95:AL95)))</t>
        </is>
      </c>
      <c r="BA95" s="39" t="inlineStr">
        <is>
          <t>IF(OR(F95="",AN95=""),"",IF(COUNT(AI95:AM95)=0,"",AN95-LOOKUP(2,1/(AI95:AM95&lt;&gt;""),AI95:AM95)))</t>
        </is>
      </c>
      <c r="BB95" s="39" t="inlineStr">
        <is>
          <t>IF(OR(F95="",AO95=""),"",IF(COUNT(AI95:AN95)=0,"",AO95-LOOKUP(2,1/(AI95:AN95&lt;&gt;""),AI95:AN95)))</t>
        </is>
      </c>
      <c r="BC95" s="39" t="inlineStr">
        <is>
          <t>IF(OR(F95="",AP95=""),"",IF(COUNT(AI95:AO95)=0,"",AP95-LOOKUP(2,1/(AI95:AO95&lt;&gt;""),AI95:AO95)))</t>
        </is>
      </c>
      <c r="BD95" s="39" t="inlineStr">
        <is>
          <t>IF(OR(F95="",AQ95=""),"",IF(COUNT(AI95:AP95)=0,"",AQ95-LOOKUP(2,1/(AI95:AP95&lt;&gt;""),AI95:AP95)))</t>
        </is>
      </c>
      <c r="BE95" s="39" t="inlineStr">
        <is>
          <t>IF(OR(F95="",AR95=""),"",IF(COUNT(AI95:AQ95)=0,"",AR95-LOOKUP(2,1/(AI95:AQ95&lt;&gt;""),AI95:AQ95)))</t>
        </is>
      </c>
      <c r="BF95" s="39" t="inlineStr">
        <is>
          <t>IF(OR(F95="",AS95=""),"",IF(COUNT(AI95:AR95)=0,"",AS95-LOOKUP(2,1/(AI95:AR95&lt;&gt;""),AI95:AR95)))</t>
        </is>
      </c>
      <c r="BG95" s="39" t="inlineStr">
        <is>
          <t>IF(OR(F95="",AT95=""),"",IF(COUNT(AI95:AS95)=0,"",AT95-LOOKUP(2,1/(AI95:AS95&lt;&gt;""),AI95:AS95)))</t>
        </is>
      </c>
      <c r="BH95" s="39" t="inlineStr">
        <is>
          <t>IF(OR(F95="",AU95=""),"",IF(COUNT(AI95:AT95)=0,"",AU95-LOOKUP(2,1/(AI95:AT95&lt;&gt;""),AI95:AT95)))</t>
        </is>
      </c>
      <c r="BI95" s="39" t="inlineStr">
        <is>
          <t>IF(OR(F95="",AV95=""),"",IF(COUNT(AI95:AU95)=0,"",AV95-LOOKUP(2,1/(AI95:AU95&lt;&gt;""),AI95:AU95)))</t>
        </is>
      </c>
      <c r="BJ95" s="41" t="inlineStr">
        <is>
          <t>IF(J95="","All_Provinces",IFERROR(VLOOKUP(J95,'09_Lookups'!$A$4:$B$20,2,FALSE),"All_Provinces"))</t>
        </is>
      </c>
      <c r="BK95" s="41" t="inlineStr">
        <is>
          <t>IF(K95="","All_Districts",IFERROR(VLOOKUP(K95,'09_Lookups'!$E$4:$F$42,2,FALSE),"All_Districts"))</t>
        </is>
      </c>
    </row>
    <row r="96" outlineLevel="1" ht="18" customHeight="1">
      <c r="A96" s="42" t="inlineStr">
        <is>
          <t>IF(F96="","",ROW()-3)</t>
        </is>
      </c>
      <c r="B96" s="63" t="inlineStr">
        <is>
          <t>AF2-DIS-05</t>
        </is>
      </c>
      <c r="C9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6" s="63" t="inlineStr">
        <is>
          <t>2 of 15</t>
        </is>
      </c>
      <c r="E96" s="52" t="inlineStr">
        <is>
          <t>AF2-DIS-N-054</t>
        </is>
      </c>
      <c r="F96" s="52" t="inlineStr">
        <is>
          <t>Basana Drip irrigation Scheme</t>
        </is>
      </c>
      <c r="G96" s="52" t="inlineStr">
        <is>
          <t>Drip Irrigation</t>
        </is>
      </c>
      <c r="H96" s="52" t="inlineStr">
        <is>
          <t>Drip Irrigation Plot</t>
        </is>
      </c>
      <c r="I96" s="52" t="inlineStr">
        <is>
          <t>Emergency Food Security Project (EFSP) – WBK/AF-2</t>
        </is>
      </c>
      <c r="J96" s="52" t="inlineStr">
        <is>
          <t>Southeast / Gardez</t>
        </is>
      </c>
      <c r="K96" s="52" t="inlineStr">
        <is>
          <t>Ghazni</t>
        </is>
      </c>
      <c r="L96" s="52" t="inlineStr">
        <is>
          <t>Andar</t>
        </is>
      </c>
      <c r="M96" s="52" t="inlineStr">
        <is>
          <t>Basana</t>
        </is>
      </c>
      <c r="N96" s="52" t="inlineStr">
        <is>
          <t>World Bank (WBK/AF-2)</t>
        </is>
      </c>
      <c r="O96" s="52" t="inlineStr">
        <is>
          <t>Not awarded</t>
        </is>
      </c>
      <c r="P96" s="52" t="inlineStr">
        <is>
          <t>5. Drip Irrigation systems</t>
        </is>
      </c>
      <c r="Q96" s="52" t="inlineStr">
        <is>
          <t>Mohammad Naim</t>
        </is>
      </c>
      <c r="R96" s="52" t="inlineStr"/>
      <c r="S96" s="53" t="n"/>
      <c r="T96" s="46" t="inlineStr">
        <is>
          <t>IF(AQ96="","",AQ96)</t>
        </is>
      </c>
      <c r="U96" s="54" t="n">
        <v>46381</v>
      </c>
      <c r="V96" s="55" t="n">
        <v>6.2</v>
      </c>
      <c r="W96" s="54" t="n">
        <v>46571</v>
      </c>
      <c r="X96" s="46" t="inlineStr">
        <is>
          <t>IF(W96&lt;&gt;"",W96,IF(OR(T96="",V96=""),"",EDATE(T96,V96)))</t>
        </is>
      </c>
      <c r="Y96" s="54" t="n"/>
      <c r="Z96" s="55" t="n"/>
      <c r="AA96" s="52" t="inlineStr">
        <is>
          <t>Retendered (Re-ITB)</t>
        </is>
      </c>
      <c r="AB96" s="52" t="inlineStr">
        <is>
          <t>Slack period up to end March. Four months construction period starting from April 2026. | Farmer: Mohammad Naim</t>
        </is>
      </c>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outlineLevel="1" ht="18" customHeight="1">
      <c r="A97" s="42" t="inlineStr">
        <is>
          <t>IF(F97="","",ROW()-3)</t>
        </is>
      </c>
      <c r="B97" s="63" t="inlineStr">
        <is>
          <t>AF2-DIS-05</t>
        </is>
      </c>
      <c r="C9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7" s="63" t="inlineStr">
        <is>
          <t>3 of 15</t>
        </is>
      </c>
      <c r="E97" s="44" t="inlineStr">
        <is>
          <t>AF2-DIS-N-055</t>
        </is>
      </c>
      <c r="F97" s="44" t="inlineStr">
        <is>
          <t>Dabar Allu Drip Irrigation Scheme</t>
        </is>
      </c>
      <c r="G97" s="44" t="inlineStr">
        <is>
          <t>Drip Irrigation</t>
        </is>
      </c>
      <c r="H97" s="44" t="inlineStr">
        <is>
          <t>Drip Irrigation Plot</t>
        </is>
      </c>
      <c r="I97" s="44" t="inlineStr">
        <is>
          <t>Emergency Food Security Project (EFSP) – WBK/AF-2</t>
        </is>
      </c>
      <c r="J97" s="44" t="inlineStr">
        <is>
          <t>Southeast / Gardez</t>
        </is>
      </c>
      <c r="K97" s="44" t="inlineStr">
        <is>
          <t>Logar</t>
        </is>
      </c>
      <c r="L97" s="44" t="inlineStr">
        <is>
          <t>Charkh</t>
        </is>
      </c>
      <c r="M97" s="44" t="inlineStr">
        <is>
          <t>Dabar Allu</t>
        </is>
      </c>
      <c r="N97" s="44" t="inlineStr">
        <is>
          <t>World Bank (WBK/AF-2)</t>
        </is>
      </c>
      <c r="O97" s="44" t="inlineStr">
        <is>
          <t>Not awarded</t>
        </is>
      </c>
      <c r="P97" s="44" t="inlineStr">
        <is>
          <t>5. Drip Irrigation systems</t>
        </is>
      </c>
      <c r="Q97" s="44" t="inlineStr">
        <is>
          <t>Mohammad Akbar</t>
        </is>
      </c>
      <c r="R97" s="44" t="inlineStr"/>
      <c r="S97" s="45" t="n"/>
      <c r="T97" s="46" t="inlineStr">
        <is>
          <t>IF(AQ97="","",AQ97)</t>
        </is>
      </c>
      <c r="U97" s="47" t="n">
        <v>46381</v>
      </c>
      <c r="V97" s="48" t="n">
        <v>6.2</v>
      </c>
      <c r="W97" s="47" t="n">
        <v>46571</v>
      </c>
      <c r="X97" s="46" t="inlineStr">
        <is>
          <t>IF(W97&lt;&gt;"",W97,IF(OR(T97="",V97=""),"",EDATE(T97,V97)))</t>
        </is>
      </c>
      <c r="Y97" s="47" t="n"/>
      <c r="Z97" s="48" t="n"/>
      <c r="AA97" s="44" t="inlineStr">
        <is>
          <t>Retendered (Re-ITB)</t>
        </is>
      </c>
      <c r="AB97" s="44" t="inlineStr">
        <is>
          <t>Slack period up to end March. Four months construction period starting from April 2026. | Farmer: Mohammad Akbar</t>
        </is>
      </c>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outlineLevel="1" ht="18" customHeight="1">
      <c r="A98" s="42" t="inlineStr">
        <is>
          <t>IF(F98="","",ROW()-3)</t>
        </is>
      </c>
      <c r="B98" s="63" t="inlineStr">
        <is>
          <t>AF2-DIS-05</t>
        </is>
      </c>
      <c r="C9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8" s="63" t="inlineStr">
        <is>
          <t>4 of 15</t>
        </is>
      </c>
      <c r="E98" s="52" t="inlineStr">
        <is>
          <t>AF2-DIS-N-056</t>
        </is>
      </c>
      <c r="F98" s="52" t="inlineStr">
        <is>
          <t>Deyak Drip Irrigation Scheme</t>
        </is>
      </c>
      <c r="G98" s="52" t="inlineStr">
        <is>
          <t>Drip Irrigation</t>
        </is>
      </c>
      <c r="H98" s="52" t="inlineStr">
        <is>
          <t>Drip Irrigation Plot</t>
        </is>
      </c>
      <c r="I98" s="52" t="inlineStr">
        <is>
          <t>Emergency Food Security Project (EFSP) – WBK/AF-2</t>
        </is>
      </c>
      <c r="J98" s="52" t="inlineStr">
        <is>
          <t>Southeast / Gardez</t>
        </is>
      </c>
      <c r="K98" s="52" t="inlineStr">
        <is>
          <t>Ghazni</t>
        </is>
      </c>
      <c r="L98" s="52" t="inlineStr">
        <is>
          <t>Deyak</t>
        </is>
      </c>
      <c r="M98" s="52" t="inlineStr">
        <is>
          <t>Ramaki</t>
        </is>
      </c>
      <c r="N98" s="52" t="inlineStr">
        <is>
          <t>World Bank (WBK/AF-2)</t>
        </is>
      </c>
      <c r="O98" s="52" t="inlineStr">
        <is>
          <t>Not awarded</t>
        </is>
      </c>
      <c r="P98" s="52" t="inlineStr">
        <is>
          <t>5. Drip Irrigation systems</t>
        </is>
      </c>
      <c r="Q98" s="52" t="inlineStr">
        <is>
          <t>Naser Khan</t>
        </is>
      </c>
      <c r="R98" s="52" t="inlineStr"/>
      <c r="S98" s="53" t="n"/>
      <c r="T98" s="46" t="inlineStr">
        <is>
          <t>IF(AQ98="","",AQ98)</t>
        </is>
      </c>
      <c r="U98" s="54" t="n">
        <v>46381</v>
      </c>
      <c r="V98" s="55" t="n">
        <v>6.2</v>
      </c>
      <c r="W98" s="54" t="n">
        <v>46571</v>
      </c>
      <c r="X98" s="46" t="inlineStr">
        <is>
          <t>IF(W98&lt;&gt;"",W98,IF(OR(T98="",V98=""),"",EDATE(T98,V98)))</t>
        </is>
      </c>
      <c r="Y98" s="54" t="n"/>
      <c r="Z98" s="55" t="n"/>
      <c r="AA98" s="52" t="inlineStr">
        <is>
          <t>Retendered (Re-ITB)</t>
        </is>
      </c>
      <c r="AB98" s="52" t="inlineStr">
        <is>
          <t>Slack period up to end March. Four months construction period starting from April 2026. | Farmer: Naser Khan</t>
        </is>
      </c>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outlineLevel="1" ht="18" customHeight="1">
      <c r="A99" s="42" t="inlineStr">
        <is>
          <t>IF(F99="","",ROW()-3)</t>
        </is>
      </c>
      <c r="B99" s="63" t="inlineStr">
        <is>
          <t>AF2-DIS-05</t>
        </is>
      </c>
      <c r="C9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9" s="63" t="inlineStr">
        <is>
          <t>5 of 15</t>
        </is>
      </c>
      <c r="E99" s="44" t="inlineStr">
        <is>
          <t>AF2-DIS-N-057</t>
        </is>
      </c>
      <c r="F99" s="44" t="inlineStr">
        <is>
          <t>Ghafoor khil Drip irrigation Scheme</t>
        </is>
      </c>
      <c r="G99" s="44" t="inlineStr">
        <is>
          <t>Drip Irrigation</t>
        </is>
      </c>
      <c r="H99" s="44" t="inlineStr">
        <is>
          <t>Drip Irrigation Plot</t>
        </is>
      </c>
      <c r="I99" s="44" t="inlineStr">
        <is>
          <t>Emergency Food Security Project (EFSP) – WBK/AF-2</t>
        </is>
      </c>
      <c r="J99" s="44" t="inlineStr">
        <is>
          <t>Southeast / Gardez</t>
        </is>
      </c>
      <c r="K99" s="44" t="inlineStr">
        <is>
          <t>Paktya</t>
        </is>
      </c>
      <c r="L99" s="44" t="inlineStr">
        <is>
          <t>Center</t>
        </is>
      </c>
      <c r="M99" s="44" t="inlineStr">
        <is>
          <t>Gafoor khil</t>
        </is>
      </c>
      <c r="N99" s="44" t="inlineStr">
        <is>
          <t>World Bank (WBK/AF-2)</t>
        </is>
      </c>
      <c r="O99" s="44" t="inlineStr">
        <is>
          <t>Not awarded</t>
        </is>
      </c>
      <c r="P99" s="44" t="inlineStr">
        <is>
          <t>5. Drip Irrigation systems</t>
        </is>
      </c>
      <c r="Q99" s="44" t="inlineStr">
        <is>
          <t>Salam Jan</t>
        </is>
      </c>
      <c r="R99" s="44" t="inlineStr"/>
      <c r="S99" s="45" t="n"/>
      <c r="T99" s="46" t="inlineStr">
        <is>
          <t>IF(AQ99="","",AQ99)</t>
        </is>
      </c>
      <c r="U99" s="47" t="n">
        <v>46381</v>
      </c>
      <c r="V99" s="48" t="n">
        <v>6.2</v>
      </c>
      <c r="W99" s="47" t="n">
        <v>46571</v>
      </c>
      <c r="X99" s="46" t="inlineStr">
        <is>
          <t>IF(W99&lt;&gt;"",W99,IF(OR(T99="",V99=""),"",EDATE(T99,V99)))</t>
        </is>
      </c>
      <c r="Y99" s="47" t="n"/>
      <c r="Z99" s="48" t="n"/>
      <c r="AA99" s="44" t="inlineStr">
        <is>
          <t>Retendered (Re-ITB)</t>
        </is>
      </c>
      <c r="AB99" s="44" t="inlineStr">
        <is>
          <t>Slack period up to end March. Four months construction period starting from April 2026. | Farmer: Salam Jan</t>
        </is>
      </c>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outlineLevel="1" ht="18" customHeight="1">
      <c r="A100" s="42" t="inlineStr">
        <is>
          <t>IF(F100="","",ROW()-3)</t>
        </is>
      </c>
      <c r="B100" s="63" t="inlineStr">
        <is>
          <t>AF2-DIS-05</t>
        </is>
      </c>
      <c r="C100"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0" s="63" t="inlineStr">
        <is>
          <t>6 of 15</t>
        </is>
      </c>
      <c r="E100" s="52" t="inlineStr">
        <is>
          <t>AF2-DIS-N-058</t>
        </is>
      </c>
      <c r="F100" s="52" t="inlineStr">
        <is>
          <t>Gir Drip irrigation Scheme</t>
        </is>
      </c>
      <c r="G100" s="52" t="inlineStr">
        <is>
          <t>Drip Irrigation</t>
        </is>
      </c>
      <c r="H100" s="52" t="inlineStr">
        <is>
          <t>Drip Irrigation Plot</t>
        </is>
      </c>
      <c r="I100" s="52" t="inlineStr">
        <is>
          <t>Emergency Food Security Project (EFSP) – WBK/AF-2</t>
        </is>
      </c>
      <c r="J100" s="52" t="inlineStr">
        <is>
          <t>Southeast / Gardez</t>
        </is>
      </c>
      <c r="K100" s="52" t="inlineStr">
        <is>
          <t>Pakteka</t>
        </is>
      </c>
      <c r="L100" s="52" t="inlineStr">
        <is>
          <t>Sharana</t>
        </is>
      </c>
      <c r="M100" s="52" t="inlineStr">
        <is>
          <t>Gari</t>
        </is>
      </c>
      <c r="N100" s="52" t="inlineStr">
        <is>
          <t>World Bank (WBK/AF-2)</t>
        </is>
      </c>
      <c r="O100" s="52" t="inlineStr">
        <is>
          <t>Not awarded</t>
        </is>
      </c>
      <c r="P100" s="52" t="inlineStr">
        <is>
          <t>5. Drip Irrigation systems</t>
        </is>
      </c>
      <c r="Q100" s="52" t="inlineStr">
        <is>
          <t>Fazal Din</t>
        </is>
      </c>
      <c r="R100" s="52" t="inlineStr"/>
      <c r="S100" s="53" t="n"/>
      <c r="T100" s="46" t="inlineStr">
        <is>
          <t>IF(AQ100="","",AQ100)</t>
        </is>
      </c>
      <c r="U100" s="54" t="n">
        <v>46381</v>
      </c>
      <c r="V100" s="55" t="n">
        <v>6.2</v>
      </c>
      <c r="W100" s="54" t="n">
        <v>46571</v>
      </c>
      <c r="X100" s="46" t="inlineStr">
        <is>
          <t>IF(W100&lt;&gt;"",W100,IF(OR(T100="",V100=""),"",EDATE(T100,V100)))</t>
        </is>
      </c>
      <c r="Y100" s="54" t="n"/>
      <c r="Z100" s="55" t="n"/>
      <c r="AA100" s="52" t="inlineStr">
        <is>
          <t>Retendered (Re-ITB)</t>
        </is>
      </c>
      <c r="AB100" s="52" t="inlineStr">
        <is>
          <t>Slack period up to end March. Four months construction period starting from April 2026. | Farmer: Fazal Din</t>
        </is>
      </c>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outlineLevel="1" ht="18" customHeight="1">
      <c r="A101" s="42" t="inlineStr">
        <is>
          <t>IF(F101="","",ROW()-3)</t>
        </is>
      </c>
      <c r="B101" s="63" t="inlineStr">
        <is>
          <t>AF2-DIS-05</t>
        </is>
      </c>
      <c r="C101"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1" s="63" t="inlineStr">
        <is>
          <t>7 of 15</t>
        </is>
      </c>
      <c r="E101" s="44" t="inlineStr">
        <is>
          <t>AF2-DIS-N-059</t>
        </is>
      </c>
      <c r="F101" s="44" t="inlineStr">
        <is>
          <t>Hassan Khil- B Drip Irrigation Scheme</t>
        </is>
      </c>
      <c r="G101" s="44" t="inlineStr">
        <is>
          <t>Drip Irrigation</t>
        </is>
      </c>
      <c r="H101" s="44" t="inlineStr">
        <is>
          <t>Drip Irrigation Plot</t>
        </is>
      </c>
      <c r="I101" s="44" t="inlineStr">
        <is>
          <t>Emergency Food Security Project (EFSP) – WBK/AF-2</t>
        </is>
      </c>
      <c r="J101" s="44" t="inlineStr">
        <is>
          <t>Southeast / Gardez</t>
        </is>
      </c>
      <c r="K101" s="44" t="inlineStr">
        <is>
          <t>Paktya</t>
        </is>
      </c>
      <c r="L101" s="44" t="inlineStr">
        <is>
          <t>Ahmad Aba</t>
        </is>
      </c>
      <c r="M101" s="44" t="inlineStr">
        <is>
          <t>Machalghu</t>
        </is>
      </c>
      <c r="N101" s="44" t="inlineStr">
        <is>
          <t>World Bank (WBK/AF-2)</t>
        </is>
      </c>
      <c r="O101" s="44" t="inlineStr">
        <is>
          <t>Not awarded</t>
        </is>
      </c>
      <c r="P101" s="44" t="inlineStr">
        <is>
          <t>5. Drip Irrigation systems</t>
        </is>
      </c>
      <c r="Q101" s="44" t="inlineStr">
        <is>
          <t>Zabihullah</t>
        </is>
      </c>
      <c r="R101" s="44" t="inlineStr"/>
      <c r="S101" s="45" t="n"/>
      <c r="T101" s="46" t="inlineStr">
        <is>
          <t>IF(AQ101="","",AQ101)</t>
        </is>
      </c>
      <c r="U101" s="47" t="n">
        <v>46381</v>
      </c>
      <c r="V101" s="48" t="n">
        <v>6.2</v>
      </c>
      <c r="W101" s="47" t="n">
        <v>46571</v>
      </c>
      <c r="X101" s="46" t="inlineStr">
        <is>
          <t>IF(W101&lt;&gt;"",W101,IF(OR(T101="",V101=""),"",EDATE(T101,V101)))</t>
        </is>
      </c>
      <c r="Y101" s="47" t="n"/>
      <c r="Z101" s="48" t="n"/>
      <c r="AA101" s="44" t="inlineStr">
        <is>
          <t>Retendered (Re-ITB)</t>
        </is>
      </c>
      <c r="AB101" s="44" t="inlineStr">
        <is>
          <t>Slack period up to end March. Four months construction period starting from April 2026. | Farmer: Zabihullah</t>
        </is>
      </c>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outlineLevel="1" ht="18" customHeight="1">
      <c r="A102" s="42" t="inlineStr">
        <is>
          <t>IF(F102="","",ROW()-3)</t>
        </is>
      </c>
      <c r="B102" s="63" t="inlineStr">
        <is>
          <t>AF2-DIS-05</t>
        </is>
      </c>
      <c r="C102"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2" s="63" t="inlineStr">
        <is>
          <t>8 of 15</t>
        </is>
      </c>
      <c r="E102" s="52" t="inlineStr">
        <is>
          <t>AF2-DIS-N-060</t>
        </is>
      </c>
      <c r="F102" s="52" t="inlineStr">
        <is>
          <t>Hassan Khil-A Drip Irrigation Scheme</t>
        </is>
      </c>
      <c r="G102" s="52" t="inlineStr">
        <is>
          <t>Drip Irrigation</t>
        </is>
      </c>
      <c r="H102" s="52" t="inlineStr">
        <is>
          <t>Drip Irrigation Plot</t>
        </is>
      </c>
      <c r="I102" s="52" t="inlineStr">
        <is>
          <t>Emergency Food Security Project (EFSP) – WBK/AF-2</t>
        </is>
      </c>
      <c r="J102" s="52" t="inlineStr">
        <is>
          <t>Southeast / Gardez</t>
        </is>
      </c>
      <c r="K102" s="52" t="inlineStr">
        <is>
          <t>Paktya</t>
        </is>
      </c>
      <c r="L102" s="52" t="inlineStr">
        <is>
          <t>Ahmad Aba</t>
        </is>
      </c>
      <c r="M102" s="52" t="inlineStr">
        <is>
          <t>Machalghu</t>
        </is>
      </c>
      <c r="N102" s="52" t="inlineStr">
        <is>
          <t>World Bank (WBK/AF-2)</t>
        </is>
      </c>
      <c r="O102" s="52" t="inlineStr">
        <is>
          <t>Not awarded</t>
        </is>
      </c>
      <c r="P102" s="52" t="inlineStr">
        <is>
          <t>5. Drip Irrigation systems</t>
        </is>
      </c>
      <c r="Q102" s="52" t="inlineStr">
        <is>
          <t>Hasan Khil</t>
        </is>
      </c>
      <c r="R102" s="52" t="inlineStr"/>
      <c r="S102" s="53" t="n"/>
      <c r="T102" s="46" t="inlineStr">
        <is>
          <t>IF(AQ102="","",AQ102)</t>
        </is>
      </c>
      <c r="U102" s="54" t="n">
        <v>46381</v>
      </c>
      <c r="V102" s="55" t="n">
        <v>6.2</v>
      </c>
      <c r="W102" s="54" t="n">
        <v>46571</v>
      </c>
      <c r="X102" s="46" t="inlineStr">
        <is>
          <t>IF(W102&lt;&gt;"",W102,IF(OR(T102="",V102=""),"",EDATE(T102,V102)))</t>
        </is>
      </c>
      <c r="Y102" s="54" t="n"/>
      <c r="Z102" s="55" t="n"/>
      <c r="AA102" s="52" t="inlineStr">
        <is>
          <t>Retendered (Re-ITB)</t>
        </is>
      </c>
      <c r="AB102" s="52" t="inlineStr">
        <is>
          <t>Slack period up to end March. Four months construction period starting from April 2026. | Farmer: Hasan Khil</t>
        </is>
      </c>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outlineLevel="1" ht="18" customHeight="1">
      <c r="A103" s="42" t="inlineStr">
        <is>
          <t>IF(F103="","",ROW()-3)</t>
        </is>
      </c>
      <c r="B103" s="63" t="inlineStr">
        <is>
          <t>AF2-DIS-05</t>
        </is>
      </c>
      <c r="C103"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3" s="63" t="inlineStr">
        <is>
          <t>9 of 15</t>
        </is>
      </c>
      <c r="E103" s="44" t="inlineStr">
        <is>
          <t>AF2-DIS-N-061</t>
        </is>
      </c>
      <c r="F103" s="44" t="inlineStr">
        <is>
          <t>Logar University Drip Irrigation Scheme</t>
        </is>
      </c>
      <c r="G103" s="44" t="inlineStr">
        <is>
          <t>Drip Irrigation</t>
        </is>
      </c>
      <c r="H103" s="44" t="inlineStr">
        <is>
          <t>Drip Irrigation Plot</t>
        </is>
      </c>
      <c r="I103" s="44" t="inlineStr">
        <is>
          <t>Emergency Food Security Project (EFSP) – WBK/AF-2</t>
        </is>
      </c>
      <c r="J103" s="44" t="inlineStr">
        <is>
          <t>Southeast / Gardez</t>
        </is>
      </c>
      <c r="K103" s="44" t="inlineStr">
        <is>
          <t>Logar</t>
        </is>
      </c>
      <c r="L103" s="44" t="inlineStr">
        <is>
          <t>Pole Alam</t>
        </is>
      </c>
      <c r="M103" s="44" t="inlineStr">
        <is>
          <t>Logar University</t>
        </is>
      </c>
      <c r="N103" s="44" t="inlineStr">
        <is>
          <t>World Bank (WBK/AF-2)</t>
        </is>
      </c>
      <c r="O103" s="44" t="inlineStr">
        <is>
          <t>Not awarded</t>
        </is>
      </c>
      <c r="P103" s="44" t="inlineStr">
        <is>
          <t>5. Drip Irrigation systems</t>
        </is>
      </c>
      <c r="Q103" s="44" t="inlineStr">
        <is>
          <t>Islam Gul</t>
        </is>
      </c>
      <c r="R103" s="44" t="inlineStr"/>
      <c r="S103" s="45" t="n"/>
      <c r="T103" s="46" t="inlineStr">
        <is>
          <t>IF(AQ103="","",AQ103)</t>
        </is>
      </c>
      <c r="U103" s="47" t="n">
        <v>46381</v>
      </c>
      <c r="V103" s="48" t="n">
        <v>6.2</v>
      </c>
      <c r="W103" s="47" t="n">
        <v>46571</v>
      </c>
      <c r="X103" s="46" t="inlineStr">
        <is>
          <t>IF(W103&lt;&gt;"",W103,IF(OR(T103="",V103=""),"",EDATE(T103,V103)))</t>
        </is>
      </c>
      <c r="Y103" s="47" t="n"/>
      <c r="Z103" s="48" t="n"/>
      <c r="AA103" s="44" t="inlineStr">
        <is>
          <t>Retendered (Re-ITB)</t>
        </is>
      </c>
      <c r="AB103" s="44" t="inlineStr">
        <is>
          <t>Slack period up to end March. Four months construction period starting from April 2026. | Farmer: Islam Gul</t>
        </is>
      </c>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outlineLevel="1" ht="18" customHeight="1">
      <c r="A104" s="42" t="inlineStr">
        <is>
          <t>IF(F104="","",ROW()-3)</t>
        </is>
      </c>
      <c r="B104" s="63" t="inlineStr">
        <is>
          <t>AF2-DIS-05</t>
        </is>
      </c>
      <c r="C104"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4" s="63" t="inlineStr">
        <is>
          <t>10 of 15</t>
        </is>
      </c>
      <c r="E104" s="52" t="inlineStr">
        <is>
          <t>AF2-DIS-N-062</t>
        </is>
      </c>
      <c r="F104" s="52" t="inlineStr">
        <is>
          <t>Milma Kot Bagh Drip Irrigation Schem</t>
        </is>
      </c>
      <c r="G104" s="52" t="inlineStr">
        <is>
          <t>Drip Irrigation</t>
        </is>
      </c>
      <c r="H104" s="52" t="inlineStr">
        <is>
          <t>Drip Irrigation Plot</t>
        </is>
      </c>
      <c r="I104" s="52" t="inlineStr">
        <is>
          <t>Emergency Food Security Project (EFSP) – WBK/AF-2</t>
        </is>
      </c>
      <c r="J104" s="52" t="inlineStr">
        <is>
          <t>Southeast / Gardez</t>
        </is>
      </c>
      <c r="K104" s="52" t="inlineStr">
        <is>
          <t>Khost</t>
        </is>
      </c>
      <c r="L104" s="52" t="inlineStr">
        <is>
          <t>Matoon</t>
        </is>
      </c>
      <c r="M104" s="52" t="inlineStr">
        <is>
          <t>Milma Kot Bagh</t>
        </is>
      </c>
      <c r="N104" s="52" t="inlineStr">
        <is>
          <t>World Bank (WBK/AF-2)</t>
        </is>
      </c>
      <c r="O104" s="52" t="inlineStr">
        <is>
          <t>Not awarded</t>
        </is>
      </c>
      <c r="P104" s="52" t="inlineStr">
        <is>
          <t>5. Drip Irrigation systems</t>
        </is>
      </c>
      <c r="Q104" s="52" t="inlineStr">
        <is>
          <t>Saifullah</t>
        </is>
      </c>
      <c r="R104" s="52" t="inlineStr"/>
      <c r="S104" s="53" t="n"/>
      <c r="T104" s="46" t="inlineStr">
        <is>
          <t>IF(AQ104="","",AQ104)</t>
        </is>
      </c>
      <c r="U104" s="54" t="n">
        <v>46381</v>
      </c>
      <c r="V104" s="55" t="n">
        <v>6.2</v>
      </c>
      <c r="W104" s="54" t="n">
        <v>46571</v>
      </c>
      <c r="X104" s="46" t="inlineStr">
        <is>
          <t>IF(W104&lt;&gt;"",W104,IF(OR(T104="",V104=""),"",EDATE(T104,V104)))</t>
        </is>
      </c>
      <c r="Y104" s="54" t="n"/>
      <c r="Z104" s="55" t="n"/>
      <c r="AA104" s="52" t="inlineStr">
        <is>
          <t>Retendered (Re-ITB)</t>
        </is>
      </c>
      <c r="AB104" s="52" t="inlineStr">
        <is>
          <t>Slack period up to end March. Four months construction period starting from April 2026. | Farmer: Saifullah</t>
        </is>
      </c>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outlineLevel="1" ht="18" customHeight="1">
      <c r="A105" s="42" t="inlineStr">
        <is>
          <t>IF(F105="","",ROW()-3)</t>
        </is>
      </c>
      <c r="B105" s="63" t="inlineStr">
        <is>
          <t>AF2-DIS-05</t>
        </is>
      </c>
      <c r="C105"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5" s="63" t="inlineStr">
        <is>
          <t>11 of 15</t>
        </is>
      </c>
      <c r="E105" s="44" t="inlineStr">
        <is>
          <t>AF2-DIS-N-063</t>
        </is>
      </c>
      <c r="F105" s="44" t="inlineStr">
        <is>
          <t>Nawe Patana Drip Irrigation Scheme</t>
        </is>
      </c>
      <c r="G105" s="44" t="inlineStr">
        <is>
          <t>Drip Irrigation</t>
        </is>
      </c>
      <c r="H105" s="44" t="inlineStr">
        <is>
          <t>Drip Irrigation Plot</t>
        </is>
      </c>
      <c r="I105" s="44" t="inlineStr">
        <is>
          <t>Emergency Food Security Project (EFSP) – WBK/AF-2</t>
        </is>
      </c>
      <c r="J105" s="44" t="inlineStr">
        <is>
          <t>Southeast / Gardez</t>
        </is>
      </c>
      <c r="K105" s="44" t="inlineStr">
        <is>
          <t>Pakteka</t>
        </is>
      </c>
      <c r="L105" s="44" t="inlineStr">
        <is>
          <t>Sharana</t>
        </is>
      </c>
      <c r="M105" s="44" t="inlineStr">
        <is>
          <t>Patana</t>
        </is>
      </c>
      <c r="N105" s="44" t="inlineStr">
        <is>
          <t>World Bank (WBK/AF-2)</t>
        </is>
      </c>
      <c r="O105" s="44" t="inlineStr">
        <is>
          <t>Not awarded</t>
        </is>
      </c>
      <c r="P105" s="44" t="inlineStr">
        <is>
          <t>5. Drip Irrigation systems</t>
        </is>
      </c>
      <c r="Q105" s="44" t="inlineStr">
        <is>
          <t>Ghazi Khan</t>
        </is>
      </c>
      <c r="R105" s="44" t="inlineStr"/>
      <c r="S105" s="45" t="n"/>
      <c r="T105" s="46" t="inlineStr">
        <is>
          <t>IF(AQ105="","",AQ105)</t>
        </is>
      </c>
      <c r="U105" s="47" t="n">
        <v>46381</v>
      </c>
      <c r="V105" s="48" t="n">
        <v>6.2</v>
      </c>
      <c r="W105" s="47" t="n">
        <v>46571</v>
      </c>
      <c r="X105" s="46" t="inlineStr">
        <is>
          <t>IF(W105&lt;&gt;"",W105,IF(OR(T105="",V105=""),"",EDATE(T105,V105)))</t>
        </is>
      </c>
      <c r="Y105" s="47" t="n"/>
      <c r="Z105" s="48" t="n"/>
      <c r="AA105" s="44" t="inlineStr">
        <is>
          <t>Retendered (Re-ITB)</t>
        </is>
      </c>
      <c r="AB105" s="44" t="inlineStr">
        <is>
          <t>Slack period up to end March. Four months construction period starting from April 2026. | Farmer: Ghazi Khan</t>
        </is>
      </c>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outlineLevel="1" ht="18" customHeight="1">
      <c r="A106" s="42" t="inlineStr">
        <is>
          <t>IF(F106="","",ROW()-3)</t>
        </is>
      </c>
      <c r="B106" s="63" t="inlineStr">
        <is>
          <t>AF2-DIS-05</t>
        </is>
      </c>
      <c r="C10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6" s="63" t="inlineStr">
        <is>
          <t>12 of 15</t>
        </is>
      </c>
      <c r="E106" s="52" t="inlineStr">
        <is>
          <t>AF2-DIS-N-064</t>
        </is>
      </c>
      <c r="F106" s="52" t="inlineStr">
        <is>
          <t>Nughi Drip Irrigation Scheme</t>
        </is>
      </c>
      <c r="G106" s="52" t="inlineStr">
        <is>
          <t>Drip Irrigation</t>
        </is>
      </c>
      <c r="H106" s="52" t="inlineStr">
        <is>
          <t>Drip Irrigation Plot</t>
        </is>
      </c>
      <c r="I106" s="52" t="inlineStr">
        <is>
          <t>Emergency Food Security Project (EFSP) – WBK/AF-2</t>
        </is>
      </c>
      <c r="J106" s="52" t="inlineStr">
        <is>
          <t>Southeast / Gardez</t>
        </is>
      </c>
      <c r="K106" s="52" t="inlineStr">
        <is>
          <t>Ghazni</t>
        </is>
      </c>
      <c r="L106" s="52" t="inlineStr">
        <is>
          <t>Center</t>
        </is>
      </c>
      <c r="M106" s="52" t="inlineStr">
        <is>
          <t>Nughi</t>
        </is>
      </c>
      <c r="N106" s="52" t="inlineStr">
        <is>
          <t>World Bank (WBK/AF-2)</t>
        </is>
      </c>
      <c r="O106" s="52" t="inlineStr">
        <is>
          <t>Not awarded</t>
        </is>
      </c>
      <c r="P106" s="52" t="inlineStr">
        <is>
          <t>5. Drip Irrigation systems</t>
        </is>
      </c>
      <c r="Q106" s="52" t="inlineStr">
        <is>
          <t>Hakim Khan</t>
        </is>
      </c>
      <c r="R106" s="52" t="inlineStr"/>
      <c r="S106" s="53" t="n"/>
      <c r="T106" s="46" t="inlineStr">
        <is>
          <t>IF(AQ106="","",AQ106)</t>
        </is>
      </c>
      <c r="U106" s="54" t="n">
        <v>46381</v>
      </c>
      <c r="V106" s="55" t="n">
        <v>6.2</v>
      </c>
      <c r="W106" s="54" t="n">
        <v>46571</v>
      </c>
      <c r="X106" s="46" t="inlineStr">
        <is>
          <t>IF(W106&lt;&gt;"",W106,IF(OR(T106="",V106=""),"",EDATE(T106,V106)))</t>
        </is>
      </c>
      <c r="Y106" s="54" t="n"/>
      <c r="Z106" s="55" t="n"/>
      <c r="AA106" s="52" t="inlineStr">
        <is>
          <t>Retendered (Re-ITB)</t>
        </is>
      </c>
      <c r="AB106" s="52" t="inlineStr">
        <is>
          <t>Slack period up to end March. Four months construction period starting from April 2026. | Farmer: Hakim Khan</t>
        </is>
      </c>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outlineLevel="1" ht="18" customHeight="1">
      <c r="A107" s="42" t="inlineStr">
        <is>
          <t>IF(F107="","",ROW()-3)</t>
        </is>
      </c>
      <c r="B107" s="63" t="inlineStr">
        <is>
          <t>AF2-DIS-05</t>
        </is>
      </c>
      <c r="C10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7" s="63" t="inlineStr">
        <is>
          <t>13 of 15</t>
        </is>
      </c>
      <c r="E107" s="44" t="inlineStr">
        <is>
          <t>AF2-DIS-N-065</t>
        </is>
      </c>
      <c r="F107" s="44" t="inlineStr">
        <is>
          <t>Paktia University Drip irrigation Scheme</t>
        </is>
      </c>
      <c r="G107" s="44" t="inlineStr">
        <is>
          <t>Drip Irrigation</t>
        </is>
      </c>
      <c r="H107" s="44" t="inlineStr">
        <is>
          <t>Drip Irrigation Plot</t>
        </is>
      </c>
      <c r="I107" s="44" t="inlineStr">
        <is>
          <t>Emergency Food Security Project (EFSP) – WBK/AF-2</t>
        </is>
      </c>
      <c r="J107" s="44" t="inlineStr">
        <is>
          <t>Southeast / Gardez</t>
        </is>
      </c>
      <c r="K107" s="44" t="inlineStr">
        <is>
          <t>Paktya</t>
        </is>
      </c>
      <c r="L107" s="44" t="inlineStr">
        <is>
          <t>Gardez_center</t>
        </is>
      </c>
      <c r="M107" s="44" t="inlineStr">
        <is>
          <t>Beland Mazal</t>
        </is>
      </c>
      <c r="N107" s="44" t="inlineStr">
        <is>
          <t>World Bank (WBK/AF-2)</t>
        </is>
      </c>
      <c r="O107" s="44" t="inlineStr">
        <is>
          <t>Not awarded</t>
        </is>
      </c>
      <c r="P107" s="44" t="inlineStr">
        <is>
          <t>5. Drip Irrigation systems</t>
        </is>
      </c>
      <c r="Q107" s="44" t="inlineStr">
        <is>
          <t>Mohammad Rasool Gharani</t>
        </is>
      </c>
      <c r="R107" s="44" t="inlineStr"/>
      <c r="S107" s="45" t="n"/>
      <c r="T107" s="46" t="inlineStr">
        <is>
          <t>IF(AQ107="","",AQ107)</t>
        </is>
      </c>
      <c r="U107" s="47" t="n">
        <v>46381</v>
      </c>
      <c r="V107" s="48" t="n">
        <v>6.2</v>
      </c>
      <c r="W107" s="47" t="n">
        <v>46571</v>
      </c>
      <c r="X107" s="46" t="inlineStr">
        <is>
          <t>IF(W107&lt;&gt;"",W107,IF(OR(T107="",V107=""),"",EDATE(T107,V107)))</t>
        </is>
      </c>
      <c r="Y107" s="47" t="n"/>
      <c r="Z107" s="48" t="n"/>
      <c r="AA107" s="44" t="inlineStr">
        <is>
          <t>Retendered (Re-ITB)</t>
        </is>
      </c>
      <c r="AB107" s="44" t="inlineStr">
        <is>
          <t>Slack period up to end March. Four months construction period starting from April 2026. | Farmer: Mohammad Rasool Gharani</t>
        </is>
      </c>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outlineLevel="1" ht="18" customHeight="1">
      <c r="A108" s="42" t="inlineStr">
        <is>
          <t>IF(F108="","",ROW()-3)</t>
        </is>
      </c>
      <c r="B108" s="63" t="inlineStr">
        <is>
          <t>AF2-DIS-05</t>
        </is>
      </c>
      <c r="C10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8" s="63" t="inlineStr">
        <is>
          <t>14 of 15</t>
        </is>
      </c>
      <c r="E108" s="52" t="inlineStr">
        <is>
          <t>AF2-DIS-N-066</t>
        </is>
      </c>
      <c r="F108" s="52" t="inlineStr">
        <is>
          <t>Sahra Bagh Drip Irrigation Scheme</t>
        </is>
      </c>
      <c r="G108" s="52" t="inlineStr">
        <is>
          <t>Drip Irrigation</t>
        </is>
      </c>
      <c r="H108" s="52" t="inlineStr">
        <is>
          <t>Drip Irrigation Plot</t>
        </is>
      </c>
      <c r="I108" s="52" t="inlineStr">
        <is>
          <t>Emergency Food Security Project (EFSP) – WBK/AF-2</t>
        </is>
      </c>
      <c r="J108" s="52" t="inlineStr">
        <is>
          <t>Southeast / Gardez</t>
        </is>
      </c>
      <c r="K108" s="52" t="inlineStr">
        <is>
          <t>Khost</t>
        </is>
      </c>
      <c r="L108" s="52" t="inlineStr">
        <is>
          <t>Matoon</t>
        </is>
      </c>
      <c r="M108" s="52" t="inlineStr">
        <is>
          <t>Sahra bagh</t>
        </is>
      </c>
      <c r="N108" s="52" t="inlineStr">
        <is>
          <t>World Bank (WBK/AF-2)</t>
        </is>
      </c>
      <c r="O108" s="52" t="inlineStr">
        <is>
          <t>Not awarded</t>
        </is>
      </c>
      <c r="P108" s="52" t="inlineStr">
        <is>
          <t>5. Drip Irrigation systems</t>
        </is>
      </c>
      <c r="Q108" s="52" t="inlineStr">
        <is>
          <t>Gafoor Jan</t>
        </is>
      </c>
      <c r="R108" s="52" t="inlineStr"/>
      <c r="S108" s="53" t="n"/>
      <c r="T108" s="46" t="inlineStr">
        <is>
          <t>IF(AQ108="","",AQ108)</t>
        </is>
      </c>
      <c r="U108" s="54" t="n">
        <v>46381</v>
      </c>
      <c r="V108" s="55" t="n">
        <v>6.2</v>
      </c>
      <c r="W108" s="54" t="n">
        <v>46571</v>
      </c>
      <c r="X108" s="46" t="inlineStr">
        <is>
          <t>IF(W108&lt;&gt;"",W108,IF(OR(T108="",V108=""),"",EDATE(T108,V108)))</t>
        </is>
      </c>
      <c r="Y108" s="54" t="n"/>
      <c r="Z108" s="55" t="n"/>
      <c r="AA108" s="52" t="inlineStr">
        <is>
          <t>Retendered (Re-ITB)</t>
        </is>
      </c>
      <c r="AB108" s="52" t="inlineStr">
        <is>
          <t>Slack period up to end March. Four months construction period starting from April 2026. | Farmer: Gafoor Jan</t>
        </is>
      </c>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outlineLevel="1" ht="18" customHeight="1">
      <c r="A109" s="42" t="inlineStr">
        <is>
          <t>IF(F109="","",ROW()-3)</t>
        </is>
      </c>
      <c r="B109" s="63" t="inlineStr">
        <is>
          <t>AF2-DIS-05</t>
        </is>
      </c>
      <c r="C10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9" s="63" t="inlineStr">
        <is>
          <t>15 of 15</t>
        </is>
      </c>
      <c r="E109" s="44" t="inlineStr">
        <is>
          <t>AF2-DIS-N-067</t>
        </is>
      </c>
      <c r="F109" s="44" t="inlineStr">
        <is>
          <t>Sultani Drip Irrigation Scheme</t>
        </is>
      </c>
      <c r="G109" s="44" t="inlineStr">
        <is>
          <t>Drip Irrigation</t>
        </is>
      </c>
      <c r="H109" s="44" t="inlineStr">
        <is>
          <t>Drip Irrigation Plot</t>
        </is>
      </c>
      <c r="I109" s="44" t="inlineStr">
        <is>
          <t>Emergency Food Security Project (EFSP) – WBK/AF-2</t>
        </is>
      </c>
      <c r="J109" s="44" t="inlineStr">
        <is>
          <t>Southeast / Gardez</t>
        </is>
      </c>
      <c r="K109" s="44" t="inlineStr">
        <is>
          <t>Pakteka</t>
        </is>
      </c>
      <c r="L109" s="44" t="inlineStr">
        <is>
          <t>Sarhawza</t>
        </is>
      </c>
      <c r="M109" s="44" t="inlineStr">
        <is>
          <t>Sultani</t>
        </is>
      </c>
      <c r="N109" s="44" t="inlineStr">
        <is>
          <t>World Bank (WBK/AF-2)</t>
        </is>
      </c>
      <c r="O109" s="44" t="inlineStr">
        <is>
          <t>Not awarded</t>
        </is>
      </c>
      <c r="P109" s="44" t="inlineStr">
        <is>
          <t>5. Drip Irrigation systems</t>
        </is>
      </c>
      <c r="Q109" s="44" t="inlineStr">
        <is>
          <t>Akhtar Mohammad</t>
        </is>
      </c>
      <c r="R109" s="44" t="inlineStr"/>
      <c r="S109" s="45" t="n"/>
      <c r="T109" s="46" t="inlineStr">
        <is>
          <t>IF(AQ109="","",AQ109)</t>
        </is>
      </c>
      <c r="U109" s="47" t="n">
        <v>46381</v>
      </c>
      <c r="V109" s="48" t="n">
        <v>6.2</v>
      </c>
      <c r="W109" s="47" t="n">
        <v>46571</v>
      </c>
      <c r="X109" s="46" t="inlineStr">
        <is>
          <t>IF(W109&lt;&gt;"",W109,IF(OR(T109="",V109=""),"",EDATE(T109,V109)))</t>
        </is>
      </c>
      <c r="Y109" s="47" t="n"/>
      <c r="Z109" s="48" t="n"/>
      <c r="AA109" s="44" t="inlineStr">
        <is>
          <t>Retendered (Re-ITB)</t>
        </is>
      </c>
      <c r="AB109" s="44" t="inlineStr">
        <is>
          <t>Slack period up to end March. Four months construction period starting from April 2026. | Farmer: Akhtar Mohammad</t>
        </is>
      </c>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32" t="inlineStr">
        <is>
          <t>IF(F110="","",ROW()-3)</t>
        </is>
      </c>
      <c r="B110" s="64" t="inlineStr">
        <is>
          <t>AF2-DIS-06</t>
        </is>
      </c>
      <c r="C110" s="6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0" s="64" t="inlineStr">
        <is>
          <t>1 of 12</t>
        </is>
      </c>
      <c r="E110" s="34" t="inlineStr">
        <is>
          <t>AF2-DIS-N-068</t>
        </is>
      </c>
      <c r="F110" s="34" t="inlineStr">
        <is>
          <t>Badam Kalai Drip irrigation schemes</t>
        </is>
      </c>
      <c r="G110" s="34" t="inlineStr">
        <is>
          <t>Drip Irrigation</t>
        </is>
      </c>
      <c r="H110" s="34" t="inlineStr">
        <is>
          <t>Drip Irrigation Plot</t>
        </is>
      </c>
      <c r="I110" s="34" t="inlineStr">
        <is>
          <t>Emergency Food Security Project (EFSP) – WBK/AF-2</t>
        </is>
      </c>
      <c r="J110" s="34" t="inlineStr">
        <is>
          <t>South / Kandahar</t>
        </is>
      </c>
      <c r="K110" s="34" t="inlineStr">
        <is>
          <t>Helmand</t>
        </is>
      </c>
      <c r="L110" s="34" t="inlineStr">
        <is>
          <t>Nawzad</t>
        </is>
      </c>
      <c r="M110" s="34" t="inlineStr">
        <is>
          <t>Badam Kali</t>
        </is>
      </c>
      <c r="N110" s="34" t="inlineStr">
        <is>
          <t>World Bank (WBK/AF-2)</t>
        </is>
      </c>
      <c r="O110" s="34" t="inlineStr">
        <is>
          <t>Not awarded</t>
        </is>
      </c>
      <c r="P110" s="34" t="inlineStr">
        <is>
          <t>5. Drip Irrigation systems</t>
        </is>
      </c>
      <c r="Q110" s="34" t="inlineStr"/>
      <c r="R110" s="34" t="inlineStr"/>
      <c r="S110" s="35" t="n">
        <v>4250</v>
      </c>
      <c r="T110" s="36" t="inlineStr">
        <is>
          <t>IF(AQ110="","",AQ110)</t>
        </is>
      </c>
      <c r="U110" s="37" t="n">
        <v>46412</v>
      </c>
      <c r="V110" s="38" t="n">
        <v>4.9</v>
      </c>
      <c r="W110" s="37" t="n">
        <v>46562</v>
      </c>
      <c r="X110" s="36" t="inlineStr">
        <is>
          <t>IF(W110&lt;&gt;"",W110,IF(OR(T110="",V110=""),"",EDATE(T110,V110)))</t>
        </is>
      </c>
      <c r="Y110" s="37" t="n"/>
      <c r="Z110" s="38" t="n"/>
      <c r="AA110" s="34" t="inlineStr">
        <is>
          <t>Under Review of WRI</t>
        </is>
      </c>
      <c r="AB110" s="34" t="inlineStr">
        <is>
          <t>Five months for the construction.</t>
        </is>
      </c>
      <c r="AC110" s="32" t="inlineStr">
        <is>
          <t>IF(F110="","",IF(COUNT(AI110:AV110)=0,IF(AA110="","Not started",AA110),SUBSTITUTE(LOOKUP(2,1/(AI110:AV110&lt;&gt;""),$AI$3:$AV$3),"Date: ","")))</t>
        </is>
      </c>
      <c r="AD110" s="39" t="inlineStr">
        <is>
          <t>IF(OR(F110="",COUNT(AI110:AV110)=0),"",TODAY()-LOOKUP(2,1/(AI110:AV110&lt;&gt;""),AI110:AV110))</t>
        </is>
      </c>
      <c r="AE110" s="39" t="inlineStr">
        <is>
          <t>IF(OR(F110="",COUNT(AI110:AV110)&lt;2),"",LOOKUP(2,1/(AI110:AV110&lt;&gt;""),AI110:AV110)-MIN(AI110:AV110))</t>
        </is>
      </c>
      <c r="AF110" s="39" t="inlineStr">
        <is>
          <t>IF(OR(AD110="",AC110="Not started",AC110=""),"",IFERROR(AD110-IF(VLOOKUP(AC110,'06_Status_Pipeline'!$B$3:$E$20,4,FALSE)="",0,VLOOKUP(AC110,'06_Status_Pipeline'!$B$3:$E$20,4,FALSE)),""))</t>
        </is>
      </c>
      <c r="AG110" s="3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39" t="inlineStr">
        <is>
          <t>IF(OR(F110="",AC110="Completed / Handover",AC110="Cancelled"),"",IF(O110="Not awarded",IF(U110&lt;&gt;"",U110-TODAY(),IF(X110="","",X110-TODAY())),IF(X110="","",X110-TODAY())))</t>
        </is>
      </c>
      <c r="AI110" s="37" t="n"/>
      <c r="AJ110" s="37" t="n"/>
      <c r="AK110" s="37" t="n"/>
      <c r="AL110" s="37" t="n"/>
      <c r="AM110" s="37" t="n"/>
      <c r="AN110" s="37" t="n"/>
      <c r="AO110" s="37" t="n"/>
      <c r="AP110" s="37" t="n"/>
      <c r="AQ110" s="37" t="n"/>
      <c r="AR110" s="37" t="n"/>
      <c r="AS110" s="37" t="n"/>
      <c r="AT110" s="40" t="n"/>
      <c r="AU110" s="40" t="n"/>
      <c r="AV110" s="40" t="n"/>
      <c r="AW110" s="39" t="inlineStr">
        <is>
          <t>IF(OR(F110="",AJ110=""),"",IF(COUNT(AI110:AI110)=0,"",AJ110-LOOKUP(2,1/(AI110:AI110&lt;&gt;""),AI110:AI110)))</t>
        </is>
      </c>
      <c r="AX110" s="39" t="inlineStr">
        <is>
          <t>IF(OR(F110="",AK110=""),"",IF(COUNT(AI110:AJ110)=0,"",AK110-LOOKUP(2,1/(AI110:AJ110&lt;&gt;""),AI110:AJ110)))</t>
        </is>
      </c>
      <c r="AY110" s="39" t="inlineStr">
        <is>
          <t>IF(OR(F110="",AL110=""),"",IF(COUNT(AI110:AK110)=0,"",AL110-LOOKUP(2,1/(AI110:AK110&lt;&gt;""),AI110:AK110)))</t>
        </is>
      </c>
      <c r="AZ110" s="39" t="inlineStr">
        <is>
          <t>IF(OR(F110="",AM110=""),"",IF(COUNT(AI110:AL110)=0,"",AM110-LOOKUP(2,1/(AI110:AL110&lt;&gt;""),AI110:AL110)))</t>
        </is>
      </c>
      <c r="BA110" s="39" t="inlineStr">
        <is>
          <t>IF(OR(F110="",AN110=""),"",IF(COUNT(AI110:AM110)=0,"",AN110-LOOKUP(2,1/(AI110:AM110&lt;&gt;""),AI110:AM110)))</t>
        </is>
      </c>
      <c r="BB110" s="39" t="inlineStr">
        <is>
          <t>IF(OR(F110="",AO110=""),"",IF(COUNT(AI110:AN110)=0,"",AO110-LOOKUP(2,1/(AI110:AN110&lt;&gt;""),AI110:AN110)))</t>
        </is>
      </c>
      <c r="BC110" s="39" t="inlineStr">
        <is>
          <t>IF(OR(F110="",AP110=""),"",IF(COUNT(AI110:AO110)=0,"",AP110-LOOKUP(2,1/(AI110:AO110&lt;&gt;""),AI110:AO110)))</t>
        </is>
      </c>
      <c r="BD110" s="39" t="inlineStr">
        <is>
          <t>IF(OR(F110="",AQ110=""),"",IF(COUNT(AI110:AP110)=0,"",AQ110-LOOKUP(2,1/(AI110:AP110&lt;&gt;""),AI110:AP110)))</t>
        </is>
      </c>
      <c r="BE110" s="39" t="inlineStr">
        <is>
          <t>IF(OR(F110="",AR110=""),"",IF(COUNT(AI110:AQ110)=0,"",AR110-LOOKUP(2,1/(AI110:AQ110&lt;&gt;""),AI110:AQ110)))</t>
        </is>
      </c>
      <c r="BF110" s="39" t="inlineStr">
        <is>
          <t>IF(OR(F110="",AS110=""),"",IF(COUNT(AI110:AR110)=0,"",AS110-LOOKUP(2,1/(AI110:AR110&lt;&gt;""),AI110:AR110)))</t>
        </is>
      </c>
      <c r="BG110" s="39" t="inlineStr">
        <is>
          <t>IF(OR(F110="",AT110=""),"",IF(COUNT(AI110:AS110)=0,"",AT110-LOOKUP(2,1/(AI110:AS110&lt;&gt;""),AI110:AS110)))</t>
        </is>
      </c>
      <c r="BH110" s="39" t="inlineStr">
        <is>
          <t>IF(OR(F110="",AU110=""),"",IF(COUNT(AI110:AT110)=0,"",AU110-LOOKUP(2,1/(AI110:AT110&lt;&gt;""),AI110:AT110)))</t>
        </is>
      </c>
      <c r="BI110" s="39" t="inlineStr">
        <is>
          <t>IF(OR(F110="",AV110=""),"",IF(COUNT(AI110:AU110)=0,"",AV110-LOOKUP(2,1/(AI110:AU110&lt;&gt;""),AI110:AU110)))</t>
        </is>
      </c>
      <c r="BJ110" s="41" t="inlineStr">
        <is>
          <t>IF(J110="","All_Provinces",IFERROR(VLOOKUP(J110,'09_Lookups'!$A$4:$B$20,2,FALSE),"All_Provinces"))</t>
        </is>
      </c>
      <c r="BK110" s="41" t="inlineStr">
        <is>
          <t>IF(K110="","All_Districts",IFERROR(VLOOKUP(K110,'09_Lookups'!$E$4:$F$42,2,FALSE),"All_Districts"))</t>
        </is>
      </c>
    </row>
    <row r="111" outlineLevel="1" ht="18" customHeight="1">
      <c r="A111" s="42" t="inlineStr">
        <is>
          <t>IF(F111="","",ROW()-3)</t>
        </is>
      </c>
      <c r="B111" s="65" t="inlineStr">
        <is>
          <t>AF2-DIS-06</t>
        </is>
      </c>
      <c r="C11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1" s="65" t="inlineStr">
        <is>
          <t>2 of 12</t>
        </is>
      </c>
      <c r="E111" s="44" t="inlineStr">
        <is>
          <t>AF2-DIS-N-069</t>
        </is>
      </c>
      <c r="F111" s="44" t="inlineStr">
        <is>
          <t>Bahu Kalai Drip irrigation schemes</t>
        </is>
      </c>
      <c r="G111" s="44" t="inlineStr">
        <is>
          <t>Drip Irrigation</t>
        </is>
      </c>
      <c r="H111" s="44" t="inlineStr">
        <is>
          <t>Drip Irrigation Plot</t>
        </is>
      </c>
      <c r="I111" s="44" t="inlineStr">
        <is>
          <t>Emergency Food Security Project (EFSP) – WBK/AF-2</t>
        </is>
      </c>
      <c r="J111" s="44" t="inlineStr">
        <is>
          <t>South / Kandahar</t>
        </is>
      </c>
      <c r="K111" s="44" t="inlineStr">
        <is>
          <t>Zabul</t>
        </is>
      </c>
      <c r="L111" s="44" t="inlineStr">
        <is>
          <t>Seyure</t>
        </is>
      </c>
      <c r="M111" s="44" t="inlineStr">
        <is>
          <t>Bahu Kali</t>
        </is>
      </c>
      <c r="N111" s="44" t="inlineStr">
        <is>
          <t>World Bank (WBK/AF-2)</t>
        </is>
      </c>
      <c r="O111" s="44" t="inlineStr">
        <is>
          <t>Not awarded</t>
        </is>
      </c>
      <c r="P111" s="44" t="inlineStr">
        <is>
          <t>5. Drip Irrigation systems</t>
        </is>
      </c>
      <c r="Q111" s="44" t="inlineStr"/>
      <c r="R111" s="44" t="inlineStr"/>
      <c r="S111" s="45" t="n">
        <v>8500</v>
      </c>
      <c r="T111" s="46" t="inlineStr">
        <is>
          <t>IF(AQ111="","",AQ111)</t>
        </is>
      </c>
      <c r="U111" s="47" t="n">
        <v>46412</v>
      </c>
      <c r="V111" s="48" t="n">
        <v>4.9</v>
      </c>
      <c r="W111" s="47" t="n">
        <v>46562</v>
      </c>
      <c r="X111" s="46" t="inlineStr">
        <is>
          <t>IF(W111&lt;&gt;"",W111,IF(OR(T111="",V111=""),"",EDATE(T111,V111)))</t>
        </is>
      </c>
      <c r="Y111" s="47" t="n"/>
      <c r="Z111" s="48" t="n"/>
      <c r="AA111" s="44" t="inlineStr">
        <is>
          <t>Under Review of WRI</t>
        </is>
      </c>
      <c r="AB111" s="44" t="inlineStr">
        <is>
          <t>Five months for the construction.</t>
        </is>
      </c>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outlineLevel="1" ht="18" customHeight="1">
      <c r="A112" s="42" t="inlineStr">
        <is>
          <t>IF(F112="","",ROW()-3)</t>
        </is>
      </c>
      <c r="B112" s="65" t="inlineStr">
        <is>
          <t>AF2-DIS-06</t>
        </is>
      </c>
      <c r="C112"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2" s="65" t="inlineStr">
        <is>
          <t>3 of 12</t>
        </is>
      </c>
      <c r="E112" s="52" t="inlineStr">
        <is>
          <t>AF2-DIS-N-070</t>
        </is>
      </c>
      <c r="F112" s="52" t="inlineStr">
        <is>
          <t>Firozi Drip irrigation schemes</t>
        </is>
      </c>
      <c r="G112" s="52" t="inlineStr">
        <is>
          <t>Drip Irrigation</t>
        </is>
      </c>
      <c r="H112" s="52" t="inlineStr">
        <is>
          <t>Drip Irrigation Plot</t>
        </is>
      </c>
      <c r="I112" s="52" t="inlineStr">
        <is>
          <t>Emergency Food Security Project (EFSP) – WBK/AF-2</t>
        </is>
      </c>
      <c r="J112" s="52" t="inlineStr">
        <is>
          <t>South / Kandahar</t>
        </is>
      </c>
      <c r="K112" s="52" t="inlineStr">
        <is>
          <t>Nemroz</t>
        </is>
      </c>
      <c r="L112" s="52" t="inlineStr">
        <is>
          <t>Delaram</t>
        </is>
      </c>
      <c r="M112" s="52" t="inlineStr">
        <is>
          <t>Firozi Village</t>
        </is>
      </c>
      <c r="N112" s="52" t="inlineStr">
        <is>
          <t>World Bank (WBK/AF-2)</t>
        </is>
      </c>
      <c r="O112" s="52" t="inlineStr">
        <is>
          <t>Not awarded</t>
        </is>
      </c>
      <c r="P112" s="52" t="inlineStr">
        <is>
          <t>5. Drip Irrigation systems</t>
        </is>
      </c>
      <c r="Q112" s="52" t="inlineStr"/>
      <c r="R112" s="52" t="inlineStr"/>
      <c r="S112" s="53" t="n">
        <v>8500</v>
      </c>
      <c r="T112" s="46" t="inlineStr">
        <is>
          <t>IF(AQ112="","",AQ112)</t>
        </is>
      </c>
      <c r="U112" s="54" t="n">
        <v>46412</v>
      </c>
      <c r="V112" s="55" t="n">
        <v>4.9</v>
      </c>
      <c r="W112" s="54" t="n">
        <v>46562</v>
      </c>
      <c r="X112" s="46" t="inlineStr">
        <is>
          <t>IF(W112&lt;&gt;"",W112,IF(OR(T112="",V112=""),"",EDATE(T112,V112)))</t>
        </is>
      </c>
      <c r="Y112" s="54" t="n"/>
      <c r="Z112" s="55" t="n"/>
      <c r="AA112" s="52" t="inlineStr">
        <is>
          <t>Under Review of WRI</t>
        </is>
      </c>
      <c r="AB112" s="52" t="inlineStr">
        <is>
          <t>Five months for the construction.</t>
        </is>
      </c>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outlineLevel="1" ht="18" customHeight="1">
      <c r="A113" s="42" t="inlineStr">
        <is>
          <t>IF(F113="","",ROW()-3)</t>
        </is>
      </c>
      <c r="B113" s="65" t="inlineStr">
        <is>
          <t>AF2-DIS-06</t>
        </is>
      </c>
      <c r="C113"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3" s="65" t="inlineStr">
        <is>
          <t>4 of 12</t>
        </is>
      </c>
      <c r="E113" s="44" t="inlineStr">
        <is>
          <t>AF2-DIS-N-071</t>
        </is>
      </c>
      <c r="F113" s="44" t="inlineStr">
        <is>
          <t>Garmaw Kali Drip irrigation schemes</t>
        </is>
      </c>
      <c r="G113" s="44" t="inlineStr">
        <is>
          <t>Drip Irrigation</t>
        </is>
      </c>
      <c r="H113" s="44" t="inlineStr">
        <is>
          <t>Drip Irrigation Plot</t>
        </is>
      </c>
      <c r="I113" s="44" t="inlineStr">
        <is>
          <t>Emergency Food Security Project (EFSP) – WBK/AF-2</t>
        </is>
      </c>
      <c r="J113" s="44" t="inlineStr">
        <is>
          <t>South / Kandahar</t>
        </is>
      </c>
      <c r="K113" s="44" t="inlineStr">
        <is>
          <t>Kandahar</t>
        </is>
      </c>
      <c r="L113" s="44" t="inlineStr">
        <is>
          <t>Panjwai</t>
        </is>
      </c>
      <c r="M113" s="44" t="inlineStr">
        <is>
          <t>Garmaw Kali</t>
        </is>
      </c>
      <c r="N113" s="44" t="inlineStr">
        <is>
          <t>World Bank (WBK/AF-2)</t>
        </is>
      </c>
      <c r="O113" s="44" t="inlineStr">
        <is>
          <t>Not awarded</t>
        </is>
      </c>
      <c r="P113" s="44" t="inlineStr">
        <is>
          <t>5. Drip Irrigation systems</t>
        </is>
      </c>
      <c r="Q113" s="44" t="inlineStr"/>
      <c r="R113" s="44" t="inlineStr"/>
      <c r="S113" s="45" t="n">
        <v>8500</v>
      </c>
      <c r="T113" s="46" t="inlineStr">
        <is>
          <t>IF(AQ113="","",AQ113)</t>
        </is>
      </c>
      <c r="U113" s="47" t="n">
        <v>46412</v>
      </c>
      <c r="V113" s="48" t="n">
        <v>4.9</v>
      </c>
      <c r="W113" s="47" t="n">
        <v>46562</v>
      </c>
      <c r="X113" s="46" t="inlineStr">
        <is>
          <t>IF(W113&lt;&gt;"",W113,IF(OR(T113="",V113=""),"",EDATE(T113,V113)))</t>
        </is>
      </c>
      <c r="Y113" s="47" t="n"/>
      <c r="Z113" s="48" t="n"/>
      <c r="AA113" s="44" t="inlineStr">
        <is>
          <t>Under Review of WRI</t>
        </is>
      </c>
      <c r="AB113" s="44" t="inlineStr">
        <is>
          <t>Five months for the construction.</t>
        </is>
      </c>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outlineLevel="1" ht="18" customHeight="1">
      <c r="A114" s="42" t="inlineStr">
        <is>
          <t>IF(F114="","",ROW()-3)</t>
        </is>
      </c>
      <c r="B114" s="65" t="inlineStr">
        <is>
          <t>AF2-DIS-06</t>
        </is>
      </c>
      <c r="C114"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4" s="65" t="inlineStr">
        <is>
          <t>5 of 12</t>
        </is>
      </c>
      <c r="E114" s="52" t="inlineStr">
        <is>
          <t>AF2-DIS-N-072</t>
        </is>
      </c>
      <c r="F114" s="52" t="inlineStr">
        <is>
          <t>Garmaw Kali Drip irrigation schemes</t>
        </is>
      </c>
      <c r="G114" s="52" t="inlineStr">
        <is>
          <t>Drip Irrigation</t>
        </is>
      </c>
      <c r="H114" s="52" t="inlineStr">
        <is>
          <t>Drip Irrigation Plot</t>
        </is>
      </c>
      <c r="I114" s="52" t="inlineStr">
        <is>
          <t>Emergency Food Security Project (EFSP) – WBK/AF-2</t>
        </is>
      </c>
      <c r="J114" s="52" t="inlineStr">
        <is>
          <t>South / Kandahar</t>
        </is>
      </c>
      <c r="K114" s="52" t="inlineStr">
        <is>
          <t>Kandahar</t>
        </is>
      </c>
      <c r="L114" s="52" t="inlineStr">
        <is>
          <t>Shah Wali Kot</t>
        </is>
      </c>
      <c r="M114" s="52" t="inlineStr">
        <is>
          <t>Garmaw kali</t>
        </is>
      </c>
      <c r="N114" s="52" t="inlineStr">
        <is>
          <t>World Bank (WBK/AF-2)</t>
        </is>
      </c>
      <c r="O114" s="52" t="inlineStr">
        <is>
          <t>Not awarded</t>
        </is>
      </c>
      <c r="P114" s="52" t="inlineStr">
        <is>
          <t>5. Drip Irrigation systems</t>
        </is>
      </c>
      <c r="Q114" s="52" t="inlineStr"/>
      <c r="R114" s="52" t="inlineStr"/>
      <c r="S114" s="53" t="n">
        <v>8500</v>
      </c>
      <c r="T114" s="46" t="inlineStr">
        <is>
          <t>IF(AQ114="","",AQ114)</t>
        </is>
      </c>
      <c r="U114" s="54" t="n">
        <v>46412</v>
      </c>
      <c r="V114" s="55" t="n">
        <v>4.9</v>
      </c>
      <c r="W114" s="54" t="n">
        <v>46562</v>
      </c>
      <c r="X114" s="46" t="inlineStr">
        <is>
          <t>IF(W114&lt;&gt;"",W114,IF(OR(T114="",V114=""),"",EDATE(T114,V114)))</t>
        </is>
      </c>
      <c r="Y114" s="54" t="n"/>
      <c r="Z114" s="55" t="n"/>
      <c r="AA114" s="52" t="inlineStr">
        <is>
          <t>Under Review of WRI</t>
        </is>
      </c>
      <c r="AB114" s="52" t="inlineStr">
        <is>
          <t>Five months for the construction.</t>
        </is>
      </c>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outlineLevel="1" ht="18" customHeight="1">
      <c r="A115" s="42" t="inlineStr">
        <is>
          <t>IF(F115="","",ROW()-3)</t>
        </is>
      </c>
      <c r="B115" s="65" t="inlineStr">
        <is>
          <t>AF2-DIS-06</t>
        </is>
      </c>
      <c r="C115"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5" s="65" t="inlineStr">
        <is>
          <t>6 of 12</t>
        </is>
      </c>
      <c r="E115" s="44" t="inlineStr">
        <is>
          <t>AF2-DIS-N-073</t>
        </is>
      </c>
      <c r="F115" s="44" t="inlineStr">
        <is>
          <t>Khair Abad Drip irrigation schemes</t>
        </is>
      </c>
      <c r="G115" s="44" t="inlineStr">
        <is>
          <t>Drip Irrigation</t>
        </is>
      </c>
      <c r="H115" s="44" t="inlineStr">
        <is>
          <t>Drip Irrigation Plot</t>
        </is>
      </c>
      <c r="I115" s="44" t="inlineStr">
        <is>
          <t>Emergency Food Security Project (EFSP) – WBK/AF-2</t>
        </is>
      </c>
      <c r="J115" s="44" t="inlineStr">
        <is>
          <t>South / Kandahar</t>
        </is>
      </c>
      <c r="K115" s="44" t="inlineStr">
        <is>
          <t>Urozgan</t>
        </is>
      </c>
      <c r="L115" s="44" t="inlineStr">
        <is>
          <t>Terinkot</t>
        </is>
      </c>
      <c r="M115" s="44" t="inlineStr">
        <is>
          <t>Khair Abad</t>
        </is>
      </c>
      <c r="N115" s="44" t="inlineStr">
        <is>
          <t>World Bank (WBK/AF-2)</t>
        </is>
      </c>
      <c r="O115" s="44" t="inlineStr">
        <is>
          <t>Not awarded</t>
        </is>
      </c>
      <c r="P115" s="44" t="inlineStr">
        <is>
          <t>5. Drip Irrigation systems</t>
        </is>
      </c>
      <c r="Q115" s="44" t="inlineStr"/>
      <c r="R115" s="44" t="inlineStr"/>
      <c r="S115" s="45" t="n">
        <v>8500</v>
      </c>
      <c r="T115" s="46" t="inlineStr">
        <is>
          <t>IF(AQ115="","",AQ115)</t>
        </is>
      </c>
      <c r="U115" s="47" t="n">
        <v>46412</v>
      </c>
      <c r="V115" s="48" t="n">
        <v>4.9</v>
      </c>
      <c r="W115" s="47" t="n">
        <v>46562</v>
      </c>
      <c r="X115" s="46" t="inlineStr">
        <is>
          <t>IF(W115&lt;&gt;"",W115,IF(OR(T115="",V115=""),"",EDATE(T115,V115)))</t>
        </is>
      </c>
      <c r="Y115" s="47" t="n"/>
      <c r="Z115" s="48" t="n"/>
      <c r="AA115" s="44" t="inlineStr">
        <is>
          <t>Under Review of WRI</t>
        </is>
      </c>
      <c r="AB115" s="44" t="inlineStr">
        <is>
          <t>Five months for the construction.</t>
        </is>
      </c>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outlineLevel="1" ht="18" customHeight="1">
      <c r="A116" s="42" t="inlineStr">
        <is>
          <t>IF(F116="","",ROW()-3)</t>
        </is>
      </c>
      <c r="B116" s="65" t="inlineStr">
        <is>
          <t>AF2-DIS-06</t>
        </is>
      </c>
      <c r="C116"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6" s="65" t="inlineStr">
        <is>
          <t>7 of 12</t>
        </is>
      </c>
      <c r="E116" s="52" t="inlineStr">
        <is>
          <t>AF2-DIS-N-074</t>
        </is>
      </c>
      <c r="F116" s="52" t="inlineStr">
        <is>
          <t>Kona Kala Drip irrigation schemes</t>
        </is>
      </c>
      <c r="G116" s="52" t="inlineStr">
        <is>
          <t>Drip Irrigation</t>
        </is>
      </c>
      <c r="H116" s="52" t="inlineStr">
        <is>
          <t>Drip Irrigation Plot</t>
        </is>
      </c>
      <c r="I116" s="52" t="inlineStr">
        <is>
          <t>Emergency Food Security Project (EFSP) – WBK/AF-2</t>
        </is>
      </c>
      <c r="J116" s="52" t="inlineStr">
        <is>
          <t>South / Kandahar</t>
        </is>
      </c>
      <c r="K116" s="52" t="inlineStr">
        <is>
          <t>Urozgan</t>
        </is>
      </c>
      <c r="L116" s="52" t="inlineStr">
        <is>
          <t>Terinkot</t>
        </is>
      </c>
      <c r="M116" s="52" t="inlineStr">
        <is>
          <t>Kona Kala</t>
        </is>
      </c>
      <c r="N116" s="52" t="inlineStr">
        <is>
          <t>World Bank (WBK/AF-2)</t>
        </is>
      </c>
      <c r="O116" s="52" t="inlineStr">
        <is>
          <t>Not awarded</t>
        </is>
      </c>
      <c r="P116" s="52" t="inlineStr">
        <is>
          <t>5. Drip Irrigation systems</t>
        </is>
      </c>
      <c r="Q116" s="52" t="inlineStr"/>
      <c r="R116" s="52" t="inlineStr"/>
      <c r="S116" s="53" t="n">
        <v>4250</v>
      </c>
      <c r="T116" s="46" t="inlineStr">
        <is>
          <t>IF(AQ116="","",AQ116)</t>
        </is>
      </c>
      <c r="U116" s="54" t="n">
        <v>46412</v>
      </c>
      <c r="V116" s="55" t="n">
        <v>4.9</v>
      </c>
      <c r="W116" s="54" t="n">
        <v>46562</v>
      </c>
      <c r="X116" s="46" t="inlineStr">
        <is>
          <t>IF(W116&lt;&gt;"",W116,IF(OR(T116="",V116=""),"",EDATE(T116,V116)))</t>
        </is>
      </c>
      <c r="Y116" s="54" t="n"/>
      <c r="Z116" s="55" t="n"/>
      <c r="AA116" s="52" t="inlineStr">
        <is>
          <t>Under Review of WRI</t>
        </is>
      </c>
      <c r="AB116" s="52" t="inlineStr">
        <is>
          <t>Five months for the construction.</t>
        </is>
      </c>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outlineLevel="1" ht="18" customHeight="1">
      <c r="A117" s="42" t="inlineStr">
        <is>
          <t>IF(F117="","",ROW()-3)</t>
        </is>
      </c>
      <c r="B117" s="65" t="inlineStr">
        <is>
          <t>AF2-DIS-06</t>
        </is>
      </c>
      <c r="C117"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7" s="65" t="inlineStr">
        <is>
          <t>8 of 12</t>
        </is>
      </c>
      <c r="E117" s="44" t="inlineStr">
        <is>
          <t>AF2-DIS-N-075</t>
        </is>
      </c>
      <c r="F117" s="44" t="inlineStr">
        <is>
          <t>Loy Razi Drip irrigation schemes</t>
        </is>
      </c>
      <c r="G117" s="44" t="inlineStr">
        <is>
          <t>Drip Irrigation</t>
        </is>
      </c>
      <c r="H117" s="44" t="inlineStr">
        <is>
          <t>Drip Irrigation Plot</t>
        </is>
      </c>
      <c r="I117" s="44" t="inlineStr">
        <is>
          <t>Emergency Food Security Project (EFSP) – WBK/AF-2</t>
        </is>
      </c>
      <c r="J117" s="44" t="inlineStr">
        <is>
          <t>South / Kandahar</t>
        </is>
      </c>
      <c r="K117" s="44" t="inlineStr">
        <is>
          <t>Nemroz</t>
        </is>
      </c>
      <c r="L117" s="44" t="inlineStr">
        <is>
          <t>Khashrod</t>
        </is>
      </c>
      <c r="M117" s="44" t="inlineStr">
        <is>
          <t>Loy Razi</t>
        </is>
      </c>
      <c r="N117" s="44" t="inlineStr">
        <is>
          <t>World Bank (WBK/AF-2)</t>
        </is>
      </c>
      <c r="O117" s="44" t="inlineStr">
        <is>
          <t>Not awarded</t>
        </is>
      </c>
      <c r="P117" s="44" t="inlineStr">
        <is>
          <t>5. Drip Irrigation systems</t>
        </is>
      </c>
      <c r="Q117" s="44" t="inlineStr"/>
      <c r="R117" s="44" t="inlineStr"/>
      <c r="S117" s="45" t="n">
        <v>4250</v>
      </c>
      <c r="T117" s="46" t="inlineStr">
        <is>
          <t>IF(AQ117="","",AQ117)</t>
        </is>
      </c>
      <c r="U117" s="47" t="n">
        <v>46412</v>
      </c>
      <c r="V117" s="48" t="n">
        <v>4.9</v>
      </c>
      <c r="W117" s="47" t="n">
        <v>46562</v>
      </c>
      <c r="X117" s="46" t="inlineStr">
        <is>
          <t>IF(W117&lt;&gt;"",W117,IF(OR(T117="",V117=""),"",EDATE(T117,V117)))</t>
        </is>
      </c>
      <c r="Y117" s="47" t="n"/>
      <c r="Z117" s="48" t="n"/>
      <c r="AA117" s="44" t="inlineStr">
        <is>
          <t>Under Review of WRI</t>
        </is>
      </c>
      <c r="AB117" s="44" t="inlineStr">
        <is>
          <t>Five months for the construction.</t>
        </is>
      </c>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outlineLevel="1" ht="18" customHeight="1">
      <c r="A118" s="42" t="inlineStr">
        <is>
          <t>IF(F118="","",ROW()-3)</t>
        </is>
      </c>
      <c r="B118" s="65" t="inlineStr">
        <is>
          <t>AF2-DIS-06</t>
        </is>
      </c>
      <c r="C118"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8" s="65" t="inlineStr">
        <is>
          <t>9 of 12</t>
        </is>
      </c>
      <c r="E118" s="52" t="inlineStr">
        <is>
          <t>AF2-DIS-N-076</t>
        </is>
      </c>
      <c r="F118" s="52" t="inlineStr">
        <is>
          <t>Mohmad Drip irrigation schemes</t>
        </is>
      </c>
      <c r="G118" s="52" t="inlineStr">
        <is>
          <t>Drip Irrigation</t>
        </is>
      </c>
      <c r="H118" s="52" t="inlineStr">
        <is>
          <t>Drip Irrigation Plot</t>
        </is>
      </c>
      <c r="I118" s="52" t="inlineStr">
        <is>
          <t>Emergency Food Security Project (EFSP) – WBK/AF-2</t>
        </is>
      </c>
      <c r="J118" s="52" t="inlineStr">
        <is>
          <t>South / Kandahar</t>
        </is>
      </c>
      <c r="K118" s="52" t="inlineStr">
        <is>
          <t>Kandahar</t>
        </is>
      </c>
      <c r="L118" s="52" t="inlineStr">
        <is>
          <t>Daman</t>
        </is>
      </c>
      <c r="M118" s="52" t="inlineStr">
        <is>
          <t>Mohmand</t>
        </is>
      </c>
      <c r="N118" s="52" t="inlineStr">
        <is>
          <t>World Bank (WBK/AF-2)</t>
        </is>
      </c>
      <c r="O118" s="52" t="inlineStr">
        <is>
          <t>Not awarded</t>
        </is>
      </c>
      <c r="P118" s="52" t="inlineStr">
        <is>
          <t>5. Drip Irrigation systems</t>
        </is>
      </c>
      <c r="Q118" s="52" t="inlineStr"/>
      <c r="R118" s="52" t="inlineStr"/>
      <c r="S118" s="53" t="n">
        <v>4250</v>
      </c>
      <c r="T118" s="46" t="inlineStr">
        <is>
          <t>IF(AQ118="","",AQ118)</t>
        </is>
      </c>
      <c r="U118" s="54" t="n">
        <v>46412</v>
      </c>
      <c r="V118" s="55" t="n">
        <v>4.9</v>
      </c>
      <c r="W118" s="54" t="n">
        <v>46562</v>
      </c>
      <c r="X118" s="46" t="inlineStr">
        <is>
          <t>IF(W118&lt;&gt;"",W118,IF(OR(T118="",V118=""),"",EDATE(T118,V118)))</t>
        </is>
      </c>
      <c r="Y118" s="54" t="n"/>
      <c r="Z118" s="55" t="n"/>
      <c r="AA118" s="52" t="inlineStr">
        <is>
          <t>Under Review of WRI</t>
        </is>
      </c>
      <c r="AB118" s="52" t="inlineStr">
        <is>
          <t>Five months for the construction.</t>
        </is>
      </c>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outlineLevel="1" ht="18" customHeight="1">
      <c r="A119" s="42" t="inlineStr">
        <is>
          <t>IF(F119="","",ROW()-3)</t>
        </is>
      </c>
      <c r="B119" s="65" t="inlineStr">
        <is>
          <t>AF2-DIS-06</t>
        </is>
      </c>
      <c r="C119"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9" s="65" t="inlineStr">
        <is>
          <t>10 of 12</t>
        </is>
      </c>
      <c r="E119" s="44" t="inlineStr">
        <is>
          <t>AF2-DIS-N-077</t>
        </is>
      </c>
      <c r="F119" s="44" t="inlineStr">
        <is>
          <t>Omarzai Drip irrigation schemes</t>
        </is>
      </c>
      <c r="G119" s="44" t="inlineStr">
        <is>
          <t>Drip Irrigation</t>
        </is>
      </c>
      <c r="H119" s="44" t="inlineStr">
        <is>
          <t>Drip Irrigation Plot</t>
        </is>
      </c>
      <c r="I119" s="44" t="inlineStr">
        <is>
          <t>Emergency Food Security Project (EFSP) – WBK/AF-2</t>
        </is>
      </c>
      <c r="J119" s="44" t="inlineStr">
        <is>
          <t>South / Kandahar</t>
        </is>
      </c>
      <c r="K119" s="44" t="inlineStr">
        <is>
          <t>Zabul</t>
        </is>
      </c>
      <c r="L119" s="44" t="inlineStr">
        <is>
          <t>Seyure</t>
        </is>
      </c>
      <c r="M119" s="44" t="inlineStr">
        <is>
          <t>Omerzai</t>
        </is>
      </c>
      <c r="N119" s="44" t="inlineStr">
        <is>
          <t>World Bank (WBK/AF-2)</t>
        </is>
      </c>
      <c r="O119" s="44" t="inlineStr">
        <is>
          <t>Not awarded</t>
        </is>
      </c>
      <c r="P119" s="44" t="inlineStr">
        <is>
          <t>5. Drip Irrigation systems</t>
        </is>
      </c>
      <c r="Q119" s="44" t="inlineStr"/>
      <c r="R119" s="44" t="inlineStr"/>
      <c r="S119" s="45" t="n">
        <v>4250</v>
      </c>
      <c r="T119" s="46" t="inlineStr">
        <is>
          <t>IF(AQ119="","",AQ119)</t>
        </is>
      </c>
      <c r="U119" s="47" t="n">
        <v>46412</v>
      </c>
      <c r="V119" s="48" t="n">
        <v>4.9</v>
      </c>
      <c r="W119" s="47" t="n">
        <v>46562</v>
      </c>
      <c r="X119" s="46" t="inlineStr">
        <is>
          <t>IF(W119&lt;&gt;"",W119,IF(OR(T119="",V119=""),"",EDATE(T119,V119)))</t>
        </is>
      </c>
      <c r="Y119" s="47" t="n"/>
      <c r="Z119" s="48" t="n"/>
      <c r="AA119" s="44" t="inlineStr">
        <is>
          <t>Under Review of WRI</t>
        </is>
      </c>
      <c r="AB119" s="44" t="inlineStr">
        <is>
          <t>Five months for the construction.</t>
        </is>
      </c>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outlineLevel="1" ht="18" customHeight="1">
      <c r="A120" s="42" t="inlineStr">
        <is>
          <t>IF(F120="","",ROW()-3)</t>
        </is>
      </c>
      <c r="B120" s="65" t="inlineStr">
        <is>
          <t>AF2-DIS-06</t>
        </is>
      </c>
      <c r="C120"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0" s="65" t="inlineStr">
        <is>
          <t>11 of 12</t>
        </is>
      </c>
      <c r="E120" s="52" t="inlineStr">
        <is>
          <t>AF2-DIS-N-078</t>
        </is>
      </c>
      <c r="F120" s="52" t="inlineStr">
        <is>
          <t>Rud Kali Drip irrigation schemes</t>
        </is>
      </c>
      <c r="G120" s="52" t="inlineStr">
        <is>
          <t>Drip Irrigation</t>
        </is>
      </c>
      <c r="H120" s="52" t="inlineStr">
        <is>
          <t>Drip Irrigation Plot</t>
        </is>
      </c>
      <c r="I120" s="52" t="inlineStr">
        <is>
          <t>Emergency Food Security Project (EFSP) – WBK/AF-2</t>
        </is>
      </c>
      <c r="J120" s="52" t="inlineStr">
        <is>
          <t>South / Kandahar</t>
        </is>
      </c>
      <c r="K120" s="52" t="inlineStr">
        <is>
          <t>Zabul</t>
        </is>
      </c>
      <c r="L120" s="52" t="inlineStr">
        <is>
          <t>Tarnak- Jaldak</t>
        </is>
      </c>
      <c r="M120" s="52" t="inlineStr">
        <is>
          <t>Rud Kali</t>
        </is>
      </c>
      <c r="N120" s="52" t="inlineStr">
        <is>
          <t>World Bank (WBK/AF-2)</t>
        </is>
      </c>
      <c r="O120" s="52" t="inlineStr">
        <is>
          <t>Not awarded</t>
        </is>
      </c>
      <c r="P120" s="52" t="inlineStr">
        <is>
          <t>5. Drip Irrigation systems</t>
        </is>
      </c>
      <c r="Q120" s="52" t="inlineStr"/>
      <c r="R120" s="52" t="inlineStr"/>
      <c r="S120" s="53" t="n">
        <v>8500</v>
      </c>
      <c r="T120" s="46" t="inlineStr">
        <is>
          <t>IF(AQ120="","",AQ120)</t>
        </is>
      </c>
      <c r="U120" s="54" t="n">
        <v>46412</v>
      </c>
      <c r="V120" s="55" t="n">
        <v>4.9</v>
      </c>
      <c r="W120" s="54" t="n">
        <v>46562</v>
      </c>
      <c r="X120" s="46" t="inlineStr">
        <is>
          <t>IF(W120&lt;&gt;"",W120,IF(OR(T120="",V120=""),"",EDATE(T120,V120)))</t>
        </is>
      </c>
      <c r="Y120" s="54" t="n"/>
      <c r="Z120" s="55" t="n"/>
      <c r="AA120" s="52" t="inlineStr">
        <is>
          <t>Under Review of WRI</t>
        </is>
      </c>
      <c r="AB120" s="52" t="inlineStr">
        <is>
          <t>Five months for the construction.</t>
        </is>
      </c>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outlineLevel="1" ht="18" customHeight="1">
      <c r="A121" s="42" t="inlineStr">
        <is>
          <t>IF(F121="","",ROW()-3)</t>
        </is>
      </c>
      <c r="B121" s="65" t="inlineStr">
        <is>
          <t>AF2-DIS-06</t>
        </is>
      </c>
      <c r="C12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1" s="65" t="inlineStr">
        <is>
          <t>12 of 12</t>
        </is>
      </c>
      <c r="E121" s="44" t="inlineStr">
        <is>
          <t>AF2-DIS-N-079</t>
        </is>
      </c>
      <c r="F121" s="44" t="inlineStr">
        <is>
          <t>Serdagh Kali Drip irrigation schemes</t>
        </is>
      </c>
      <c r="G121" s="44" t="inlineStr">
        <is>
          <t>Drip Irrigation</t>
        </is>
      </c>
      <c r="H121" s="44" t="inlineStr">
        <is>
          <t>Drip Irrigation Plot</t>
        </is>
      </c>
      <c r="I121" s="44" t="inlineStr">
        <is>
          <t>Emergency Food Security Project (EFSP) – WBK/AF-2</t>
        </is>
      </c>
      <c r="J121" s="44" t="inlineStr">
        <is>
          <t>South / Kandahar</t>
        </is>
      </c>
      <c r="K121" s="44" t="inlineStr">
        <is>
          <t>Kandahar</t>
        </is>
      </c>
      <c r="L121" s="44" t="inlineStr">
        <is>
          <t>Naish</t>
        </is>
      </c>
      <c r="M121" s="44" t="inlineStr">
        <is>
          <t>Serdagh Kali</t>
        </is>
      </c>
      <c r="N121" s="44" t="inlineStr">
        <is>
          <t>World Bank (WBK/AF-2)</t>
        </is>
      </c>
      <c r="O121" s="44" t="inlineStr">
        <is>
          <t>Not awarded</t>
        </is>
      </c>
      <c r="P121" s="44" t="inlineStr">
        <is>
          <t>5. Drip Irrigation systems</t>
        </is>
      </c>
      <c r="Q121" s="44" t="inlineStr"/>
      <c r="R121" s="44" t="inlineStr"/>
      <c r="S121" s="45" t="n">
        <v>4250</v>
      </c>
      <c r="T121" s="46" t="inlineStr">
        <is>
          <t>IF(AQ121="","",AQ121)</t>
        </is>
      </c>
      <c r="U121" s="47" t="n">
        <v>46412</v>
      </c>
      <c r="V121" s="48" t="n">
        <v>4.9</v>
      </c>
      <c r="W121" s="47" t="n">
        <v>46562</v>
      </c>
      <c r="X121" s="46" t="inlineStr">
        <is>
          <t>IF(W121&lt;&gt;"",W121,IF(OR(T121="",V121=""),"",EDATE(T121,V121)))</t>
        </is>
      </c>
      <c r="Y121" s="47" t="n"/>
      <c r="Z121" s="48" t="n"/>
      <c r="AA121" s="44" t="inlineStr">
        <is>
          <t>Under Review of WRI</t>
        </is>
      </c>
      <c r="AB121" s="44" t="inlineStr">
        <is>
          <t>Five months for the construction.</t>
        </is>
      </c>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32" t="inlineStr">
        <is>
          <t>IF(F122="","",ROW()-3)</t>
        </is>
      </c>
      <c r="B122" s="33" t="inlineStr">
        <is>
          <t>AF2-DIS-07</t>
        </is>
      </c>
      <c r="C122"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2" s="33" t="inlineStr">
        <is>
          <t>1 of 9</t>
        </is>
      </c>
      <c r="E122" s="34" t="inlineStr">
        <is>
          <t>AF2-DIS-N-080</t>
        </is>
      </c>
      <c r="F122" s="34" t="inlineStr">
        <is>
          <t>Chaqul Drip Irrigation Scheme</t>
        </is>
      </c>
      <c r="G122" s="34" t="inlineStr">
        <is>
          <t>Drip Irrigation</t>
        </is>
      </c>
      <c r="H122" s="34" t="inlineStr">
        <is>
          <t>Drip Irrigation Plot</t>
        </is>
      </c>
      <c r="I122" s="34" t="inlineStr">
        <is>
          <t>Emergency Food Security Project (EFSP) – WBK/AF-2</t>
        </is>
      </c>
      <c r="J122" s="34" t="inlineStr">
        <is>
          <t>Northeast / Kunduz</t>
        </is>
      </c>
      <c r="K122" s="34" t="inlineStr">
        <is>
          <t>Takhar</t>
        </is>
      </c>
      <c r="L122" s="34" t="inlineStr">
        <is>
          <t>Baharak</t>
        </is>
      </c>
      <c r="M122" s="34" t="inlineStr">
        <is>
          <t>Chaqul</t>
        </is>
      </c>
      <c r="N122" s="34" t="inlineStr">
        <is>
          <t>World Bank (WBK/AF-2)</t>
        </is>
      </c>
      <c r="O122" s="34" t="inlineStr">
        <is>
          <t>Not awarded</t>
        </is>
      </c>
      <c r="P122" s="34" t="inlineStr">
        <is>
          <t>5. Drip Irrigation systems</t>
        </is>
      </c>
      <c r="Q122" s="34" t="inlineStr">
        <is>
          <t>Nasratullah</t>
        </is>
      </c>
      <c r="R122" s="34" t="inlineStr"/>
      <c r="S122" s="35" t="n">
        <v>4250</v>
      </c>
      <c r="T122" s="36" t="inlineStr">
        <is>
          <t>IF(AQ122="","",AQ122)</t>
        </is>
      </c>
      <c r="U122" s="37" t="n">
        <v>46412</v>
      </c>
      <c r="V122" s="38" t="n">
        <v>6.2</v>
      </c>
      <c r="W122" s="37" t="n">
        <v>46602</v>
      </c>
      <c r="X122" s="36" t="inlineStr">
        <is>
          <t>IF(W122&lt;&gt;"",W122,IF(OR(T122="",V122=""),"",EDATE(T122,V122)))</t>
        </is>
      </c>
      <c r="Y122" s="37" t="n"/>
      <c r="Z122" s="38" t="n"/>
      <c r="AA122" s="34" t="inlineStr">
        <is>
          <t>Under Review of WRI</t>
        </is>
      </c>
      <c r="AB122" s="34" t="inlineStr">
        <is>
          <t>Construction period five months starting from March 2027. | Farmer: Nasratullah</t>
        </is>
      </c>
      <c r="AC122" s="32" t="inlineStr">
        <is>
          <t>IF(F122="","",IF(COUNT(AI122:AV122)=0,IF(AA122="","Not started",AA122),SUBSTITUTE(LOOKUP(2,1/(AI122:AV122&lt;&gt;""),$AI$3:$AV$3),"Date: ","")))</t>
        </is>
      </c>
      <c r="AD122" s="39" t="inlineStr">
        <is>
          <t>IF(OR(F122="",COUNT(AI122:AV122)=0),"",TODAY()-LOOKUP(2,1/(AI122:AV122&lt;&gt;""),AI122:AV122))</t>
        </is>
      </c>
      <c r="AE122" s="39" t="inlineStr">
        <is>
          <t>IF(OR(F122="",COUNT(AI122:AV122)&lt;2),"",LOOKUP(2,1/(AI122:AV122&lt;&gt;""),AI122:AV122)-MIN(AI122:AV122))</t>
        </is>
      </c>
      <c r="AF122" s="39" t="inlineStr">
        <is>
          <t>IF(OR(AD122="",AC122="Not started",AC122=""),"",IFERROR(AD122-IF(VLOOKUP(AC122,'06_Status_Pipeline'!$B$3:$E$20,4,FALSE)="",0,VLOOKUP(AC122,'06_Status_Pipeline'!$B$3:$E$20,4,FALSE)),""))</t>
        </is>
      </c>
      <c r="AG122" s="3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39" t="inlineStr">
        <is>
          <t>IF(OR(F122="",AC122="Completed / Handover",AC122="Cancelled"),"",IF(O122="Not awarded",IF(U122&lt;&gt;"",U122-TODAY(),IF(X122="","",X122-TODAY())),IF(X122="","",X122-TODAY())))</t>
        </is>
      </c>
      <c r="AI122" s="37" t="n"/>
      <c r="AJ122" s="37" t="n"/>
      <c r="AK122" s="37" t="n"/>
      <c r="AL122" s="37" t="n"/>
      <c r="AM122" s="37" t="n"/>
      <c r="AN122" s="37" t="n"/>
      <c r="AO122" s="37" t="n"/>
      <c r="AP122" s="37" t="n"/>
      <c r="AQ122" s="37" t="n"/>
      <c r="AR122" s="37" t="n"/>
      <c r="AS122" s="37" t="n"/>
      <c r="AT122" s="40" t="n"/>
      <c r="AU122" s="40" t="n"/>
      <c r="AV122" s="40" t="n"/>
      <c r="AW122" s="39" t="inlineStr">
        <is>
          <t>IF(OR(F122="",AJ122=""),"",IF(COUNT(AI122:AI122)=0,"",AJ122-LOOKUP(2,1/(AI122:AI122&lt;&gt;""),AI122:AI122)))</t>
        </is>
      </c>
      <c r="AX122" s="39" t="inlineStr">
        <is>
          <t>IF(OR(F122="",AK122=""),"",IF(COUNT(AI122:AJ122)=0,"",AK122-LOOKUP(2,1/(AI122:AJ122&lt;&gt;""),AI122:AJ122)))</t>
        </is>
      </c>
      <c r="AY122" s="39" t="inlineStr">
        <is>
          <t>IF(OR(F122="",AL122=""),"",IF(COUNT(AI122:AK122)=0,"",AL122-LOOKUP(2,1/(AI122:AK122&lt;&gt;""),AI122:AK122)))</t>
        </is>
      </c>
      <c r="AZ122" s="39" t="inlineStr">
        <is>
          <t>IF(OR(F122="",AM122=""),"",IF(COUNT(AI122:AL122)=0,"",AM122-LOOKUP(2,1/(AI122:AL122&lt;&gt;""),AI122:AL122)))</t>
        </is>
      </c>
      <c r="BA122" s="39" t="inlineStr">
        <is>
          <t>IF(OR(F122="",AN122=""),"",IF(COUNT(AI122:AM122)=0,"",AN122-LOOKUP(2,1/(AI122:AM122&lt;&gt;""),AI122:AM122)))</t>
        </is>
      </c>
      <c r="BB122" s="39" t="inlineStr">
        <is>
          <t>IF(OR(F122="",AO122=""),"",IF(COUNT(AI122:AN122)=0,"",AO122-LOOKUP(2,1/(AI122:AN122&lt;&gt;""),AI122:AN122)))</t>
        </is>
      </c>
      <c r="BC122" s="39" t="inlineStr">
        <is>
          <t>IF(OR(F122="",AP122=""),"",IF(COUNT(AI122:AO122)=0,"",AP122-LOOKUP(2,1/(AI122:AO122&lt;&gt;""),AI122:AO122)))</t>
        </is>
      </c>
      <c r="BD122" s="39" t="inlineStr">
        <is>
          <t>IF(OR(F122="",AQ122=""),"",IF(COUNT(AI122:AP122)=0,"",AQ122-LOOKUP(2,1/(AI122:AP122&lt;&gt;""),AI122:AP122)))</t>
        </is>
      </c>
      <c r="BE122" s="39" t="inlineStr">
        <is>
          <t>IF(OR(F122="",AR122=""),"",IF(COUNT(AI122:AQ122)=0,"",AR122-LOOKUP(2,1/(AI122:AQ122&lt;&gt;""),AI122:AQ122)))</t>
        </is>
      </c>
      <c r="BF122" s="39" t="inlineStr">
        <is>
          <t>IF(OR(F122="",AS122=""),"",IF(COUNT(AI122:AR122)=0,"",AS122-LOOKUP(2,1/(AI122:AR122&lt;&gt;""),AI122:AR122)))</t>
        </is>
      </c>
      <c r="BG122" s="39" t="inlineStr">
        <is>
          <t>IF(OR(F122="",AT122=""),"",IF(COUNT(AI122:AS122)=0,"",AT122-LOOKUP(2,1/(AI122:AS122&lt;&gt;""),AI122:AS122)))</t>
        </is>
      </c>
      <c r="BH122" s="39" t="inlineStr">
        <is>
          <t>IF(OR(F122="",AU122=""),"",IF(COUNT(AI122:AT122)=0,"",AU122-LOOKUP(2,1/(AI122:AT122&lt;&gt;""),AI122:AT122)))</t>
        </is>
      </c>
      <c r="BI122" s="39" t="inlineStr">
        <is>
          <t>IF(OR(F122="",AV122=""),"",IF(COUNT(AI122:AU122)=0,"",AV122-LOOKUP(2,1/(AI122:AU122&lt;&gt;""),AI122:AU122)))</t>
        </is>
      </c>
      <c r="BJ122" s="41" t="inlineStr">
        <is>
          <t>IF(J122="","All_Provinces",IFERROR(VLOOKUP(J122,'09_Lookups'!$A$4:$B$20,2,FALSE),"All_Provinces"))</t>
        </is>
      </c>
      <c r="BK122" s="41" t="inlineStr">
        <is>
          <t>IF(K122="","All_Districts",IFERROR(VLOOKUP(K122,'09_Lookups'!$E$4:$F$42,2,FALSE),"All_Districts"))</t>
        </is>
      </c>
    </row>
    <row r="123" outlineLevel="1" ht="18" customHeight="1">
      <c r="A123" s="42" t="inlineStr">
        <is>
          <t>IF(F123="","",ROW()-3)</t>
        </is>
      </c>
      <c r="B123" s="43" t="inlineStr">
        <is>
          <t>AF2-DIS-07</t>
        </is>
      </c>
      <c r="C123"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3" s="43" t="inlineStr">
        <is>
          <t>2 of 9</t>
        </is>
      </c>
      <c r="E123" s="44" t="inlineStr">
        <is>
          <t>AF2-DIS-N-081</t>
        </is>
      </c>
      <c r="F123" s="44" t="inlineStr">
        <is>
          <t>Haji Atta Khan Drip Irrgiatation Scheme</t>
        </is>
      </c>
      <c r="G123" s="44" t="inlineStr">
        <is>
          <t>Drip Irrigation</t>
        </is>
      </c>
      <c r="H123" s="44" t="inlineStr">
        <is>
          <t>Drip Irrigation Plot</t>
        </is>
      </c>
      <c r="I123" s="44" t="inlineStr">
        <is>
          <t>Emergency Food Security Project (EFSP) – WBK/AF-2</t>
        </is>
      </c>
      <c r="J123" s="44" t="inlineStr">
        <is>
          <t>Northeast / Kunduz</t>
        </is>
      </c>
      <c r="K123" s="44" t="inlineStr">
        <is>
          <t>Kunduz</t>
        </is>
      </c>
      <c r="L123" s="44" t="inlineStr">
        <is>
          <t>Chahar Dara</t>
        </is>
      </c>
      <c r="M123" s="44" t="inlineStr">
        <is>
          <t>Haji Atta Khan Masjid</t>
        </is>
      </c>
      <c r="N123" s="44" t="inlineStr">
        <is>
          <t>World Bank (WBK/AF-2)</t>
        </is>
      </c>
      <c r="O123" s="44" t="inlineStr">
        <is>
          <t>Not awarded</t>
        </is>
      </c>
      <c r="P123" s="44" t="inlineStr">
        <is>
          <t>5. Drip Irrigation systems</t>
        </is>
      </c>
      <c r="Q123" s="44" t="inlineStr">
        <is>
          <t>Haji Hamayoon Salimi</t>
        </is>
      </c>
      <c r="R123" s="44" t="inlineStr"/>
      <c r="S123" s="45" t="n">
        <v>8500</v>
      </c>
      <c r="T123" s="46" t="inlineStr">
        <is>
          <t>IF(AQ123="","",AQ123)</t>
        </is>
      </c>
      <c r="U123" s="47" t="n">
        <v>46412</v>
      </c>
      <c r="V123" s="48" t="n">
        <v>6.2</v>
      </c>
      <c r="W123" s="47" t="n">
        <v>46602</v>
      </c>
      <c r="X123" s="46" t="inlineStr">
        <is>
          <t>IF(W123&lt;&gt;"",W123,IF(OR(T123="",V123=""),"",EDATE(T123,V123)))</t>
        </is>
      </c>
      <c r="Y123" s="47" t="n"/>
      <c r="Z123" s="48" t="n"/>
      <c r="AA123" s="44" t="inlineStr">
        <is>
          <t>Under Review of WRI</t>
        </is>
      </c>
      <c r="AB123" s="44" t="inlineStr">
        <is>
          <t>Construction period five months starting from March 2027. | Farmer: Haji Hamayoon Salimi</t>
        </is>
      </c>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outlineLevel="1" ht="18" customHeight="1">
      <c r="A124" s="42" t="inlineStr">
        <is>
          <t>IF(F124="","",ROW()-3)</t>
        </is>
      </c>
      <c r="B124" s="43" t="inlineStr">
        <is>
          <t>AF2-DIS-07</t>
        </is>
      </c>
      <c r="C124"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4" s="43" t="inlineStr">
        <is>
          <t>3 of 9</t>
        </is>
      </c>
      <c r="E124" s="52" t="inlineStr">
        <is>
          <t>AF2-DIS-N-082</t>
        </is>
      </c>
      <c r="F124" s="52" t="inlineStr">
        <is>
          <t>Khoja Alwan Drip Irrigation Scheme</t>
        </is>
      </c>
      <c r="G124" s="52" t="inlineStr">
        <is>
          <t>Drip Irrigation</t>
        </is>
      </c>
      <c r="H124" s="52" t="inlineStr">
        <is>
          <t>Drip Irrigation Plot</t>
        </is>
      </c>
      <c r="I124" s="52" t="inlineStr">
        <is>
          <t>Emergency Food Security Project (EFSP) – WBK/AF-2</t>
        </is>
      </c>
      <c r="J124" s="52" t="inlineStr">
        <is>
          <t>Northeast / Kunduz</t>
        </is>
      </c>
      <c r="K124" s="52" t="inlineStr">
        <is>
          <t>Baghlan</t>
        </is>
      </c>
      <c r="L124" s="52" t="inlineStr">
        <is>
          <t>Dand Ghori</t>
        </is>
      </c>
      <c r="M124" s="52" t="inlineStr">
        <is>
          <t>Khoja Alwan</t>
        </is>
      </c>
      <c r="N124" s="52" t="inlineStr">
        <is>
          <t>World Bank (WBK/AF-2)</t>
        </is>
      </c>
      <c r="O124" s="52" t="inlineStr">
        <is>
          <t>Not awarded</t>
        </is>
      </c>
      <c r="P124" s="52" t="inlineStr">
        <is>
          <t>5. Drip Irrigation systems</t>
        </is>
      </c>
      <c r="Q124" s="52" t="inlineStr">
        <is>
          <t>Haji Amir Gul</t>
        </is>
      </c>
      <c r="R124" s="52" t="inlineStr"/>
      <c r="S124" s="53" t="n">
        <v>8500</v>
      </c>
      <c r="T124" s="46" t="inlineStr">
        <is>
          <t>IF(AQ124="","",AQ124)</t>
        </is>
      </c>
      <c r="U124" s="54" t="n">
        <v>46412</v>
      </c>
      <c r="V124" s="55" t="n">
        <v>6.2</v>
      </c>
      <c r="W124" s="54" t="n">
        <v>46602</v>
      </c>
      <c r="X124" s="46" t="inlineStr">
        <is>
          <t>IF(W124&lt;&gt;"",W124,IF(OR(T124="",V124=""),"",EDATE(T124,V124)))</t>
        </is>
      </c>
      <c r="Y124" s="54" t="n"/>
      <c r="Z124" s="55" t="n"/>
      <c r="AA124" s="52" t="inlineStr">
        <is>
          <t>Under Review of WRI</t>
        </is>
      </c>
      <c r="AB124" s="52" t="inlineStr">
        <is>
          <t>Construction period five months starting from March 2027. | Farmer: Haji Amir Gul</t>
        </is>
      </c>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outlineLevel="1" ht="18" customHeight="1">
      <c r="A125" s="42" t="inlineStr">
        <is>
          <t>IF(F125="","",ROW()-3)</t>
        </is>
      </c>
      <c r="B125" s="43" t="inlineStr">
        <is>
          <t>AF2-DIS-07</t>
        </is>
      </c>
      <c r="C125"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5" s="43" t="inlineStr">
        <is>
          <t>4 of 9</t>
        </is>
      </c>
      <c r="E125" s="44" t="inlineStr">
        <is>
          <t>AF2-DIS-N-083</t>
        </is>
      </c>
      <c r="F125" s="44" t="inlineStr">
        <is>
          <t>Khoja Bolak Drip Irrigation Scheme</t>
        </is>
      </c>
      <c r="G125" s="44" t="inlineStr">
        <is>
          <t>Drip Irrigation</t>
        </is>
      </c>
      <c r="H125" s="44" t="inlineStr">
        <is>
          <t>Drip Irrigation Plot</t>
        </is>
      </c>
      <c r="I125" s="44" t="inlineStr">
        <is>
          <t>Emergency Food Security Project (EFSP) – WBK/AF-2</t>
        </is>
      </c>
      <c r="J125" s="44" t="inlineStr">
        <is>
          <t>Northeast / Kunduz</t>
        </is>
      </c>
      <c r="K125" s="44" t="inlineStr">
        <is>
          <t>Kunudz</t>
        </is>
      </c>
      <c r="L125" s="44" t="inlineStr">
        <is>
          <t>Khan Abad</t>
        </is>
      </c>
      <c r="M125" s="44" t="inlineStr">
        <is>
          <t>Khoja Bolak</t>
        </is>
      </c>
      <c r="N125" s="44" t="inlineStr">
        <is>
          <t>World Bank (WBK/AF-2)</t>
        </is>
      </c>
      <c r="O125" s="44" t="inlineStr">
        <is>
          <t>Not awarded</t>
        </is>
      </c>
      <c r="P125" s="44" t="inlineStr">
        <is>
          <t>5. Drip Irrigation systems</t>
        </is>
      </c>
      <c r="Q125" s="44" t="inlineStr">
        <is>
          <t>Mohammad Qasim</t>
        </is>
      </c>
      <c r="R125" s="44" t="inlineStr"/>
      <c r="S125" s="45" t="n">
        <v>8500</v>
      </c>
      <c r="T125" s="46" t="inlineStr">
        <is>
          <t>IF(AQ125="","",AQ125)</t>
        </is>
      </c>
      <c r="U125" s="47" t="n">
        <v>46412</v>
      </c>
      <c r="V125" s="48" t="n">
        <v>6.2</v>
      </c>
      <c r="W125" s="47" t="n">
        <v>46602</v>
      </c>
      <c r="X125" s="46" t="inlineStr">
        <is>
          <t>IF(W125&lt;&gt;"",W125,IF(OR(T125="",V125=""),"",EDATE(T125,V125)))</t>
        </is>
      </c>
      <c r="Y125" s="47" t="n"/>
      <c r="Z125" s="48" t="n"/>
      <c r="AA125" s="44" t="inlineStr">
        <is>
          <t>Under Review of WRI</t>
        </is>
      </c>
      <c r="AB125" s="44" t="inlineStr">
        <is>
          <t>Construction period five months starting from March 2027. | Farmer: Mohammad Qasim</t>
        </is>
      </c>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outlineLevel="1" ht="18" customHeight="1">
      <c r="A126" s="42" t="inlineStr">
        <is>
          <t>IF(F126="","",ROW()-3)</t>
        </is>
      </c>
      <c r="B126" s="43" t="inlineStr">
        <is>
          <t>AF2-DIS-07</t>
        </is>
      </c>
      <c r="C126"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6" s="43" t="inlineStr">
        <is>
          <t>5 of 9</t>
        </is>
      </c>
      <c r="E126" s="52" t="inlineStr">
        <is>
          <t>AF2-DIS-N-084</t>
        </is>
      </c>
      <c r="F126" s="52" t="inlineStr">
        <is>
          <t>Masjid Dr. Shafiq Mamakhail Drip Irrigation Scheme</t>
        </is>
      </c>
      <c r="G126" s="52" t="inlineStr">
        <is>
          <t>Drip Irrigation</t>
        </is>
      </c>
      <c r="H126" s="52" t="inlineStr">
        <is>
          <t>Drip Irrigation Plot</t>
        </is>
      </c>
      <c r="I126" s="52" t="inlineStr">
        <is>
          <t>Emergency Food Security Project (EFSP) – WBK/AF-2</t>
        </is>
      </c>
      <c r="J126" s="52" t="inlineStr">
        <is>
          <t>Northeast / Kunduz</t>
        </is>
      </c>
      <c r="K126" s="52" t="inlineStr">
        <is>
          <t>Kunduz</t>
        </is>
      </c>
      <c r="L126" s="52" t="inlineStr">
        <is>
          <t>Chahar Dara</t>
        </is>
      </c>
      <c r="M126" s="52" t="inlineStr">
        <is>
          <t>Mamakhail</t>
        </is>
      </c>
      <c r="N126" s="52" t="inlineStr">
        <is>
          <t>World Bank (WBK/AF-2)</t>
        </is>
      </c>
      <c r="O126" s="52" t="inlineStr">
        <is>
          <t>Not awarded</t>
        </is>
      </c>
      <c r="P126" s="52" t="inlineStr">
        <is>
          <t>5. Drip Irrigation systems</t>
        </is>
      </c>
      <c r="Q126" s="52" t="inlineStr">
        <is>
          <t>Ziaurrahman Mohammadi</t>
        </is>
      </c>
      <c r="R126" s="52" t="inlineStr"/>
      <c r="S126" s="53" t="n">
        <v>4250</v>
      </c>
      <c r="T126" s="46" t="inlineStr">
        <is>
          <t>IF(AQ126="","",AQ126)</t>
        </is>
      </c>
      <c r="U126" s="54" t="n">
        <v>46412</v>
      </c>
      <c r="V126" s="55" t="n">
        <v>6.2</v>
      </c>
      <c r="W126" s="54" t="n">
        <v>46602</v>
      </c>
      <c r="X126" s="46" t="inlineStr">
        <is>
          <t>IF(W126&lt;&gt;"",W126,IF(OR(T126="",V126=""),"",EDATE(T126,V126)))</t>
        </is>
      </c>
      <c r="Y126" s="54" t="n"/>
      <c r="Z126" s="55" t="n"/>
      <c r="AA126" s="52" t="inlineStr">
        <is>
          <t>Under Review of WRI</t>
        </is>
      </c>
      <c r="AB126" s="52" t="inlineStr">
        <is>
          <t>Construction period five months starting from March 2027. | Farmer: Ziaurrahman Mohammadi</t>
        </is>
      </c>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outlineLevel="1" ht="18" customHeight="1">
      <c r="A127" s="42" t="inlineStr">
        <is>
          <t>IF(F127="","",ROW()-3)</t>
        </is>
      </c>
      <c r="B127" s="43" t="inlineStr">
        <is>
          <t>AF2-DIS-07</t>
        </is>
      </c>
      <c r="C127"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7" s="43" t="inlineStr">
        <is>
          <t>6 of 9</t>
        </is>
      </c>
      <c r="E127" s="44" t="inlineStr">
        <is>
          <t>AF2-DIS-N-085</t>
        </is>
      </c>
      <c r="F127" s="44" t="inlineStr">
        <is>
          <t>Qatar Fateh Drip Irrigation Scheme</t>
        </is>
      </c>
      <c r="G127" s="44" t="inlineStr">
        <is>
          <t>Drip Irrigation</t>
        </is>
      </c>
      <c r="H127" s="44" t="inlineStr">
        <is>
          <t>Drip Irrigation Plot</t>
        </is>
      </c>
      <c r="I127" s="44" t="inlineStr">
        <is>
          <t>Emergency Food Security Project (EFSP) – WBK/AF-2</t>
        </is>
      </c>
      <c r="J127" s="44" t="inlineStr">
        <is>
          <t>Northeast / Kunduz</t>
        </is>
      </c>
      <c r="K127" s="44" t="inlineStr">
        <is>
          <t>Baghlan</t>
        </is>
      </c>
      <c r="L127" s="44" t="inlineStr">
        <is>
          <t>Dahna-e-Ghori</t>
        </is>
      </c>
      <c r="M127" s="44" t="inlineStr">
        <is>
          <t>Qatar Fateh</t>
        </is>
      </c>
      <c r="N127" s="44" t="inlineStr">
        <is>
          <t>World Bank (WBK/AF-2)</t>
        </is>
      </c>
      <c r="O127" s="44" t="inlineStr">
        <is>
          <t>Not awarded</t>
        </is>
      </c>
      <c r="P127" s="44" t="inlineStr">
        <is>
          <t>5. Drip Irrigation systems</t>
        </is>
      </c>
      <c r="Q127" s="44" t="inlineStr">
        <is>
          <t>Haji Nazar Gul</t>
        </is>
      </c>
      <c r="R127" s="44" t="inlineStr"/>
      <c r="S127" s="45" t="n">
        <v>4250</v>
      </c>
      <c r="T127" s="46" t="inlineStr">
        <is>
          <t>IF(AQ127="","",AQ127)</t>
        </is>
      </c>
      <c r="U127" s="47" t="n">
        <v>46412</v>
      </c>
      <c r="V127" s="48" t="n">
        <v>6.2</v>
      </c>
      <c r="W127" s="47" t="n">
        <v>46602</v>
      </c>
      <c r="X127" s="46" t="inlineStr">
        <is>
          <t>IF(W127&lt;&gt;"",W127,IF(OR(T127="",V127=""),"",EDATE(T127,V127)))</t>
        </is>
      </c>
      <c r="Y127" s="47" t="n"/>
      <c r="Z127" s="48" t="n"/>
      <c r="AA127" s="44" t="inlineStr">
        <is>
          <t>Under Review of WRI</t>
        </is>
      </c>
      <c r="AB127" s="44" t="inlineStr">
        <is>
          <t>Construction period five months starting from March 2027. | Farmer: Haji Nazar Gul</t>
        </is>
      </c>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outlineLevel="1" ht="18" customHeight="1">
      <c r="A128" s="42" t="inlineStr">
        <is>
          <t>IF(F128="","",ROW()-3)</t>
        </is>
      </c>
      <c r="B128" s="43" t="inlineStr">
        <is>
          <t>AF2-DIS-07</t>
        </is>
      </c>
      <c r="C128"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8" s="43" t="inlineStr">
        <is>
          <t>7 of 9</t>
        </is>
      </c>
      <c r="E128" s="52" t="inlineStr">
        <is>
          <t>AF2-DIS-N-086</t>
        </is>
      </c>
      <c r="F128" s="52" t="inlineStr">
        <is>
          <t>Sara-e-Gharbi Drip Irrigation Scheme</t>
        </is>
      </c>
      <c r="G128" s="52" t="inlineStr">
        <is>
          <t>Drip Irrigation</t>
        </is>
      </c>
      <c r="H128" s="52" t="inlineStr">
        <is>
          <t>Drip Irrigation Plot</t>
        </is>
      </c>
      <c r="I128" s="52" t="inlineStr">
        <is>
          <t>Emergency Food Security Project (EFSP) – WBK/AF-2</t>
        </is>
      </c>
      <c r="J128" s="52" t="inlineStr">
        <is>
          <t>Northeast / Kunduz</t>
        </is>
      </c>
      <c r="K128" s="52" t="inlineStr">
        <is>
          <t>Badakhshan</t>
        </is>
      </c>
      <c r="L128" s="52" t="inlineStr">
        <is>
          <t>Kishem</t>
        </is>
      </c>
      <c r="M128" s="52" t="inlineStr">
        <is>
          <t>Sara-e-Gharbi</t>
        </is>
      </c>
      <c r="N128" s="52" t="inlineStr">
        <is>
          <t>World Bank (WBK/AF-2)</t>
        </is>
      </c>
      <c r="O128" s="52" t="inlineStr">
        <is>
          <t>Not awarded</t>
        </is>
      </c>
      <c r="P128" s="52" t="inlineStr">
        <is>
          <t>5. Drip Irrigation systems</t>
        </is>
      </c>
      <c r="Q128" s="52" t="inlineStr">
        <is>
          <t>Haji Jamal</t>
        </is>
      </c>
      <c r="R128" s="52" t="inlineStr"/>
      <c r="S128" s="53" t="n">
        <v>8500</v>
      </c>
      <c r="T128" s="46" t="inlineStr">
        <is>
          <t>IF(AQ128="","",AQ128)</t>
        </is>
      </c>
      <c r="U128" s="54" t="n">
        <v>46412</v>
      </c>
      <c r="V128" s="55" t="n">
        <v>6.2</v>
      </c>
      <c r="W128" s="54" t="n">
        <v>46602</v>
      </c>
      <c r="X128" s="46" t="inlineStr">
        <is>
          <t>IF(W128&lt;&gt;"",W128,IF(OR(T128="",V128=""),"",EDATE(T128,V128)))</t>
        </is>
      </c>
      <c r="Y128" s="54" t="n"/>
      <c r="Z128" s="55" t="n"/>
      <c r="AA128" s="52" t="inlineStr">
        <is>
          <t>Under Review of WRI</t>
        </is>
      </c>
      <c r="AB128" s="52" t="inlineStr">
        <is>
          <t>Construction period five months starting from March 2027. | Farmer: Haji Jamal</t>
        </is>
      </c>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outlineLevel="1" ht="18" customHeight="1">
      <c r="A129" s="42" t="inlineStr">
        <is>
          <t>IF(F129="","",ROW()-3)</t>
        </is>
      </c>
      <c r="B129" s="43" t="inlineStr">
        <is>
          <t>AF2-DIS-07</t>
        </is>
      </c>
      <c r="C129"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9" s="43" t="inlineStr">
        <is>
          <t>8 of 9</t>
        </is>
      </c>
      <c r="E129" s="44" t="inlineStr">
        <is>
          <t>AF2-DIS-N-087</t>
        </is>
      </c>
      <c r="F129" s="44" t="inlineStr">
        <is>
          <t>Shamba Bazar Drip Irrgiatation Scheme</t>
        </is>
      </c>
      <c r="G129" s="44" t="inlineStr">
        <is>
          <t>Drip Irrigation</t>
        </is>
      </c>
      <c r="H129" s="44" t="inlineStr">
        <is>
          <t>Drip Irrigation Plot</t>
        </is>
      </c>
      <c r="I129" s="44" t="inlineStr">
        <is>
          <t>Emergency Food Security Project (EFSP) – WBK/AF-2</t>
        </is>
      </c>
      <c r="J129" s="44" t="inlineStr">
        <is>
          <t>Northeast / Kunduz</t>
        </is>
      </c>
      <c r="K129" s="44" t="inlineStr">
        <is>
          <t>Kunduz</t>
        </is>
      </c>
      <c r="L129" s="44" t="inlineStr">
        <is>
          <t>Dashte Archi</t>
        </is>
      </c>
      <c r="M129" s="44" t="inlineStr">
        <is>
          <t>Shamba Bazar</t>
        </is>
      </c>
      <c r="N129" s="44" t="inlineStr">
        <is>
          <t>World Bank (WBK/AF-2)</t>
        </is>
      </c>
      <c r="O129" s="44" t="inlineStr">
        <is>
          <t>Not awarded</t>
        </is>
      </c>
      <c r="P129" s="44" t="inlineStr">
        <is>
          <t>5. Drip Irrigation systems</t>
        </is>
      </c>
      <c r="Q129" s="44" t="inlineStr">
        <is>
          <t>Shamsurahman</t>
        </is>
      </c>
      <c r="R129" s="44" t="inlineStr"/>
      <c r="S129" s="45" t="n">
        <v>4250</v>
      </c>
      <c r="T129" s="46" t="inlineStr">
        <is>
          <t>IF(AQ129="","",AQ129)</t>
        </is>
      </c>
      <c r="U129" s="47" t="n">
        <v>46412</v>
      </c>
      <c r="V129" s="48" t="n">
        <v>6.2</v>
      </c>
      <c r="W129" s="47" t="n">
        <v>46602</v>
      </c>
      <c r="X129" s="46" t="inlineStr">
        <is>
          <t>IF(W129&lt;&gt;"",W129,IF(OR(T129="",V129=""),"",EDATE(T129,V129)))</t>
        </is>
      </c>
      <c r="Y129" s="47" t="n"/>
      <c r="Z129" s="48" t="n"/>
      <c r="AA129" s="44" t="inlineStr">
        <is>
          <t>Under Review of WRI</t>
        </is>
      </c>
      <c r="AB129" s="44" t="inlineStr">
        <is>
          <t>Construction period five months starting from March 2027. | Farmer: Shamsurahman</t>
        </is>
      </c>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outlineLevel="1" ht="18" customHeight="1">
      <c r="A130" s="42" t="inlineStr">
        <is>
          <t>IF(F130="","",ROW()-3)</t>
        </is>
      </c>
      <c r="B130" s="43" t="inlineStr">
        <is>
          <t>AF2-DIS-07</t>
        </is>
      </c>
      <c r="C130"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30" s="43" t="inlineStr">
        <is>
          <t>9 of 9</t>
        </is>
      </c>
      <c r="E130" s="52" t="inlineStr">
        <is>
          <t>AF2-DIS-N-088</t>
        </is>
      </c>
      <c r="F130" s="52" t="inlineStr">
        <is>
          <t>Tilajat Drip Irrigation Scheme</t>
        </is>
      </c>
      <c r="G130" s="52" t="inlineStr">
        <is>
          <t>Drip Irrigation</t>
        </is>
      </c>
      <c r="H130" s="52" t="inlineStr">
        <is>
          <t>Drip Irrigation Plot</t>
        </is>
      </c>
      <c r="I130" s="52" t="inlineStr">
        <is>
          <t>Emergency Food Security Project (EFSP) – WBK/AF-2</t>
        </is>
      </c>
      <c r="J130" s="52" t="inlineStr">
        <is>
          <t>Northeast / Kunduz</t>
        </is>
      </c>
      <c r="K130" s="52" t="inlineStr">
        <is>
          <t>Takhar</t>
        </is>
      </c>
      <c r="L130" s="52" t="inlineStr">
        <is>
          <t>Rustaq</t>
        </is>
      </c>
      <c r="M130" s="52" t="inlineStr">
        <is>
          <t>Tilajat Baloch</t>
        </is>
      </c>
      <c r="N130" s="52" t="inlineStr">
        <is>
          <t>World Bank (WBK/AF-2)</t>
        </is>
      </c>
      <c r="O130" s="52" t="inlineStr">
        <is>
          <t>Not awarded</t>
        </is>
      </c>
      <c r="P130" s="52" t="inlineStr">
        <is>
          <t>5. Drip Irrigation systems</t>
        </is>
      </c>
      <c r="Q130" s="52" t="inlineStr">
        <is>
          <t>Fida Mohammad</t>
        </is>
      </c>
      <c r="R130" s="52" t="inlineStr"/>
      <c r="S130" s="53" t="n">
        <v>8500</v>
      </c>
      <c r="T130" s="46" t="inlineStr">
        <is>
          <t>IF(AQ130="","",AQ130)</t>
        </is>
      </c>
      <c r="U130" s="54" t="n">
        <v>46412</v>
      </c>
      <c r="V130" s="55" t="n">
        <v>6.2</v>
      </c>
      <c r="W130" s="54" t="n">
        <v>46602</v>
      </c>
      <c r="X130" s="46" t="inlineStr">
        <is>
          <t>IF(W130&lt;&gt;"",W130,IF(OR(T130="",V130=""),"",EDATE(T130,V130)))</t>
        </is>
      </c>
      <c r="Y130" s="54" t="n"/>
      <c r="Z130" s="55" t="n"/>
      <c r="AA130" s="52" t="inlineStr">
        <is>
          <t>Under Review of WRI</t>
        </is>
      </c>
      <c r="AB130" s="52" t="inlineStr">
        <is>
          <t>Construction period five months starting from March 2027. | Farmer: Fida Mohammad</t>
        </is>
      </c>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32" t="inlineStr">
        <is>
          <t>IF(F131="","",ROW()-3)</t>
        </is>
      </c>
      <c r="B131" s="56" t="inlineStr">
        <is>
          <t>AF2-DIS-08</t>
        </is>
      </c>
      <c r="C131" s="56"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1" s="56" t="inlineStr">
        <is>
          <t>1 of 12</t>
        </is>
      </c>
      <c r="E131" s="57" t="inlineStr">
        <is>
          <t>AF2-DIS-N-089</t>
        </is>
      </c>
      <c r="F131" s="57" t="inlineStr">
        <is>
          <t>Aybak drip irrigation</t>
        </is>
      </c>
      <c r="G131" s="57" t="inlineStr">
        <is>
          <t>Drip Irrigation</t>
        </is>
      </c>
      <c r="H131" s="57" t="inlineStr">
        <is>
          <t>Drip Irrigation Plot</t>
        </is>
      </c>
      <c r="I131" s="57" t="inlineStr">
        <is>
          <t>Emergency Food Security Project (EFSP) – WBK/AF-2</t>
        </is>
      </c>
      <c r="J131" s="57" t="inlineStr">
        <is>
          <t>North / Mazar</t>
        </is>
      </c>
      <c r="K131" s="57" t="inlineStr">
        <is>
          <t>Samangan</t>
        </is>
      </c>
      <c r="L131" s="57" t="inlineStr">
        <is>
          <t>Aybak</t>
        </is>
      </c>
      <c r="M131" s="57" t="inlineStr">
        <is>
          <t>Joy Zindan</t>
        </is>
      </c>
      <c r="N131" s="57" t="inlineStr">
        <is>
          <t>World Bank (WBK/AF-2)</t>
        </is>
      </c>
      <c r="O131" s="57" t="inlineStr">
        <is>
          <t>Not awarded</t>
        </is>
      </c>
      <c r="P131" s="57" t="inlineStr">
        <is>
          <t>5. Drip Irrigation systems</t>
        </is>
      </c>
      <c r="Q131" s="57" t="inlineStr"/>
      <c r="R131" s="57" t="inlineStr"/>
      <c r="S131" s="58" t="n">
        <v>4250</v>
      </c>
      <c r="T131" s="36" t="inlineStr">
        <is>
          <t>IF(AQ131="","",AQ131)</t>
        </is>
      </c>
      <c r="U131" s="59" t="n">
        <v>46042</v>
      </c>
      <c r="V131" s="60" t="n">
        <v>6.2</v>
      </c>
      <c r="W131" s="59" t="n">
        <v>46232</v>
      </c>
      <c r="X131" s="36" t="inlineStr">
        <is>
          <t>IF(W131&lt;&gt;"",W131,IF(OR(T131="",V131=""),"",EDATE(T131,V131)))</t>
        </is>
      </c>
      <c r="Y131" s="59" t="n"/>
      <c r="Z131" s="60" t="n"/>
      <c r="AA131" s="57" t="inlineStr">
        <is>
          <t>Under Review of WRI</t>
        </is>
      </c>
      <c r="AB131" s="57" t="inlineStr">
        <is>
          <t>Construction period five months starting from March 2027.</t>
        </is>
      </c>
      <c r="AC131" s="32" t="inlineStr">
        <is>
          <t>IF(F131="","",IF(COUNT(AI131:AV131)=0,IF(AA131="","Not started",AA131),SUBSTITUTE(LOOKUP(2,1/(AI131:AV131&lt;&gt;""),$AI$3:$AV$3),"Date: ","")))</t>
        </is>
      </c>
      <c r="AD131" s="39" t="inlineStr">
        <is>
          <t>IF(OR(F131="",COUNT(AI131:AV131)=0),"",TODAY()-LOOKUP(2,1/(AI131:AV131&lt;&gt;""),AI131:AV131))</t>
        </is>
      </c>
      <c r="AE131" s="39" t="inlineStr">
        <is>
          <t>IF(OR(F131="",COUNT(AI131:AV131)&lt;2),"",LOOKUP(2,1/(AI131:AV131&lt;&gt;""),AI131:AV131)-MIN(AI131:AV131))</t>
        </is>
      </c>
      <c r="AF131" s="39" t="inlineStr">
        <is>
          <t>IF(OR(AD131="",AC131="Not started",AC131=""),"",IFERROR(AD131-IF(VLOOKUP(AC131,'06_Status_Pipeline'!$B$3:$E$20,4,FALSE)="",0,VLOOKUP(AC131,'06_Status_Pipeline'!$B$3:$E$20,4,FALSE)),""))</t>
        </is>
      </c>
      <c r="AG131" s="3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39" t="inlineStr">
        <is>
          <t>IF(OR(F131="",AC131="Completed / Handover",AC131="Cancelled"),"",IF(O131="Not awarded",IF(U131&lt;&gt;"",U131-TODAY(),IF(X131="","",X131-TODAY())),IF(X131="","",X131-TODAY())))</t>
        </is>
      </c>
      <c r="AI131" s="59" t="n"/>
      <c r="AJ131" s="59" t="n"/>
      <c r="AK131" s="59" t="n"/>
      <c r="AL131" s="59" t="n"/>
      <c r="AM131" s="59" t="n"/>
      <c r="AN131" s="59" t="n"/>
      <c r="AO131" s="59" t="n"/>
      <c r="AP131" s="59" t="n"/>
      <c r="AQ131" s="59" t="n"/>
      <c r="AR131" s="59" t="n"/>
      <c r="AS131" s="59" t="n"/>
      <c r="AT131" s="40" t="n"/>
      <c r="AU131" s="40" t="n"/>
      <c r="AV131" s="40" t="n"/>
      <c r="AW131" s="39" t="inlineStr">
        <is>
          <t>IF(OR(F131="",AJ131=""),"",IF(COUNT(AI131:AI131)=0,"",AJ131-LOOKUP(2,1/(AI131:AI131&lt;&gt;""),AI131:AI131)))</t>
        </is>
      </c>
      <c r="AX131" s="39" t="inlineStr">
        <is>
          <t>IF(OR(F131="",AK131=""),"",IF(COUNT(AI131:AJ131)=0,"",AK131-LOOKUP(2,1/(AI131:AJ131&lt;&gt;""),AI131:AJ131)))</t>
        </is>
      </c>
      <c r="AY131" s="39" t="inlineStr">
        <is>
          <t>IF(OR(F131="",AL131=""),"",IF(COUNT(AI131:AK131)=0,"",AL131-LOOKUP(2,1/(AI131:AK131&lt;&gt;""),AI131:AK131)))</t>
        </is>
      </c>
      <c r="AZ131" s="39" t="inlineStr">
        <is>
          <t>IF(OR(F131="",AM131=""),"",IF(COUNT(AI131:AL131)=0,"",AM131-LOOKUP(2,1/(AI131:AL131&lt;&gt;""),AI131:AL131)))</t>
        </is>
      </c>
      <c r="BA131" s="39" t="inlineStr">
        <is>
          <t>IF(OR(F131="",AN131=""),"",IF(COUNT(AI131:AM131)=0,"",AN131-LOOKUP(2,1/(AI131:AM131&lt;&gt;""),AI131:AM131)))</t>
        </is>
      </c>
      <c r="BB131" s="39" t="inlineStr">
        <is>
          <t>IF(OR(F131="",AO131=""),"",IF(COUNT(AI131:AN131)=0,"",AO131-LOOKUP(2,1/(AI131:AN131&lt;&gt;""),AI131:AN131)))</t>
        </is>
      </c>
      <c r="BC131" s="39" t="inlineStr">
        <is>
          <t>IF(OR(F131="",AP131=""),"",IF(COUNT(AI131:AO131)=0,"",AP131-LOOKUP(2,1/(AI131:AO131&lt;&gt;""),AI131:AO131)))</t>
        </is>
      </c>
      <c r="BD131" s="39" t="inlineStr">
        <is>
          <t>IF(OR(F131="",AQ131=""),"",IF(COUNT(AI131:AP131)=0,"",AQ131-LOOKUP(2,1/(AI131:AP131&lt;&gt;""),AI131:AP131)))</t>
        </is>
      </c>
      <c r="BE131" s="39" t="inlineStr">
        <is>
          <t>IF(OR(F131="",AR131=""),"",IF(COUNT(AI131:AQ131)=0,"",AR131-LOOKUP(2,1/(AI131:AQ131&lt;&gt;""),AI131:AQ131)))</t>
        </is>
      </c>
      <c r="BF131" s="39" t="inlineStr">
        <is>
          <t>IF(OR(F131="",AS131=""),"",IF(COUNT(AI131:AR131)=0,"",AS131-LOOKUP(2,1/(AI131:AR131&lt;&gt;""),AI131:AR131)))</t>
        </is>
      </c>
      <c r="BG131" s="39" t="inlineStr">
        <is>
          <t>IF(OR(F131="",AT131=""),"",IF(COUNT(AI131:AS131)=0,"",AT131-LOOKUP(2,1/(AI131:AS131&lt;&gt;""),AI131:AS131)))</t>
        </is>
      </c>
      <c r="BH131" s="39" t="inlineStr">
        <is>
          <t>IF(OR(F131="",AU131=""),"",IF(COUNT(AI131:AT131)=0,"",AU131-LOOKUP(2,1/(AI131:AT131&lt;&gt;""),AI131:AT131)))</t>
        </is>
      </c>
      <c r="BI131" s="39" t="inlineStr">
        <is>
          <t>IF(OR(F131="",AV131=""),"",IF(COUNT(AI131:AU131)=0,"",AV131-LOOKUP(2,1/(AI131:AU131&lt;&gt;""),AI131:AU131)))</t>
        </is>
      </c>
      <c r="BJ131" s="41" t="inlineStr">
        <is>
          <t>IF(J131="","All_Provinces",IFERROR(VLOOKUP(J131,'09_Lookups'!$A$4:$B$20,2,FALSE),"All_Provinces"))</t>
        </is>
      </c>
      <c r="BK131" s="41" t="inlineStr">
        <is>
          <t>IF(K131="","All_Districts",IFERROR(VLOOKUP(K131,'09_Lookups'!$E$4:$F$42,2,FALSE),"All_Districts"))</t>
        </is>
      </c>
    </row>
    <row r="132" outlineLevel="1" ht="18" customHeight="1">
      <c r="A132" s="42" t="inlineStr">
        <is>
          <t>IF(F132="","",ROW()-3)</t>
        </is>
      </c>
      <c r="B132" s="61" t="inlineStr">
        <is>
          <t>AF2-DIS-08</t>
        </is>
      </c>
      <c r="C13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2" s="61" t="inlineStr">
        <is>
          <t>2 of 12</t>
        </is>
      </c>
      <c r="E132" s="52" t="inlineStr">
        <is>
          <t>AF2-DIS-N-090</t>
        </is>
      </c>
      <c r="F132" s="52" t="inlineStr">
        <is>
          <t>Balkh Agriculture and Livestock drip irrigation 3</t>
        </is>
      </c>
      <c r="G132" s="52" t="inlineStr">
        <is>
          <t>Drip Irrigation</t>
        </is>
      </c>
      <c r="H132" s="52" t="inlineStr">
        <is>
          <t>Drip Irrigation Plot</t>
        </is>
      </c>
      <c r="I132" s="52" t="inlineStr">
        <is>
          <t>Emergency Food Security Project (EFSP) – WBK/AF-2</t>
        </is>
      </c>
      <c r="J132" s="52" t="inlineStr">
        <is>
          <t>North / Mazar</t>
        </is>
      </c>
      <c r="K132" s="52" t="inlineStr">
        <is>
          <t>Balkh</t>
        </is>
      </c>
      <c r="L132" s="52" t="inlineStr">
        <is>
          <t>Mazar-e-Sharif</t>
        </is>
      </c>
      <c r="M132" s="52" t="inlineStr">
        <is>
          <t>Center</t>
        </is>
      </c>
      <c r="N132" s="52" t="inlineStr">
        <is>
          <t>World Bank (WBK/AF-2)</t>
        </is>
      </c>
      <c r="O132" s="52" t="inlineStr">
        <is>
          <t>Not awarded</t>
        </is>
      </c>
      <c r="P132" s="52" t="inlineStr">
        <is>
          <t>5. Drip Irrigation systems</t>
        </is>
      </c>
      <c r="Q132" s="52" t="inlineStr"/>
      <c r="R132" s="52" t="inlineStr"/>
      <c r="S132" s="53" t="n">
        <v>8500</v>
      </c>
      <c r="T132" s="46" t="inlineStr">
        <is>
          <t>IF(AQ132="","",AQ132)</t>
        </is>
      </c>
      <c r="U132" s="54" t="n">
        <v>46042</v>
      </c>
      <c r="V132" s="55" t="n">
        <v>6.2</v>
      </c>
      <c r="W132" s="54" t="n">
        <v>46232</v>
      </c>
      <c r="X132" s="46" t="inlineStr">
        <is>
          <t>IF(W132&lt;&gt;"",W132,IF(OR(T132="",V132=""),"",EDATE(T132,V132)))</t>
        </is>
      </c>
      <c r="Y132" s="54" t="n"/>
      <c r="Z132" s="55" t="n"/>
      <c r="AA132" s="52" t="inlineStr">
        <is>
          <t>Under Review of WRI</t>
        </is>
      </c>
      <c r="AB132" s="52" t="inlineStr">
        <is>
          <t>Construction period five months starting from March 2027.</t>
        </is>
      </c>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outlineLevel="1" ht="18" customHeight="1">
      <c r="A133" s="42" t="inlineStr">
        <is>
          <t>IF(F133="","",ROW()-3)</t>
        </is>
      </c>
      <c r="B133" s="61" t="inlineStr">
        <is>
          <t>AF2-DIS-08</t>
        </is>
      </c>
      <c r="C133"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3" s="61" t="inlineStr">
        <is>
          <t>3 of 12</t>
        </is>
      </c>
      <c r="E133" s="44" t="inlineStr">
        <is>
          <t>AF2-DIS-N-091</t>
        </is>
      </c>
      <c r="F133" s="44" t="inlineStr">
        <is>
          <t>Balkh university drip irrigation</t>
        </is>
      </c>
      <c r="G133" s="44" t="inlineStr">
        <is>
          <t>Drip Irrigation</t>
        </is>
      </c>
      <c r="H133" s="44" t="inlineStr">
        <is>
          <t>Drip Irrigation Plot</t>
        </is>
      </c>
      <c r="I133" s="44" t="inlineStr">
        <is>
          <t>Emergency Food Security Project (EFSP) – WBK/AF-2</t>
        </is>
      </c>
      <c r="J133" s="44" t="inlineStr">
        <is>
          <t>North / Mazar</t>
        </is>
      </c>
      <c r="K133" s="44" t="inlineStr">
        <is>
          <t>Balkh</t>
        </is>
      </c>
      <c r="L133" s="44" t="inlineStr">
        <is>
          <t>Mazar-e-Sharif</t>
        </is>
      </c>
      <c r="M133" s="44" t="inlineStr">
        <is>
          <t>Center</t>
        </is>
      </c>
      <c r="N133" s="44" t="inlineStr">
        <is>
          <t>World Bank (WBK/AF-2)</t>
        </is>
      </c>
      <c r="O133" s="44" t="inlineStr">
        <is>
          <t>Not awarded</t>
        </is>
      </c>
      <c r="P133" s="44" t="inlineStr">
        <is>
          <t>5. Drip Irrigation systems</t>
        </is>
      </c>
      <c r="Q133" s="44" t="inlineStr"/>
      <c r="R133" s="44" t="inlineStr"/>
      <c r="S133" s="45" t="n">
        <v>4250</v>
      </c>
      <c r="T133" s="46" t="inlineStr">
        <is>
          <t>IF(AQ133="","",AQ133)</t>
        </is>
      </c>
      <c r="U133" s="47" t="n">
        <v>46042</v>
      </c>
      <c r="V133" s="48" t="n">
        <v>6.2</v>
      </c>
      <c r="W133" s="47" t="n">
        <v>46232</v>
      </c>
      <c r="X133" s="46" t="inlineStr">
        <is>
          <t>IF(W133&lt;&gt;"",W133,IF(OR(T133="",V133=""),"",EDATE(T133,V133)))</t>
        </is>
      </c>
      <c r="Y133" s="47" t="n"/>
      <c r="Z133" s="48" t="n"/>
      <c r="AA133" s="44" t="inlineStr">
        <is>
          <t>Under Review of WRI</t>
        </is>
      </c>
      <c r="AB133" s="44" t="inlineStr">
        <is>
          <t>Construction period five months starting from March 2027.</t>
        </is>
      </c>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outlineLevel="1" ht="18" customHeight="1">
      <c r="A134" s="42" t="inlineStr">
        <is>
          <t>IF(F134="","",ROW()-3)</t>
        </is>
      </c>
      <c r="B134" s="61" t="inlineStr">
        <is>
          <t>AF2-DIS-08</t>
        </is>
      </c>
      <c r="C134"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4" s="61" t="inlineStr">
        <is>
          <t>4 of 12</t>
        </is>
      </c>
      <c r="E134" s="52" t="inlineStr">
        <is>
          <t>AF2-DIS-N-092</t>
        </is>
      </c>
      <c r="F134" s="52" t="inlineStr">
        <is>
          <t>Charkent drip irrigation</t>
        </is>
      </c>
      <c r="G134" s="52" t="inlineStr">
        <is>
          <t>Drip Irrigation</t>
        </is>
      </c>
      <c r="H134" s="52" t="inlineStr">
        <is>
          <t>Drip Irrigation Plot</t>
        </is>
      </c>
      <c r="I134" s="52" t="inlineStr">
        <is>
          <t>Emergency Food Security Project (EFSP) – WBK/AF-2</t>
        </is>
      </c>
      <c r="J134" s="52" t="inlineStr">
        <is>
          <t>North / Mazar</t>
        </is>
      </c>
      <c r="K134" s="52" t="inlineStr">
        <is>
          <t>Balkh</t>
        </is>
      </c>
      <c r="L134" s="52" t="inlineStr">
        <is>
          <t>Charkent</t>
        </is>
      </c>
      <c r="M134" s="52" t="inlineStr">
        <is>
          <t>Modafean Payen</t>
        </is>
      </c>
      <c r="N134" s="52" t="inlineStr">
        <is>
          <t>World Bank (WBK/AF-2)</t>
        </is>
      </c>
      <c r="O134" s="52" t="inlineStr">
        <is>
          <t>Not awarded</t>
        </is>
      </c>
      <c r="P134" s="52" t="inlineStr">
        <is>
          <t>5. Drip Irrigation systems</t>
        </is>
      </c>
      <c r="Q134" s="52" t="inlineStr"/>
      <c r="R134" s="52" t="inlineStr"/>
      <c r="S134" s="53" t="n">
        <v>8500</v>
      </c>
      <c r="T134" s="46" t="inlineStr">
        <is>
          <t>IF(AQ134="","",AQ134)</t>
        </is>
      </c>
      <c r="U134" s="54" t="n">
        <v>46042</v>
      </c>
      <c r="V134" s="55" t="n">
        <v>6.2</v>
      </c>
      <c r="W134" s="54" t="n">
        <v>46232</v>
      </c>
      <c r="X134" s="46" t="inlineStr">
        <is>
          <t>IF(W134&lt;&gt;"",W134,IF(OR(T134="",V134=""),"",EDATE(T134,V134)))</t>
        </is>
      </c>
      <c r="Y134" s="54" t="n"/>
      <c r="Z134" s="55" t="n"/>
      <c r="AA134" s="52" t="inlineStr">
        <is>
          <t>Under Review of WRI</t>
        </is>
      </c>
      <c r="AB134" s="52" t="inlineStr">
        <is>
          <t>Construction period five months starting from March 2027.</t>
        </is>
      </c>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outlineLevel="1" ht="18" customHeight="1">
      <c r="A135" s="42" t="inlineStr">
        <is>
          <t>IF(F135="","",ROW()-3)</t>
        </is>
      </c>
      <c r="B135" s="61" t="inlineStr">
        <is>
          <t>AF2-DIS-08</t>
        </is>
      </c>
      <c r="C135"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5" s="61" t="inlineStr">
        <is>
          <t>5 of 12</t>
        </is>
      </c>
      <c r="E135" s="44" t="inlineStr">
        <is>
          <t>AF2-DIS-N-093</t>
        </is>
      </c>
      <c r="F135" s="44" t="inlineStr">
        <is>
          <t>Dehdadi drip irrigation</t>
        </is>
      </c>
      <c r="G135" s="44" t="inlineStr">
        <is>
          <t>Drip Irrigation</t>
        </is>
      </c>
      <c r="H135" s="44" t="inlineStr">
        <is>
          <t>Drip Irrigation Plot</t>
        </is>
      </c>
      <c r="I135" s="44" t="inlineStr">
        <is>
          <t>Emergency Food Security Project (EFSP) – WBK/AF-2</t>
        </is>
      </c>
      <c r="J135" s="44" t="inlineStr">
        <is>
          <t>North / Mazar</t>
        </is>
      </c>
      <c r="K135" s="44" t="inlineStr">
        <is>
          <t>Balkh</t>
        </is>
      </c>
      <c r="L135" s="44" t="inlineStr">
        <is>
          <t>Dehdadi</t>
        </is>
      </c>
      <c r="M135" s="44" t="inlineStr">
        <is>
          <t>Sher Abad Olya</t>
        </is>
      </c>
      <c r="N135" s="44" t="inlineStr">
        <is>
          <t>World Bank (WBK/AF-2)</t>
        </is>
      </c>
      <c r="O135" s="44" t="inlineStr">
        <is>
          <t>Not awarded</t>
        </is>
      </c>
      <c r="P135" s="44" t="inlineStr">
        <is>
          <t>5. Drip Irrigation systems</t>
        </is>
      </c>
      <c r="Q135" s="44" t="inlineStr"/>
      <c r="R135" s="44" t="inlineStr"/>
      <c r="S135" s="45" t="n">
        <v>4250</v>
      </c>
      <c r="T135" s="46" t="inlineStr">
        <is>
          <t>IF(AQ135="","",AQ135)</t>
        </is>
      </c>
      <c r="U135" s="47" t="n">
        <v>46042</v>
      </c>
      <c r="V135" s="48" t="n">
        <v>6.2</v>
      </c>
      <c r="W135" s="47" t="n">
        <v>46232</v>
      </c>
      <c r="X135" s="46" t="inlineStr">
        <is>
          <t>IF(W135&lt;&gt;"",W135,IF(OR(T135="",V135=""),"",EDATE(T135,V135)))</t>
        </is>
      </c>
      <c r="Y135" s="47" t="n"/>
      <c r="Z135" s="48" t="n"/>
      <c r="AA135" s="44" t="inlineStr">
        <is>
          <t>Under Review of WRI</t>
        </is>
      </c>
      <c r="AB135" s="44" t="inlineStr">
        <is>
          <t>Construction period five months starting from March 2027.</t>
        </is>
      </c>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outlineLevel="1" ht="18" customHeight="1">
      <c r="A136" s="42" t="inlineStr">
        <is>
          <t>IF(F136="","",ROW()-3)</t>
        </is>
      </c>
      <c r="B136" s="61" t="inlineStr">
        <is>
          <t>AF2-DIS-08</t>
        </is>
      </c>
      <c r="C136"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6" s="61" t="inlineStr">
        <is>
          <t>6 of 12</t>
        </is>
      </c>
      <c r="E136" s="52" t="inlineStr">
        <is>
          <t>AF2-DIS-N-094</t>
        </is>
      </c>
      <c r="F136" s="52" t="inlineStr">
        <is>
          <t>Had Bakhshy drip irrigation</t>
        </is>
      </c>
      <c r="G136" s="52" t="inlineStr">
        <is>
          <t>Drip Irrigation</t>
        </is>
      </c>
      <c r="H136" s="52" t="inlineStr">
        <is>
          <t>Drip Irrigation Plot</t>
        </is>
      </c>
      <c r="I136" s="52" t="inlineStr">
        <is>
          <t>Emergency Food Security Project (EFSP) – WBK/AF-2</t>
        </is>
      </c>
      <c r="J136" s="52" t="inlineStr">
        <is>
          <t>North / Mazar</t>
        </is>
      </c>
      <c r="K136" s="52" t="inlineStr">
        <is>
          <t>Sari Pul</t>
        </is>
      </c>
      <c r="L136" s="52" t="inlineStr">
        <is>
          <t>Sayed Abad</t>
        </is>
      </c>
      <c r="M136" s="52" t="inlineStr">
        <is>
          <t>Had Bakhshy</t>
        </is>
      </c>
      <c r="N136" s="52" t="inlineStr">
        <is>
          <t>World Bank (WBK/AF-2)</t>
        </is>
      </c>
      <c r="O136" s="52" t="inlineStr">
        <is>
          <t>Not awarded</t>
        </is>
      </c>
      <c r="P136" s="52" t="inlineStr">
        <is>
          <t>5. Drip Irrigation systems</t>
        </is>
      </c>
      <c r="Q136" s="52" t="inlineStr"/>
      <c r="R136" s="52" t="inlineStr"/>
      <c r="S136" s="53" t="n">
        <v>8500</v>
      </c>
      <c r="T136" s="46" t="inlineStr">
        <is>
          <t>IF(AQ136="","",AQ136)</t>
        </is>
      </c>
      <c r="U136" s="54" t="n">
        <v>46042</v>
      </c>
      <c r="V136" s="55" t="n">
        <v>6.2</v>
      </c>
      <c r="W136" s="54" t="n">
        <v>46232</v>
      </c>
      <c r="X136" s="46" t="inlineStr">
        <is>
          <t>IF(W136&lt;&gt;"",W136,IF(OR(T136="",V136=""),"",EDATE(T136,V136)))</t>
        </is>
      </c>
      <c r="Y136" s="54" t="n"/>
      <c r="Z136" s="55" t="n"/>
      <c r="AA136" s="52" t="inlineStr">
        <is>
          <t>Under Review of WRI</t>
        </is>
      </c>
      <c r="AB136" s="52" t="inlineStr">
        <is>
          <t>Construction period five months starting from March 2027.</t>
        </is>
      </c>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outlineLevel="1" ht="18" customHeight="1">
      <c r="A137" s="42" t="inlineStr">
        <is>
          <t>IF(F137="","",ROW()-3)</t>
        </is>
      </c>
      <c r="B137" s="61" t="inlineStr">
        <is>
          <t>AF2-DIS-08</t>
        </is>
      </c>
      <c r="C137"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7" s="61" t="inlineStr">
        <is>
          <t>7 of 12</t>
        </is>
      </c>
      <c r="E137" s="44" t="inlineStr">
        <is>
          <t>AF2-DIS-N-095</t>
        </is>
      </c>
      <c r="F137" s="44" t="inlineStr">
        <is>
          <t>Hassan Tabin drip irrigation</t>
        </is>
      </c>
      <c r="G137" s="44" t="inlineStr">
        <is>
          <t>Drip Irrigation</t>
        </is>
      </c>
      <c r="H137" s="44" t="inlineStr">
        <is>
          <t>Drip Irrigation Plot</t>
        </is>
      </c>
      <c r="I137" s="44" t="inlineStr">
        <is>
          <t>Emergency Food Security Project (EFSP) – WBK/AF-2</t>
        </is>
      </c>
      <c r="J137" s="44" t="inlineStr">
        <is>
          <t>North / Mazar</t>
        </is>
      </c>
      <c r="K137" s="44" t="inlineStr">
        <is>
          <t>Jawzjan</t>
        </is>
      </c>
      <c r="L137" s="44" t="inlineStr">
        <is>
          <t>Sheberghan</t>
        </is>
      </c>
      <c r="M137" s="44" t="inlineStr">
        <is>
          <t>Hassan Tabin</t>
        </is>
      </c>
      <c r="N137" s="44" t="inlineStr">
        <is>
          <t>World Bank (WBK/AF-2)</t>
        </is>
      </c>
      <c r="O137" s="44" t="inlineStr">
        <is>
          <t>Not awarded</t>
        </is>
      </c>
      <c r="P137" s="44" t="inlineStr">
        <is>
          <t>5. Drip Irrigation systems</t>
        </is>
      </c>
      <c r="Q137" s="44" t="inlineStr"/>
      <c r="R137" s="44" t="inlineStr"/>
      <c r="S137" s="45" t="n">
        <v>8500</v>
      </c>
      <c r="T137" s="46" t="inlineStr">
        <is>
          <t>IF(AQ137="","",AQ137)</t>
        </is>
      </c>
      <c r="U137" s="47" t="n">
        <v>46042</v>
      </c>
      <c r="V137" s="48" t="n">
        <v>6.2</v>
      </c>
      <c r="W137" s="47" t="n">
        <v>46232</v>
      </c>
      <c r="X137" s="46" t="inlineStr">
        <is>
          <t>IF(W137&lt;&gt;"",W137,IF(OR(T137="",V137=""),"",EDATE(T137,V137)))</t>
        </is>
      </c>
      <c r="Y137" s="47" t="n"/>
      <c r="Z137" s="48" t="n"/>
      <c r="AA137" s="44" t="inlineStr">
        <is>
          <t>Under Review of WRI</t>
        </is>
      </c>
      <c r="AB137" s="44" t="inlineStr">
        <is>
          <t>Construction period five months starting from March 2027.</t>
        </is>
      </c>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outlineLevel="1" ht="18" customHeight="1">
      <c r="A138" s="42" t="inlineStr">
        <is>
          <t>IF(F138="","",ROW()-3)</t>
        </is>
      </c>
      <c r="B138" s="61" t="inlineStr">
        <is>
          <t>AF2-DIS-08</t>
        </is>
      </c>
      <c r="C138"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8" s="61" t="inlineStr">
        <is>
          <t>8 of 12</t>
        </is>
      </c>
      <c r="E138" s="52" t="inlineStr">
        <is>
          <t>AF2-DIS-N-096</t>
        </is>
      </c>
      <c r="F138" s="52" t="inlineStr">
        <is>
          <t>Hazrat-e-Sultan drip irrigation</t>
        </is>
      </c>
      <c r="G138" s="52" t="inlineStr">
        <is>
          <t>Drip Irrigation</t>
        </is>
      </c>
      <c r="H138" s="52" t="inlineStr">
        <is>
          <t>Drip Irrigation Plot</t>
        </is>
      </c>
      <c r="I138" s="52" t="inlineStr">
        <is>
          <t>Emergency Food Security Project (EFSP) – WBK/AF-2</t>
        </is>
      </c>
      <c r="J138" s="52" t="inlineStr">
        <is>
          <t>North / Mazar</t>
        </is>
      </c>
      <c r="K138" s="52" t="inlineStr">
        <is>
          <t>Samangan</t>
        </is>
      </c>
      <c r="L138" s="52" t="inlineStr">
        <is>
          <t>Hazrat-e-Sultan</t>
        </is>
      </c>
      <c r="M138" s="52" t="inlineStr">
        <is>
          <t>Asiabad</t>
        </is>
      </c>
      <c r="N138" s="52" t="inlineStr">
        <is>
          <t>World Bank (WBK/AF-2)</t>
        </is>
      </c>
      <c r="O138" s="52" t="inlineStr">
        <is>
          <t>Not awarded</t>
        </is>
      </c>
      <c r="P138" s="52" t="inlineStr">
        <is>
          <t>5. Drip Irrigation systems</t>
        </is>
      </c>
      <c r="Q138" s="52" t="inlineStr"/>
      <c r="R138" s="52" t="inlineStr"/>
      <c r="S138" s="53" t="n">
        <v>8500</v>
      </c>
      <c r="T138" s="46" t="inlineStr">
        <is>
          <t>IF(AQ138="","",AQ138)</t>
        </is>
      </c>
      <c r="U138" s="54" t="n">
        <v>46042</v>
      </c>
      <c r="V138" s="55" t="n">
        <v>6.2</v>
      </c>
      <c r="W138" s="54" t="n">
        <v>46232</v>
      </c>
      <c r="X138" s="46" t="inlineStr">
        <is>
          <t>IF(W138&lt;&gt;"",W138,IF(OR(T138="",V138=""),"",EDATE(T138,V138)))</t>
        </is>
      </c>
      <c r="Y138" s="54" t="n"/>
      <c r="Z138" s="55" t="n"/>
      <c r="AA138" s="52" t="inlineStr">
        <is>
          <t>Under Review of WRI</t>
        </is>
      </c>
      <c r="AB138" s="52" t="inlineStr">
        <is>
          <t>Construction period five months starting from March 2027.</t>
        </is>
      </c>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outlineLevel="1" ht="18" customHeight="1">
      <c r="A139" s="42" t="inlineStr">
        <is>
          <t>IF(F139="","",ROW()-3)</t>
        </is>
      </c>
      <c r="B139" s="61" t="inlineStr">
        <is>
          <t>AF2-DIS-08</t>
        </is>
      </c>
      <c r="C139"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9" s="61" t="inlineStr">
        <is>
          <t>9 of 12</t>
        </is>
      </c>
      <c r="E139" s="44" t="inlineStr">
        <is>
          <t>AF2-DIS-N-097</t>
        </is>
      </c>
      <c r="F139" s="44" t="inlineStr">
        <is>
          <t>Imam Jaffar drip irrigation</t>
        </is>
      </c>
      <c r="G139" s="44" t="inlineStr">
        <is>
          <t>Drip Irrigation</t>
        </is>
      </c>
      <c r="H139" s="44" t="inlineStr">
        <is>
          <t>Drip Irrigation Plot</t>
        </is>
      </c>
      <c r="I139" s="44" t="inlineStr">
        <is>
          <t>Emergency Food Security Project (EFSP) – WBK/AF-2</t>
        </is>
      </c>
      <c r="J139" s="44" t="inlineStr">
        <is>
          <t>North / Mazar</t>
        </is>
      </c>
      <c r="K139" s="44" t="inlineStr">
        <is>
          <t>Sari Pul</t>
        </is>
      </c>
      <c r="L139" s="44" t="inlineStr">
        <is>
          <t>Sayed Abad</t>
        </is>
      </c>
      <c r="M139" s="44" t="inlineStr">
        <is>
          <t>Imam Jaffar</t>
        </is>
      </c>
      <c r="N139" s="44" t="inlineStr">
        <is>
          <t>World Bank (WBK/AF-2)</t>
        </is>
      </c>
      <c r="O139" s="44" t="inlineStr">
        <is>
          <t>Not awarded</t>
        </is>
      </c>
      <c r="P139" s="44" t="inlineStr">
        <is>
          <t>5. Drip Irrigation systems</t>
        </is>
      </c>
      <c r="Q139" s="44" t="inlineStr"/>
      <c r="R139" s="44" t="inlineStr"/>
      <c r="S139" s="45" t="n">
        <v>4250</v>
      </c>
      <c r="T139" s="46" t="inlineStr">
        <is>
          <t>IF(AQ139="","",AQ139)</t>
        </is>
      </c>
      <c r="U139" s="47" t="n">
        <v>46042</v>
      </c>
      <c r="V139" s="48" t="n">
        <v>6.2</v>
      </c>
      <c r="W139" s="47" t="n">
        <v>46232</v>
      </c>
      <c r="X139" s="46" t="inlineStr">
        <is>
          <t>IF(W139&lt;&gt;"",W139,IF(OR(T139="",V139=""),"",EDATE(T139,V139)))</t>
        </is>
      </c>
      <c r="Y139" s="47" t="n"/>
      <c r="Z139" s="48" t="n"/>
      <c r="AA139" s="44" t="inlineStr">
        <is>
          <t>Under Review of WRI</t>
        </is>
      </c>
      <c r="AB139" s="44" t="inlineStr">
        <is>
          <t>Construction period five months starting from March 2027.</t>
        </is>
      </c>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outlineLevel="1" ht="18" customHeight="1">
      <c r="A140" s="42" t="inlineStr">
        <is>
          <t>IF(F140="","",ROW()-3)</t>
        </is>
      </c>
      <c r="B140" s="61" t="inlineStr">
        <is>
          <t>AF2-DIS-08</t>
        </is>
      </c>
      <c r="C140"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0" s="61" t="inlineStr">
        <is>
          <t>10 of 12</t>
        </is>
      </c>
      <c r="E140" s="52" t="inlineStr">
        <is>
          <t>AF2-DIS-N-098</t>
        </is>
      </c>
      <c r="F140" s="52" t="inlineStr">
        <is>
          <t>Maimana drip irrigation</t>
        </is>
      </c>
      <c r="G140" s="52" t="inlineStr">
        <is>
          <t>Drip Irrigation</t>
        </is>
      </c>
      <c r="H140" s="52" t="inlineStr">
        <is>
          <t>Drip Irrigation Plot</t>
        </is>
      </c>
      <c r="I140" s="52" t="inlineStr">
        <is>
          <t>Emergency Food Security Project (EFSP) – WBK/AF-2</t>
        </is>
      </c>
      <c r="J140" s="52" t="inlineStr">
        <is>
          <t>North / Mazar</t>
        </is>
      </c>
      <c r="K140" s="52" t="inlineStr">
        <is>
          <t>Faryab</t>
        </is>
      </c>
      <c r="L140" s="52" t="inlineStr">
        <is>
          <t>Khwaja Sabz Posh</t>
        </is>
      </c>
      <c r="M140" s="52" t="inlineStr">
        <is>
          <t>Tepa Qishlaq</t>
        </is>
      </c>
      <c r="N140" s="52" t="inlineStr">
        <is>
          <t>World Bank (WBK/AF-2)</t>
        </is>
      </c>
      <c r="O140" s="52" t="inlineStr">
        <is>
          <t>Not awarded</t>
        </is>
      </c>
      <c r="P140" s="52" t="inlineStr">
        <is>
          <t>5. Drip Irrigation systems</t>
        </is>
      </c>
      <c r="Q140" s="52" t="inlineStr"/>
      <c r="R140" s="52" t="inlineStr"/>
      <c r="S140" s="53" t="n">
        <v>4250</v>
      </c>
      <c r="T140" s="46" t="inlineStr">
        <is>
          <t>IF(AQ140="","",AQ140)</t>
        </is>
      </c>
      <c r="U140" s="54" t="n">
        <v>46042</v>
      </c>
      <c r="V140" s="55" t="n">
        <v>6.2</v>
      </c>
      <c r="W140" s="54" t="n">
        <v>46232</v>
      </c>
      <c r="X140" s="46" t="inlineStr">
        <is>
          <t>IF(W140&lt;&gt;"",W140,IF(OR(T140="",V140=""),"",EDATE(T140,V140)))</t>
        </is>
      </c>
      <c r="Y140" s="54" t="n"/>
      <c r="Z140" s="55" t="n"/>
      <c r="AA140" s="52" t="inlineStr">
        <is>
          <t>Under Review of WRI</t>
        </is>
      </c>
      <c r="AB140" s="52" t="inlineStr">
        <is>
          <t>Construction period five months starting from March 2027.</t>
        </is>
      </c>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outlineLevel="1" ht="18" customHeight="1">
      <c r="A141" s="42" t="inlineStr">
        <is>
          <t>IF(F141="","",ROW()-3)</t>
        </is>
      </c>
      <c r="B141" s="61" t="inlineStr">
        <is>
          <t>AF2-DIS-08</t>
        </is>
      </c>
      <c r="C141"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1" s="61" t="inlineStr">
        <is>
          <t>11 of 12</t>
        </is>
      </c>
      <c r="E141" s="44" t="inlineStr">
        <is>
          <t>AF2-DIS-N-099</t>
        </is>
      </c>
      <c r="F141" s="44" t="inlineStr">
        <is>
          <t>Nawabad Imam drip irrigation</t>
        </is>
      </c>
      <c r="G141" s="44" t="inlineStr">
        <is>
          <t>Drip Irrigation</t>
        </is>
      </c>
      <c r="H141" s="44" t="inlineStr">
        <is>
          <t>Drip Irrigation Plot</t>
        </is>
      </c>
      <c r="I141" s="44" t="inlineStr">
        <is>
          <t>Emergency Food Security Project (EFSP) – WBK/AF-2</t>
        </is>
      </c>
      <c r="J141" s="44" t="inlineStr">
        <is>
          <t>North / Mazar</t>
        </is>
      </c>
      <c r="K141" s="44" t="inlineStr">
        <is>
          <t>Sari Pul</t>
        </is>
      </c>
      <c r="L141" s="44" t="inlineStr">
        <is>
          <t>Center</t>
        </is>
      </c>
      <c r="M141" s="44" t="inlineStr">
        <is>
          <t>Nawabad Imam Kalan</t>
        </is>
      </c>
      <c r="N141" s="44" t="inlineStr">
        <is>
          <t>World Bank (WBK/AF-2)</t>
        </is>
      </c>
      <c r="O141" s="44" t="inlineStr">
        <is>
          <t>Not awarded</t>
        </is>
      </c>
      <c r="P141" s="44" t="inlineStr">
        <is>
          <t>5. Drip Irrigation systems</t>
        </is>
      </c>
      <c r="Q141" s="44" t="inlineStr"/>
      <c r="R141" s="44" t="inlineStr"/>
      <c r="S141" s="45" t="n">
        <v>4250</v>
      </c>
      <c r="T141" s="46" t="inlineStr">
        <is>
          <t>IF(AQ141="","",AQ141)</t>
        </is>
      </c>
      <c r="U141" s="47" t="n">
        <v>46042</v>
      </c>
      <c r="V141" s="48" t="n">
        <v>6.2</v>
      </c>
      <c r="W141" s="47" t="n">
        <v>46232</v>
      </c>
      <c r="X141" s="46" t="inlineStr">
        <is>
          <t>IF(W141&lt;&gt;"",W141,IF(OR(T141="",V141=""),"",EDATE(T141,V141)))</t>
        </is>
      </c>
      <c r="Y141" s="47" t="n"/>
      <c r="Z141" s="48" t="n"/>
      <c r="AA141" s="44" t="inlineStr">
        <is>
          <t>Under Review of WRI</t>
        </is>
      </c>
      <c r="AB141" s="44" t="inlineStr">
        <is>
          <t>Construction period five months starting from March 2027.</t>
        </is>
      </c>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outlineLevel="1" ht="18" customHeight="1">
      <c r="A142" s="42" t="inlineStr">
        <is>
          <t>IF(F142="","",ROW()-3)</t>
        </is>
      </c>
      <c r="B142" s="61" t="inlineStr">
        <is>
          <t>AF2-DIS-08</t>
        </is>
      </c>
      <c r="C14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2" s="61" t="inlineStr">
        <is>
          <t>12 of 12</t>
        </is>
      </c>
      <c r="E142" s="52" t="inlineStr">
        <is>
          <t>AF2-DIS-N-100</t>
        </is>
      </c>
      <c r="F142" s="52" t="inlineStr">
        <is>
          <t>Uch Tepa drip irrigation</t>
        </is>
      </c>
      <c r="G142" s="52" t="inlineStr">
        <is>
          <t>Drip Irrigation</t>
        </is>
      </c>
      <c r="H142" s="52" t="inlineStr">
        <is>
          <t>Drip Irrigation Plot</t>
        </is>
      </c>
      <c r="I142" s="52" t="inlineStr">
        <is>
          <t>Emergency Food Security Project (EFSP) – WBK/AF-2</t>
        </is>
      </c>
      <c r="J142" s="52" t="inlineStr">
        <is>
          <t>North / Mazar</t>
        </is>
      </c>
      <c r="K142" s="52" t="inlineStr">
        <is>
          <t>Balkh</t>
        </is>
      </c>
      <c r="L142" s="52" t="inlineStr">
        <is>
          <t>Dehdadi</t>
        </is>
      </c>
      <c r="M142" s="52" t="inlineStr">
        <is>
          <t>Uch Tepa</t>
        </is>
      </c>
      <c r="N142" s="52" t="inlineStr">
        <is>
          <t>World Bank (WBK/AF-2)</t>
        </is>
      </c>
      <c r="O142" s="52" t="inlineStr">
        <is>
          <t>Not awarded</t>
        </is>
      </c>
      <c r="P142" s="52" t="inlineStr">
        <is>
          <t>5. Drip Irrigation systems</t>
        </is>
      </c>
      <c r="Q142" s="52" t="inlineStr"/>
      <c r="R142" s="52" t="inlineStr"/>
      <c r="S142" s="53" t="n">
        <v>8500</v>
      </c>
      <c r="T142" s="46" t="inlineStr">
        <is>
          <t>IF(AQ142="","",AQ142)</t>
        </is>
      </c>
      <c r="U142" s="54" t="n">
        <v>46042</v>
      </c>
      <c r="V142" s="55" t="n">
        <v>6.2</v>
      </c>
      <c r="W142" s="54" t="n">
        <v>46232</v>
      </c>
      <c r="X142" s="46" t="inlineStr">
        <is>
          <t>IF(W142&lt;&gt;"",W142,IF(OR(T142="",V142=""),"",EDATE(T142,V142)))</t>
        </is>
      </c>
      <c r="Y142" s="54" t="n"/>
      <c r="Z142" s="55" t="n"/>
      <c r="AA142" s="52" t="inlineStr">
        <is>
          <t>Under Review of WRI</t>
        </is>
      </c>
      <c r="AB142" s="52" t="inlineStr">
        <is>
          <t>Construction period five months starting from March 2027.</t>
        </is>
      </c>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32" t="inlineStr">
        <is>
          <t>IF(F143="","",ROW()-3)</t>
        </is>
      </c>
      <c r="B143" s="62" t="inlineStr">
        <is>
          <t>AF2-IS-01</t>
        </is>
      </c>
      <c r="C143" s="62" t="inlineStr">
        <is>
          <t>Package #1-AF2 IS: Rehabilitation of Joy Bazar irrigation scheme located in Obe district of Herat province.</t>
        </is>
      </c>
      <c r="D143" s="62" t="inlineStr">
        <is>
          <t>1 of 1</t>
        </is>
      </c>
      <c r="E143" s="57" t="inlineStr">
        <is>
          <t>AF2-IS-A-001</t>
        </is>
      </c>
      <c r="F143" s="57" t="inlineStr">
        <is>
          <t>Joy Bazar Canal irrigation Scheme</t>
        </is>
      </c>
      <c r="G143" s="57" t="inlineStr">
        <is>
          <t>Irrigation Scheme</t>
        </is>
      </c>
      <c r="H143" s="57" t="inlineStr">
        <is>
          <t>Irrigation Canal</t>
        </is>
      </c>
      <c r="I143" s="57" t="inlineStr">
        <is>
          <t>Emergency Food Security Project (EFSP) – WBK/AF-2</t>
        </is>
      </c>
      <c r="J143" s="57" t="inlineStr">
        <is>
          <t>West / Herat</t>
        </is>
      </c>
      <c r="K143" s="57" t="inlineStr">
        <is>
          <t>Herat</t>
        </is>
      </c>
      <c r="L143" s="57" t="inlineStr">
        <is>
          <t>Obeh</t>
        </is>
      </c>
      <c r="M143" s="57" t="inlineStr">
        <is>
          <t>Center</t>
        </is>
      </c>
      <c r="N143" s="57" t="inlineStr">
        <is>
          <t>World Bank (WBK/AF-2)</t>
        </is>
      </c>
      <c r="O143" s="57" t="inlineStr">
        <is>
          <t>Awarded</t>
        </is>
      </c>
      <c r="P143" s="57" t="inlineStr">
        <is>
          <t>1.Awarded contracts_On&amp;off-farm</t>
        </is>
      </c>
      <c r="Q143" s="57" t="inlineStr">
        <is>
          <t>Afghan Aakam Construction and Road Company C. JV with D-Amini Mashwani Construction Road Juroni and Construction Materials Production Company (AACRC&amp;JV DAMCC)</t>
        </is>
      </c>
      <c r="R143" s="57" t="inlineStr">
        <is>
          <t>050/2025</t>
        </is>
      </c>
      <c r="S143" s="58" t="n">
        <v>222241.38</v>
      </c>
      <c r="T143" s="36" t="inlineStr">
        <is>
          <t>IF(AQ143="","",AQ143)</t>
        </is>
      </c>
      <c r="U143" s="59" t="n"/>
      <c r="V143" s="60" t="n">
        <v>12</v>
      </c>
      <c r="W143" s="59" t="n">
        <v>46280</v>
      </c>
      <c r="X143" s="36" t="inlineStr">
        <is>
          <t>IF(W143&lt;&gt;"",W143,IF(OR(T143="",V143=""),"",EDATE(T143,V143)))</t>
        </is>
      </c>
      <c r="Y143" s="59" t="n"/>
      <c r="Z143" s="60" t="n">
        <v>100</v>
      </c>
      <c r="AA143" s="57" t="inlineStr">
        <is>
          <t>Completed / Handover</t>
        </is>
      </c>
      <c r="AB143" s="57" t="inlineStr">
        <is>
          <t>Completed in May 2026 | Actual completion: May, 2026</t>
        </is>
      </c>
      <c r="AC143" s="32" t="inlineStr">
        <is>
          <t>IF(F143="","",IF(COUNT(AI143:AV143)=0,IF(AA143="","Not started",AA143),SUBSTITUTE(LOOKUP(2,1/(AI143:AV143&lt;&gt;""),$AI$3:$AV$3),"Date: ","")))</t>
        </is>
      </c>
      <c r="AD143" s="39" t="inlineStr">
        <is>
          <t>IF(OR(F143="",COUNT(AI143:AV143)=0),"",TODAY()-LOOKUP(2,1/(AI143:AV143&lt;&gt;""),AI143:AV143))</t>
        </is>
      </c>
      <c r="AE143" s="39" t="inlineStr">
        <is>
          <t>IF(OR(F143="",COUNT(AI143:AV143)&lt;2),"",LOOKUP(2,1/(AI143:AV143&lt;&gt;""),AI143:AV143)-MIN(AI143:AV143))</t>
        </is>
      </c>
      <c r="AF143" s="39" t="inlineStr">
        <is>
          <t>IF(OR(AD143="",AC143="Not started",AC143=""),"",IFERROR(AD143-IF(VLOOKUP(AC143,'06_Status_Pipeline'!$B$3:$E$20,4,FALSE)="",0,VLOOKUP(AC143,'06_Status_Pipeline'!$B$3:$E$20,4,FALSE)),""))</t>
        </is>
      </c>
      <c r="AG143" s="3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39" t="inlineStr">
        <is>
          <t>IF(OR(F143="",AC143="Completed / Handover",AC143="Cancelled"),"",IF(O143="Not awarded",IF(U143&lt;&gt;"",U143-TODAY(),IF(X143="","",X143-TODAY())),IF(X143="","",X143-TODAY())))</t>
        </is>
      </c>
      <c r="AI143" s="66" t="n"/>
      <c r="AJ143" s="66" t="n"/>
      <c r="AK143" s="66" t="n"/>
      <c r="AL143" s="66" t="n"/>
      <c r="AM143" s="66" t="n"/>
      <c r="AN143" s="66" t="n"/>
      <c r="AO143" s="66" t="n"/>
      <c r="AP143" s="66" t="n"/>
      <c r="AQ143" s="66" t="n">
        <v>45916</v>
      </c>
      <c r="AR143" s="66" t="n">
        <v>45916</v>
      </c>
      <c r="AS143" s="66" t="n">
        <v>46280</v>
      </c>
      <c r="AT143" s="40" t="n"/>
      <c r="AU143" s="40" t="n"/>
      <c r="AV143" s="40" t="n"/>
      <c r="AW143" s="39" t="inlineStr">
        <is>
          <t>IF(OR(F143="",AJ143=""),"",IF(COUNT(AI143:AI143)=0,"",AJ143-LOOKUP(2,1/(AI143:AI143&lt;&gt;""),AI143:AI143)))</t>
        </is>
      </c>
      <c r="AX143" s="39" t="inlineStr">
        <is>
          <t>IF(OR(F143="",AK143=""),"",IF(COUNT(AI143:AJ143)=0,"",AK143-LOOKUP(2,1/(AI143:AJ143&lt;&gt;""),AI143:AJ143)))</t>
        </is>
      </c>
      <c r="AY143" s="39" t="inlineStr">
        <is>
          <t>IF(OR(F143="",AL143=""),"",IF(COUNT(AI143:AK143)=0,"",AL143-LOOKUP(2,1/(AI143:AK143&lt;&gt;""),AI143:AK143)))</t>
        </is>
      </c>
      <c r="AZ143" s="39" t="inlineStr">
        <is>
          <t>IF(OR(F143="",AM143=""),"",IF(COUNT(AI143:AL143)=0,"",AM143-LOOKUP(2,1/(AI143:AL143&lt;&gt;""),AI143:AL143)))</t>
        </is>
      </c>
      <c r="BA143" s="39" t="inlineStr">
        <is>
          <t>IF(OR(F143="",AN143=""),"",IF(COUNT(AI143:AM143)=0,"",AN143-LOOKUP(2,1/(AI143:AM143&lt;&gt;""),AI143:AM143)))</t>
        </is>
      </c>
      <c r="BB143" s="39" t="inlineStr">
        <is>
          <t>IF(OR(F143="",AO143=""),"",IF(COUNT(AI143:AN143)=0,"",AO143-LOOKUP(2,1/(AI143:AN143&lt;&gt;""),AI143:AN143)))</t>
        </is>
      </c>
      <c r="BC143" s="39" t="inlineStr">
        <is>
          <t>IF(OR(F143="",AP143=""),"",IF(COUNT(AI143:AO143)=0,"",AP143-LOOKUP(2,1/(AI143:AO143&lt;&gt;""),AI143:AO143)))</t>
        </is>
      </c>
      <c r="BD143" s="39" t="inlineStr">
        <is>
          <t>IF(OR(F143="",AQ143=""),"",IF(COUNT(AI143:AP143)=0,"",AQ143-LOOKUP(2,1/(AI143:AP143&lt;&gt;""),AI143:AP143)))</t>
        </is>
      </c>
      <c r="BE143" s="39" t="inlineStr">
        <is>
          <t>IF(OR(F143="",AR143=""),"",IF(COUNT(AI143:AQ143)=0,"",AR143-LOOKUP(2,1/(AI143:AQ143&lt;&gt;""),AI143:AQ143)))</t>
        </is>
      </c>
      <c r="BF143" s="39" t="inlineStr">
        <is>
          <t>IF(OR(F143="",AS143=""),"",IF(COUNT(AI143:AR143)=0,"",AS143-LOOKUP(2,1/(AI143:AR143&lt;&gt;""),AI143:AR143)))</t>
        </is>
      </c>
      <c r="BG143" s="39" t="inlineStr">
        <is>
          <t>IF(OR(F143="",AT143=""),"",IF(COUNT(AI143:AS143)=0,"",AT143-LOOKUP(2,1/(AI143:AS143&lt;&gt;""),AI143:AS143)))</t>
        </is>
      </c>
      <c r="BH143" s="39" t="inlineStr">
        <is>
          <t>IF(OR(F143="",AU143=""),"",IF(COUNT(AI143:AT143)=0,"",AU143-LOOKUP(2,1/(AI143:AT143&lt;&gt;""),AI143:AT143)))</t>
        </is>
      </c>
      <c r="BI143" s="39" t="inlineStr">
        <is>
          <t>IF(OR(F143="",AV143=""),"",IF(COUNT(AI143:AU143)=0,"",AV143-LOOKUP(2,1/(AI143:AU143&lt;&gt;""),AI143:AU143)))</t>
        </is>
      </c>
      <c r="BJ143" s="41" t="inlineStr">
        <is>
          <t>IF(J143="","All_Provinces",IFERROR(VLOOKUP(J143,'09_Lookups'!$A$4:$B$20,2,FALSE),"All_Provinces"))</t>
        </is>
      </c>
      <c r="BK143" s="41" t="inlineStr">
        <is>
          <t>IF(K143="","All_Districts",IFERROR(VLOOKUP(K143,'09_Lookups'!$E$4:$F$42,2,FALSE),"All_Districts"))</t>
        </is>
      </c>
    </row>
    <row r="144" ht="18" customHeight="1">
      <c r="A144" s="32" t="inlineStr">
        <is>
          <t>IF(F144="","",ROW()-3)</t>
        </is>
      </c>
      <c r="B144" s="64" t="inlineStr">
        <is>
          <t>AF2-IS-02</t>
        </is>
      </c>
      <c r="C144" s="64" t="inlineStr">
        <is>
          <t>Package # 2-AF2 IS: Rehabilitation of irrigation schemes of 1.Ali Mansoor Canal in Karukh district, 2.Joy Sork and 3.Sar Kari canals in Farsi districts of Herat province.</t>
        </is>
      </c>
      <c r="D144" s="64" t="inlineStr">
        <is>
          <t>1 of 3</t>
        </is>
      </c>
      <c r="E144" s="34" t="inlineStr">
        <is>
          <t>AF2-IS-A-002</t>
        </is>
      </c>
      <c r="F144" s="34" t="inlineStr">
        <is>
          <t>Ali Mansoor Canal Irrigation Scheme</t>
        </is>
      </c>
      <c r="G144" s="34" t="inlineStr">
        <is>
          <t>Irrigation Scheme</t>
        </is>
      </c>
      <c r="H144" s="34" t="inlineStr">
        <is>
          <t>Irrigation Canal</t>
        </is>
      </c>
      <c r="I144" s="34" t="inlineStr">
        <is>
          <t>Emergency Food Security Project (EFSP) – WBK/AF-2</t>
        </is>
      </c>
      <c r="J144" s="34" t="inlineStr">
        <is>
          <t>West / Herat</t>
        </is>
      </c>
      <c r="K144" s="34" t="inlineStr">
        <is>
          <t>Herat</t>
        </is>
      </c>
      <c r="L144" s="34" t="inlineStr">
        <is>
          <t>Karukh</t>
        </is>
      </c>
      <c r="M144" s="34" t="inlineStr">
        <is>
          <t>Dahan-e-Ghar Villages</t>
        </is>
      </c>
      <c r="N144" s="34" t="inlineStr">
        <is>
          <t>World Bank (WBK/AF-2)</t>
        </is>
      </c>
      <c r="O144" s="34" t="inlineStr">
        <is>
          <t>Awarded</t>
        </is>
      </c>
      <c r="P144" s="34" t="inlineStr">
        <is>
          <t>1.Awarded contracts_On&amp;off-farm</t>
        </is>
      </c>
      <c r="Q144" s="34" t="inlineStr">
        <is>
          <t>Arman Millad Construction Company (AMCC)</t>
        </is>
      </c>
      <c r="R144" s="34" t="inlineStr">
        <is>
          <t>046/2026</t>
        </is>
      </c>
      <c r="S144" s="35" t="n">
        <v>119404.61</v>
      </c>
      <c r="T144" s="36" t="inlineStr">
        <is>
          <t>IF(AQ144="","",AQ144)</t>
        </is>
      </c>
      <c r="U144" s="37" t="n"/>
      <c r="V144" s="38" t="n">
        <v>12</v>
      </c>
      <c r="W144" s="37" t="n">
        <v>46589</v>
      </c>
      <c r="X144" s="36" t="inlineStr">
        <is>
          <t>IF(W144&lt;&gt;"",W144,IF(OR(T144="",V144=""),"",EDATE(T144,V144)))</t>
        </is>
      </c>
      <c r="Y144" s="37" t="n"/>
      <c r="Z144" s="38" t="n">
        <v>45</v>
      </c>
      <c r="AA144" s="34" t="inlineStr">
        <is>
          <t>Under Construction</t>
        </is>
      </c>
      <c r="AB144" s="34" t="inlineStr">
        <is>
          <t>on track and will be completed by July 2027</t>
        </is>
      </c>
      <c r="AC144" s="32" t="inlineStr">
        <is>
          <t>IF(F144="","",IF(COUNT(AI144:AV144)=0,IF(AA144="","Not started",AA144),SUBSTITUTE(LOOKUP(2,1/(AI144:AV144&lt;&gt;""),$AI$3:$AV$3),"Date: ","")))</t>
        </is>
      </c>
      <c r="AD144" s="39" t="inlineStr">
        <is>
          <t>IF(OR(F144="",COUNT(AI144:AV144)=0),"",TODAY()-LOOKUP(2,1/(AI144:AV144&lt;&gt;""),AI144:AV144))</t>
        </is>
      </c>
      <c r="AE144" s="39" t="inlineStr">
        <is>
          <t>IF(OR(F144="",COUNT(AI144:AV144)&lt;2),"",LOOKUP(2,1/(AI144:AV144&lt;&gt;""),AI144:AV144)-MIN(AI144:AV144))</t>
        </is>
      </c>
      <c r="AF144" s="39" t="inlineStr">
        <is>
          <t>IF(OR(AD144="",AC144="Not started",AC144=""),"",IFERROR(AD144-IF(VLOOKUP(AC144,'06_Status_Pipeline'!$B$3:$E$20,4,FALSE)="",0,VLOOKUP(AC144,'06_Status_Pipeline'!$B$3:$E$20,4,FALSE)),""))</t>
        </is>
      </c>
      <c r="AG144" s="3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39" t="inlineStr">
        <is>
          <t>IF(OR(F144="",AC144="Completed / Handover",AC144="Cancelled"),"",IF(O144="Not awarded",IF(U144&lt;&gt;"",U144-TODAY(),IF(X144="","",X144-TODAY())),IF(X144="","",X144-TODAY())))</t>
        </is>
      </c>
      <c r="AI144" s="66" t="n"/>
      <c r="AJ144" s="66" t="n"/>
      <c r="AK144" s="66" t="n"/>
      <c r="AL144" s="66" t="n"/>
      <c r="AM144" s="66" t="n"/>
      <c r="AN144" s="66" t="n"/>
      <c r="AO144" s="66" t="n"/>
      <c r="AP144" s="66" t="n"/>
      <c r="AQ144" s="66" t="n">
        <v>46225</v>
      </c>
      <c r="AR144" s="66" t="n">
        <v>46225</v>
      </c>
      <c r="AS144" s="66" t="n"/>
      <c r="AT144" s="40" t="n"/>
      <c r="AU144" s="40" t="n"/>
      <c r="AV144" s="40" t="n"/>
      <c r="AW144" s="39" t="inlineStr">
        <is>
          <t>IF(OR(F144="",AJ144=""),"",IF(COUNT(AI144:AI144)=0,"",AJ144-LOOKUP(2,1/(AI144:AI144&lt;&gt;""),AI144:AI144)))</t>
        </is>
      </c>
      <c r="AX144" s="39" t="inlineStr">
        <is>
          <t>IF(OR(F144="",AK144=""),"",IF(COUNT(AI144:AJ144)=0,"",AK144-LOOKUP(2,1/(AI144:AJ144&lt;&gt;""),AI144:AJ144)))</t>
        </is>
      </c>
      <c r="AY144" s="39" t="inlineStr">
        <is>
          <t>IF(OR(F144="",AL144=""),"",IF(COUNT(AI144:AK144)=0,"",AL144-LOOKUP(2,1/(AI144:AK144&lt;&gt;""),AI144:AK144)))</t>
        </is>
      </c>
      <c r="AZ144" s="39" t="inlineStr">
        <is>
          <t>IF(OR(F144="",AM144=""),"",IF(COUNT(AI144:AL144)=0,"",AM144-LOOKUP(2,1/(AI144:AL144&lt;&gt;""),AI144:AL144)))</t>
        </is>
      </c>
      <c r="BA144" s="39" t="inlineStr">
        <is>
          <t>IF(OR(F144="",AN144=""),"",IF(COUNT(AI144:AM144)=0,"",AN144-LOOKUP(2,1/(AI144:AM144&lt;&gt;""),AI144:AM144)))</t>
        </is>
      </c>
      <c r="BB144" s="39" t="inlineStr">
        <is>
          <t>IF(OR(F144="",AO144=""),"",IF(COUNT(AI144:AN144)=0,"",AO144-LOOKUP(2,1/(AI144:AN144&lt;&gt;""),AI144:AN144)))</t>
        </is>
      </c>
      <c r="BC144" s="39" t="inlineStr">
        <is>
          <t>IF(OR(F144="",AP144=""),"",IF(COUNT(AI144:AO144)=0,"",AP144-LOOKUP(2,1/(AI144:AO144&lt;&gt;""),AI144:AO144)))</t>
        </is>
      </c>
      <c r="BD144" s="39" t="inlineStr">
        <is>
          <t>IF(OR(F144="",AQ144=""),"",IF(COUNT(AI144:AP144)=0,"",AQ144-LOOKUP(2,1/(AI144:AP144&lt;&gt;""),AI144:AP144)))</t>
        </is>
      </c>
      <c r="BE144" s="39" t="inlineStr">
        <is>
          <t>IF(OR(F144="",AR144=""),"",IF(COUNT(AI144:AQ144)=0,"",AR144-LOOKUP(2,1/(AI144:AQ144&lt;&gt;""),AI144:AQ144)))</t>
        </is>
      </c>
      <c r="BF144" s="39" t="inlineStr">
        <is>
          <t>IF(OR(F144="",AS144=""),"",IF(COUNT(AI144:AR144)=0,"",AS144-LOOKUP(2,1/(AI144:AR144&lt;&gt;""),AI144:AR144)))</t>
        </is>
      </c>
      <c r="BG144" s="39" t="inlineStr">
        <is>
          <t>IF(OR(F144="",AT144=""),"",IF(COUNT(AI144:AS144)=0,"",AT144-LOOKUP(2,1/(AI144:AS144&lt;&gt;""),AI144:AS144)))</t>
        </is>
      </c>
      <c r="BH144" s="39" t="inlineStr">
        <is>
          <t>IF(OR(F144="",AU144=""),"",IF(COUNT(AI144:AT144)=0,"",AU144-LOOKUP(2,1/(AI144:AT144&lt;&gt;""),AI144:AT144)))</t>
        </is>
      </c>
      <c r="BI144" s="39" t="inlineStr">
        <is>
          <t>IF(OR(F144="",AV144=""),"",IF(COUNT(AI144:AU144)=0,"",AV144-LOOKUP(2,1/(AI144:AU144&lt;&gt;""),AI144:AU144)))</t>
        </is>
      </c>
      <c r="BJ144" s="41" t="inlineStr">
        <is>
          <t>IF(J144="","All_Provinces",IFERROR(VLOOKUP(J144,'09_Lookups'!$A$4:$B$20,2,FALSE),"All_Provinces"))</t>
        </is>
      </c>
      <c r="BK144" s="41" t="inlineStr">
        <is>
          <t>IF(K144="","All_Districts",IFERROR(VLOOKUP(K144,'09_Lookups'!$E$4:$F$42,2,FALSE),"All_Districts"))</t>
        </is>
      </c>
    </row>
    <row r="145" outlineLevel="1" ht="18" customHeight="1">
      <c r="A145" s="42" t="inlineStr">
        <is>
          <t>IF(F145="","",ROW()-3)</t>
        </is>
      </c>
      <c r="B145" s="65" t="inlineStr">
        <is>
          <t>AF2-IS-02</t>
        </is>
      </c>
      <c r="C145" s="65" t="inlineStr">
        <is>
          <t>Package # 2-AF2 IS: Rehabilitation of irrigation schemes of 1.Ali Mansoor Canal in Karukh district, 2.Joy Sork and 3.Sar Kari canals in Farsi districts of Herat province.</t>
        </is>
      </c>
      <c r="D145" s="65" t="inlineStr">
        <is>
          <t>2 of 3</t>
        </is>
      </c>
      <c r="E145" s="44" t="inlineStr">
        <is>
          <t>AF2-IS-A-003</t>
        </is>
      </c>
      <c r="F145" s="44" t="inlineStr">
        <is>
          <t>Joy Sork Irrigation Schemes</t>
        </is>
      </c>
      <c r="G145" s="44" t="inlineStr">
        <is>
          <t>Irrigation Scheme</t>
        </is>
      </c>
      <c r="H145" s="44" t="inlineStr">
        <is>
          <t>Irrigation Canal</t>
        </is>
      </c>
      <c r="I145" s="44" t="inlineStr">
        <is>
          <t>Emergency Food Security Project (EFSP) – WBK/AF-2</t>
        </is>
      </c>
      <c r="J145" s="44" t="inlineStr">
        <is>
          <t>West / Herat</t>
        </is>
      </c>
      <c r="K145" s="44" t="inlineStr">
        <is>
          <t>Herat</t>
        </is>
      </c>
      <c r="L145" s="44" t="inlineStr">
        <is>
          <t>Farsi</t>
        </is>
      </c>
      <c r="M145" s="44" t="inlineStr">
        <is>
          <t>Peyazak and Joy Markaz villages</t>
        </is>
      </c>
      <c r="N145" s="44" t="inlineStr">
        <is>
          <t>World Bank (WBK/AF-2)</t>
        </is>
      </c>
      <c r="O145" s="44" t="inlineStr">
        <is>
          <t>Awarded</t>
        </is>
      </c>
      <c r="P145" s="44" t="inlineStr">
        <is>
          <t>1.Awarded contracts_On&amp;off-farm</t>
        </is>
      </c>
      <c r="Q145" s="44" t="inlineStr">
        <is>
          <t>Arman Millad Construction Company (AMCC)</t>
        </is>
      </c>
      <c r="R145" s="44" t="inlineStr">
        <is>
          <t>046/2026</t>
        </is>
      </c>
      <c r="S145" s="45" t="n">
        <v>127771.65</v>
      </c>
      <c r="T145" s="46" t="inlineStr">
        <is>
          <t>IF(AQ145="","",AQ145)</t>
        </is>
      </c>
      <c r="U145" s="47" t="n"/>
      <c r="V145" s="48" t="n">
        <v>12</v>
      </c>
      <c r="W145" s="47" t="n">
        <v>46589</v>
      </c>
      <c r="X145" s="46" t="inlineStr">
        <is>
          <t>IF(W145&lt;&gt;"",W145,IF(OR(T145="",V145=""),"",EDATE(T145,V145)))</t>
        </is>
      </c>
      <c r="Y145" s="47" t="n"/>
      <c r="Z145" s="48" t="n">
        <v>5</v>
      </c>
      <c r="AA145" s="44" t="inlineStr">
        <is>
          <t>Under Construction</t>
        </is>
      </c>
      <c r="AB145" s="44" t="inlineStr">
        <is>
          <t>on track and will be completed by July 2027</t>
        </is>
      </c>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67" t="n"/>
      <c r="AJ145" s="67" t="n"/>
      <c r="AK145" s="67" t="n"/>
      <c r="AL145" s="67" t="n"/>
      <c r="AM145" s="67" t="n"/>
      <c r="AN145" s="67" t="n"/>
      <c r="AO145" s="67" t="n"/>
      <c r="AP145" s="67" t="n"/>
      <c r="AQ145" s="67" t="n">
        <v>46225</v>
      </c>
      <c r="AR145" s="67" t="n">
        <v>46225</v>
      </c>
      <c r="AS145" s="6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outlineLevel="1" ht="18" customHeight="1">
      <c r="A146" s="42" t="inlineStr">
        <is>
          <t>IF(F146="","",ROW()-3)</t>
        </is>
      </c>
      <c r="B146" s="65" t="inlineStr">
        <is>
          <t>AF2-IS-02</t>
        </is>
      </c>
      <c r="C146" s="65" t="inlineStr">
        <is>
          <t>Package # 2-AF2 IS: Rehabilitation of irrigation schemes of 1.Ali Mansoor Canal in Karukh district, 2.Joy Sork and 3.Sar Kari canals in Farsi districts of Herat province.</t>
        </is>
      </c>
      <c r="D146" s="65" t="inlineStr">
        <is>
          <t>3 of 3</t>
        </is>
      </c>
      <c r="E146" s="52" t="inlineStr">
        <is>
          <t>AF2-IS-A-004</t>
        </is>
      </c>
      <c r="F146" s="52" t="inlineStr">
        <is>
          <t>Sar Kari Irrigation Schemes</t>
        </is>
      </c>
      <c r="G146" s="52" t="inlineStr">
        <is>
          <t>Irrigation Scheme</t>
        </is>
      </c>
      <c r="H146" s="52" t="inlineStr">
        <is>
          <t>Irrigation Canal</t>
        </is>
      </c>
      <c r="I146" s="52" t="inlineStr">
        <is>
          <t>Emergency Food Security Project (EFSP) – WBK/AF-2</t>
        </is>
      </c>
      <c r="J146" s="52" t="inlineStr">
        <is>
          <t>West / Herat</t>
        </is>
      </c>
      <c r="K146" s="52" t="inlineStr">
        <is>
          <t>Herat</t>
        </is>
      </c>
      <c r="L146" s="52" t="inlineStr">
        <is>
          <t>Farsi</t>
        </is>
      </c>
      <c r="M146" s="52" t="inlineStr">
        <is>
          <t>Peyazak and Joy Markaz villages</t>
        </is>
      </c>
      <c r="N146" s="52" t="inlineStr">
        <is>
          <t>World Bank (WBK/AF-2)</t>
        </is>
      </c>
      <c r="O146" s="52" t="inlineStr">
        <is>
          <t>Awarded</t>
        </is>
      </c>
      <c r="P146" s="52" t="inlineStr">
        <is>
          <t>1.Awarded contracts_On&amp;off-farm</t>
        </is>
      </c>
      <c r="Q146" s="52" t="inlineStr">
        <is>
          <t>Arman Millad Construction Company (AMCC)</t>
        </is>
      </c>
      <c r="R146" s="52" t="inlineStr">
        <is>
          <t>046/2026</t>
        </is>
      </c>
      <c r="S146" s="53" t="n"/>
      <c r="T146" s="46" t="inlineStr">
        <is>
          <t>IF(AQ146="","",AQ146)</t>
        </is>
      </c>
      <c r="U146" s="54" t="n"/>
      <c r="V146" s="55" t="n">
        <v>12</v>
      </c>
      <c r="W146" s="54" t="n">
        <v>46589</v>
      </c>
      <c r="X146" s="46" t="inlineStr">
        <is>
          <t>IF(W146&lt;&gt;"",W146,IF(OR(T146="",V146=""),"",EDATE(T146,V146)))</t>
        </is>
      </c>
      <c r="Y146" s="54" t="n"/>
      <c r="Z146" s="55" t="n">
        <v>49</v>
      </c>
      <c r="AA146" s="52" t="inlineStr">
        <is>
          <t>Under Construction</t>
        </is>
      </c>
      <c r="AB146" s="52" t="inlineStr">
        <is>
          <t>on track and will be completed by July 2027</t>
        </is>
      </c>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67" t="n"/>
      <c r="AJ146" s="67" t="n"/>
      <c r="AK146" s="67" t="n"/>
      <c r="AL146" s="67" t="n"/>
      <c r="AM146" s="67" t="n"/>
      <c r="AN146" s="67" t="n"/>
      <c r="AO146" s="67" t="n"/>
      <c r="AP146" s="67" t="n"/>
      <c r="AQ146" s="67" t="n">
        <v>46225</v>
      </c>
      <c r="AR146" s="67" t="n">
        <v>46225</v>
      </c>
      <c r="AS146" s="67"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32" t="inlineStr">
        <is>
          <t>IF(F147="","",ROW()-3)</t>
        </is>
      </c>
      <c r="B147" s="33" t="inlineStr">
        <is>
          <t>AF2-IS-03</t>
        </is>
      </c>
      <c r="C147" s="33" t="inlineStr">
        <is>
          <t>Package #3-AF2 IS: Rehabilitation of Yazdi, Todanak Payen irrigation schemes, located in Center and Farahrud Districts of Farah province.</t>
        </is>
      </c>
      <c r="D147" s="33" t="inlineStr">
        <is>
          <t>1 of 2</t>
        </is>
      </c>
      <c r="E147" s="57" t="inlineStr">
        <is>
          <t>AF2-IS-N-001</t>
        </is>
      </c>
      <c r="F147" s="57" t="inlineStr">
        <is>
          <t>Todanak Payen Canal irrigation Scheme</t>
        </is>
      </c>
      <c r="G147" s="57" t="inlineStr">
        <is>
          <t>Irrigation Scheme</t>
        </is>
      </c>
      <c r="H147" s="57" t="inlineStr">
        <is>
          <t>Irrigation Canal</t>
        </is>
      </c>
      <c r="I147" s="57" t="inlineStr">
        <is>
          <t>Emergency Food Security Project (EFSP) – WBK/AF-2</t>
        </is>
      </c>
      <c r="J147" s="57" t="inlineStr">
        <is>
          <t>West / Herat</t>
        </is>
      </c>
      <c r="K147" s="57" t="inlineStr">
        <is>
          <t>Farah</t>
        </is>
      </c>
      <c r="L147" s="57" t="inlineStr">
        <is>
          <t>Farahrud</t>
        </is>
      </c>
      <c r="M147" s="57" t="inlineStr">
        <is>
          <t>Todanak Payen villages</t>
        </is>
      </c>
      <c r="N147" s="57" t="inlineStr">
        <is>
          <t>World Bank (WBK/AF-2)</t>
        </is>
      </c>
      <c r="O147" s="57" t="inlineStr">
        <is>
          <t>Not awarded</t>
        </is>
      </c>
      <c r="P147" s="57" t="inlineStr">
        <is>
          <t>2.Remain contracts_On&amp;off-farm</t>
        </is>
      </c>
      <c r="Q147" s="57" t="inlineStr"/>
      <c r="R147" s="57" t="inlineStr"/>
      <c r="S147" s="58" t="n">
        <v>290000</v>
      </c>
      <c r="T147" s="36" t="inlineStr">
        <is>
          <t>IF(AQ147="","",AQ147)</t>
        </is>
      </c>
      <c r="U147" s="59" t="n">
        <v>46371</v>
      </c>
      <c r="V147" s="60" t="n">
        <v>9</v>
      </c>
      <c r="W147" s="59" t="n">
        <v>46644</v>
      </c>
      <c r="X147" s="36" t="inlineStr">
        <is>
          <t>IF(W147&lt;&gt;"",W147,IF(OR(T147="",V147=""),"",EDATE(T147,V147)))</t>
        </is>
      </c>
      <c r="Y147" s="59" t="n"/>
      <c r="Z147" s="60" t="n"/>
      <c r="AA147" s="57" t="inlineStr">
        <is>
          <t>Under Review of WRI</t>
        </is>
      </c>
      <c r="AB147" s="57" t="inlineStr">
        <is>
          <t>Two months slack period Mar-Apr during the flood. Seven months construction period. Explore split into 2 lots if needed</t>
        </is>
      </c>
      <c r="AC147" s="32" t="inlineStr">
        <is>
          <t>IF(F147="","",IF(COUNT(AI147:AV147)=0,IF(AA147="","Not started",AA147),SUBSTITUTE(LOOKUP(2,1/(AI147:AV147&lt;&gt;""),$AI$3:$AV$3),"Date: ","")))</t>
        </is>
      </c>
      <c r="AD147" s="39" t="inlineStr">
        <is>
          <t>IF(OR(F147="",COUNT(AI147:AV147)=0),"",TODAY()-LOOKUP(2,1/(AI147:AV147&lt;&gt;""),AI147:AV147))</t>
        </is>
      </c>
      <c r="AE147" s="39" t="inlineStr">
        <is>
          <t>IF(OR(F147="",COUNT(AI147:AV147)&lt;2),"",LOOKUP(2,1/(AI147:AV147&lt;&gt;""),AI147:AV147)-MIN(AI147:AV147))</t>
        </is>
      </c>
      <c r="AF147" s="39" t="inlineStr">
        <is>
          <t>IF(OR(AD147="",AC147="Not started",AC147=""),"",IFERROR(AD147-IF(VLOOKUP(AC147,'06_Status_Pipeline'!$B$3:$E$20,4,FALSE)="",0,VLOOKUP(AC147,'06_Status_Pipeline'!$B$3:$E$20,4,FALSE)),""))</t>
        </is>
      </c>
      <c r="AG147" s="3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39" t="inlineStr">
        <is>
          <t>IF(OR(F147="",AC147="Completed / Handover",AC147="Cancelled"),"",IF(O147="Not awarded",IF(U147&lt;&gt;"",U147-TODAY(),IF(X147="","",X147-TODAY())),IF(X147="","",X147-TODAY())))</t>
        </is>
      </c>
      <c r="AI147" s="59" t="n"/>
      <c r="AJ147" s="59" t="n"/>
      <c r="AK147" s="59" t="n"/>
      <c r="AL147" s="59" t="n"/>
      <c r="AM147" s="59" t="n"/>
      <c r="AN147" s="59" t="n"/>
      <c r="AO147" s="59" t="n"/>
      <c r="AP147" s="59" t="n"/>
      <c r="AQ147" s="59" t="n"/>
      <c r="AR147" s="59" t="n"/>
      <c r="AS147" s="59" t="n"/>
      <c r="AT147" s="40" t="n"/>
      <c r="AU147" s="40" t="n"/>
      <c r="AV147" s="40" t="n"/>
      <c r="AW147" s="39" t="inlineStr">
        <is>
          <t>IF(OR(F147="",AJ147=""),"",IF(COUNT(AI147:AI147)=0,"",AJ147-LOOKUP(2,1/(AI147:AI147&lt;&gt;""),AI147:AI147)))</t>
        </is>
      </c>
      <c r="AX147" s="39" t="inlineStr">
        <is>
          <t>IF(OR(F147="",AK147=""),"",IF(COUNT(AI147:AJ147)=0,"",AK147-LOOKUP(2,1/(AI147:AJ147&lt;&gt;""),AI147:AJ147)))</t>
        </is>
      </c>
      <c r="AY147" s="39" t="inlineStr">
        <is>
          <t>IF(OR(F147="",AL147=""),"",IF(COUNT(AI147:AK147)=0,"",AL147-LOOKUP(2,1/(AI147:AK147&lt;&gt;""),AI147:AK147)))</t>
        </is>
      </c>
      <c r="AZ147" s="39" t="inlineStr">
        <is>
          <t>IF(OR(F147="",AM147=""),"",IF(COUNT(AI147:AL147)=0,"",AM147-LOOKUP(2,1/(AI147:AL147&lt;&gt;""),AI147:AL147)))</t>
        </is>
      </c>
      <c r="BA147" s="39" t="inlineStr">
        <is>
          <t>IF(OR(F147="",AN147=""),"",IF(COUNT(AI147:AM147)=0,"",AN147-LOOKUP(2,1/(AI147:AM147&lt;&gt;""),AI147:AM147)))</t>
        </is>
      </c>
      <c r="BB147" s="39" t="inlineStr">
        <is>
          <t>IF(OR(F147="",AO147=""),"",IF(COUNT(AI147:AN147)=0,"",AO147-LOOKUP(2,1/(AI147:AN147&lt;&gt;""),AI147:AN147)))</t>
        </is>
      </c>
      <c r="BC147" s="39" t="inlineStr">
        <is>
          <t>IF(OR(F147="",AP147=""),"",IF(COUNT(AI147:AO147)=0,"",AP147-LOOKUP(2,1/(AI147:AO147&lt;&gt;""),AI147:AO147)))</t>
        </is>
      </c>
      <c r="BD147" s="39" t="inlineStr">
        <is>
          <t>IF(OR(F147="",AQ147=""),"",IF(COUNT(AI147:AP147)=0,"",AQ147-LOOKUP(2,1/(AI147:AP147&lt;&gt;""),AI147:AP147)))</t>
        </is>
      </c>
      <c r="BE147" s="39" t="inlineStr">
        <is>
          <t>IF(OR(F147="",AR147=""),"",IF(COUNT(AI147:AQ147)=0,"",AR147-LOOKUP(2,1/(AI147:AQ147&lt;&gt;""),AI147:AQ147)))</t>
        </is>
      </c>
      <c r="BF147" s="39" t="inlineStr">
        <is>
          <t>IF(OR(F147="",AS147=""),"",IF(COUNT(AI147:AR147)=0,"",AS147-LOOKUP(2,1/(AI147:AR147&lt;&gt;""),AI147:AR147)))</t>
        </is>
      </c>
      <c r="BG147" s="39" t="inlineStr">
        <is>
          <t>IF(OR(F147="",AT147=""),"",IF(COUNT(AI147:AS147)=0,"",AT147-LOOKUP(2,1/(AI147:AS147&lt;&gt;""),AI147:AS147)))</t>
        </is>
      </c>
      <c r="BH147" s="39" t="inlineStr">
        <is>
          <t>IF(OR(F147="",AU147=""),"",IF(COUNT(AI147:AT147)=0,"",AU147-LOOKUP(2,1/(AI147:AT147&lt;&gt;""),AI147:AT147)))</t>
        </is>
      </c>
      <c r="BI147" s="39" t="inlineStr">
        <is>
          <t>IF(OR(F147="",AV147=""),"",IF(COUNT(AI147:AU147)=0,"",AV147-LOOKUP(2,1/(AI147:AU147&lt;&gt;""),AI147:AU147)))</t>
        </is>
      </c>
      <c r="BJ147" s="41" t="inlineStr">
        <is>
          <t>IF(J147="","All_Provinces",IFERROR(VLOOKUP(J147,'09_Lookups'!$A$4:$B$20,2,FALSE),"All_Provinces"))</t>
        </is>
      </c>
      <c r="BK147" s="41" t="inlineStr">
        <is>
          <t>IF(K147="","All_Districts",IFERROR(VLOOKUP(K147,'09_Lookups'!$E$4:$F$42,2,FALSE),"All_Districts"))</t>
        </is>
      </c>
    </row>
    <row r="148" outlineLevel="1" ht="18" customHeight="1">
      <c r="A148" s="42" t="inlineStr">
        <is>
          <t>IF(F148="","",ROW()-3)</t>
        </is>
      </c>
      <c r="B148" s="43" t="inlineStr">
        <is>
          <t>AF2-IS-03</t>
        </is>
      </c>
      <c r="C148" s="43" t="inlineStr">
        <is>
          <t>Package #3-AF2 IS: Rehabilitation of Yazdi, Todanak Payen irrigation schemes, located in Center and Farahrud Districts of Farah province.</t>
        </is>
      </c>
      <c r="D148" s="43" t="inlineStr">
        <is>
          <t>2 of 2</t>
        </is>
      </c>
      <c r="E148" s="52" t="inlineStr">
        <is>
          <t>AF2-IS-N-002</t>
        </is>
      </c>
      <c r="F148" s="52" t="inlineStr">
        <is>
          <t>Yazdeh Canal irrigation Scheme</t>
        </is>
      </c>
      <c r="G148" s="52" t="inlineStr">
        <is>
          <t>Irrigation Scheme</t>
        </is>
      </c>
      <c r="H148" s="52" t="inlineStr">
        <is>
          <t>Irrigation Canal</t>
        </is>
      </c>
      <c r="I148" s="52" t="inlineStr">
        <is>
          <t>Emergency Food Security Project (EFSP) – WBK/AF-2</t>
        </is>
      </c>
      <c r="J148" s="52" t="inlineStr">
        <is>
          <t>West / Herat</t>
        </is>
      </c>
      <c r="K148" s="52" t="inlineStr">
        <is>
          <t>Farah</t>
        </is>
      </c>
      <c r="L148" s="52" t="inlineStr">
        <is>
          <t>Center</t>
        </is>
      </c>
      <c r="M148" s="52" t="inlineStr">
        <is>
          <t>Yazdi</t>
        </is>
      </c>
      <c r="N148" s="52" t="inlineStr">
        <is>
          <t>World Bank (WBK/AF-2)</t>
        </is>
      </c>
      <c r="O148" s="52" t="inlineStr">
        <is>
          <t>Not awarded</t>
        </is>
      </c>
      <c r="P148" s="52" t="inlineStr">
        <is>
          <t>2.Remain contracts_On&amp;off-farm</t>
        </is>
      </c>
      <c r="Q148" s="52" t="inlineStr"/>
      <c r="R148" s="52" t="inlineStr"/>
      <c r="S148" s="53" t="n">
        <v>290000</v>
      </c>
      <c r="T148" s="46" t="inlineStr">
        <is>
          <t>IF(AQ148="","",AQ148)</t>
        </is>
      </c>
      <c r="U148" s="54" t="n">
        <v>46371</v>
      </c>
      <c r="V148" s="55" t="n">
        <v>9</v>
      </c>
      <c r="W148" s="54" t="n">
        <v>46644</v>
      </c>
      <c r="X148" s="46" t="inlineStr">
        <is>
          <t>IF(W148&lt;&gt;"",W148,IF(OR(T148="",V148=""),"",EDATE(T148,V148)))</t>
        </is>
      </c>
      <c r="Y148" s="54" t="n"/>
      <c r="Z148" s="55" t="n"/>
      <c r="AA148" s="52" t="inlineStr">
        <is>
          <t>Under Review of WRI</t>
        </is>
      </c>
      <c r="AB148" s="52" t="inlineStr">
        <is>
          <t>Two months slack period Mar-Apr during the flood. Seven months construction period. Explore split into 2 lots if needed</t>
        </is>
      </c>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32" t="inlineStr">
        <is>
          <t>IF(F149="","",ROW()-3)</t>
        </is>
      </c>
      <c r="B149" s="56" t="inlineStr">
        <is>
          <t>AF2-IS-04</t>
        </is>
      </c>
      <c r="C149" s="56" t="inlineStr">
        <is>
          <t>Package #4-AF2 IS: Rehabilitation of Joi Gang and Ludeenha baranch channel and Joi Kar irrigation schemes in Bala Murghab districts of Badghis provinec.</t>
        </is>
      </c>
      <c r="D149" s="56" t="inlineStr">
        <is>
          <t>1 of 2</t>
        </is>
      </c>
      <c r="E149" s="57" t="inlineStr">
        <is>
          <t>AF2-IS-N-003</t>
        </is>
      </c>
      <c r="F149" s="57" t="inlineStr">
        <is>
          <t>Joi Ganj and Ludeenha Canal irrigation Schemes</t>
        </is>
      </c>
      <c r="G149" s="57" t="inlineStr">
        <is>
          <t>Irrigation Scheme</t>
        </is>
      </c>
      <c r="H149" s="57" t="inlineStr">
        <is>
          <t>Irrigation Canal</t>
        </is>
      </c>
      <c r="I149" s="57" t="inlineStr">
        <is>
          <t>Emergency Food Security Project (EFSP) – WBK/AF-2</t>
        </is>
      </c>
      <c r="J149" s="57" t="inlineStr">
        <is>
          <t>West / Herat</t>
        </is>
      </c>
      <c r="K149" s="57" t="inlineStr">
        <is>
          <t>Badghis</t>
        </is>
      </c>
      <c r="L149" s="57" t="inlineStr">
        <is>
          <t>Bala Murghab</t>
        </is>
      </c>
      <c r="M149" s="57" t="inlineStr">
        <is>
          <t>Joi Ganj and Ludeenha</t>
        </is>
      </c>
      <c r="N149" s="57" t="inlineStr">
        <is>
          <t>World Bank (WBK/AF-2)</t>
        </is>
      </c>
      <c r="O149" s="57" t="inlineStr">
        <is>
          <t>Not awarded</t>
        </is>
      </c>
      <c r="P149" s="57" t="inlineStr">
        <is>
          <t>2.Remain contracts_On&amp;off-farm</t>
        </is>
      </c>
      <c r="Q149" s="57" t="inlineStr"/>
      <c r="R149" s="57" t="inlineStr"/>
      <c r="S149" s="58" t="n">
        <v>180000</v>
      </c>
      <c r="T149" s="36" t="inlineStr">
        <is>
          <t>IF(AQ149="","",AQ149)</t>
        </is>
      </c>
      <c r="U149" s="59" t="n">
        <v>46387</v>
      </c>
      <c r="V149" s="60" t="n">
        <v>8</v>
      </c>
      <c r="W149" s="59" t="n">
        <v>46629</v>
      </c>
      <c r="X149" s="36" t="inlineStr">
        <is>
          <t>IF(W149&lt;&gt;"",W149,IF(OR(T149="",V149=""),"",EDATE(T149,V149)))</t>
        </is>
      </c>
      <c r="Y149" s="59" t="n"/>
      <c r="Z149" s="60" t="n"/>
      <c r="AA149" s="57" t="inlineStr">
        <is>
          <t>PR to be Raised</t>
        </is>
      </c>
      <c r="AB149" s="57" t="inlineStr">
        <is>
          <t>Three months slack period Jan-Mar during winter. Five months construction period required for two canals</t>
        </is>
      </c>
      <c r="AC149" s="32" t="inlineStr">
        <is>
          <t>IF(F149="","",IF(COUNT(AI149:AV149)=0,IF(AA149="","Not started",AA149),SUBSTITUTE(LOOKUP(2,1/(AI149:AV149&lt;&gt;""),$AI$3:$AV$3),"Date: ","")))</t>
        </is>
      </c>
      <c r="AD149" s="39" t="inlineStr">
        <is>
          <t>IF(OR(F149="",COUNT(AI149:AV149)=0),"",TODAY()-LOOKUP(2,1/(AI149:AV149&lt;&gt;""),AI149:AV149))</t>
        </is>
      </c>
      <c r="AE149" s="39" t="inlineStr">
        <is>
          <t>IF(OR(F149="",COUNT(AI149:AV149)&lt;2),"",LOOKUP(2,1/(AI149:AV149&lt;&gt;""),AI149:AV149)-MIN(AI149:AV149))</t>
        </is>
      </c>
      <c r="AF149" s="39" t="inlineStr">
        <is>
          <t>IF(OR(AD149="",AC149="Not started",AC149=""),"",IFERROR(AD149-IF(VLOOKUP(AC149,'06_Status_Pipeline'!$B$3:$E$20,4,FALSE)="",0,VLOOKUP(AC149,'06_Status_Pipeline'!$B$3:$E$20,4,FALSE)),""))</t>
        </is>
      </c>
      <c r="AG149" s="3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39" t="inlineStr">
        <is>
          <t>IF(OR(F149="",AC149="Completed / Handover",AC149="Cancelled"),"",IF(O149="Not awarded",IF(U149&lt;&gt;"",U149-TODAY(),IF(X149="","",X149-TODAY())),IF(X149="","",X149-TODAY())))</t>
        </is>
      </c>
      <c r="AI149" s="59" t="n"/>
      <c r="AJ149" s="59" t="n"/>
      <c r="AK149" s="59" t="n"/>
      <c r="AL149" s="59" t="n"/>
      <c r="AM149" s="59" t="n"/>
      <c r="AN149" s="59" t="n"/>
      <c r="AO149" s="59" t="n"/>
      <c r="AP149" s="59" t="n"/>
      <c r="AQ149" s="59" t="n"/>
      <c r="AR149" s="59" t="n"/>
      <c r="AS149" s="59" t="n"/>
      <c r="AT149" s="40" t="n"/>
      <c r="AU149" s="40" t="n"/>
      <c r="AV149" s="40" t="n"/>
      <c r="AW149" s="39" t="inlineStr">
        <is>
          <t>IF(OR(F149="",AJ149=""),"",IF(COUNT(AI149:AI149)=0,"",AJ149-LOOKUP(2,1/(AI149:AI149&lt;&gt;""),AI149:AI149)))</t>
        </is>
      </c>
      <c r="AX149" s="39" t="inlineStr">
        <is>
          <t>IF(OR(F149="",AK149=""),"",IF(COUNT(AI149:AJ149)=0,"",AK149-LOOKUP(2,1/(AI149:AJ149&lt;&gt;""),AI149:AJ149)))</t>
        </is>
      </c>
      <c r="AY149" s="39" t="inlineStr">
        <is>
          <t>IF(OR(F149="",AL149=""),"",IF(COUNT(AI149:AK149)=0,"",AL149-LOOKUP(2,1/(AI149:AK149&lt;&gt;""),AI149:AK149)))</t>
        </is>
      </c>
      <c r="AZ149" s="39" t="inlineStr">
        <is>
          <t>IF(OR(F149="",AM149=""),"",IF(COUNT(AI149:AL149)=0,"",AM149-LOOKUP(2,1/(AI149:AL149&lt;&gt;""),AI149:AL149)))</t>
        </is>
      </c>
      <c r="BA149" s="39" t="inlineStr">
        <is>
          <t>IF(OR(F149="",AN149=""),"",IF(COUNT(AI149:AM149)=0,"",AN149-LOOKUP(2,1/(AI149:AM149&lt;&gt;""),AI149:AM149)))</t>
        </is>
      </c>
      <c r="BB149" s="39" t="inlineStr">
        <is>
          <t>IF(OR(F149="",AO149=""),"",IF(COUNT(AI149:AN149)=0,"",AO149-LOOKUP(2,1/(AI149:AN149&lt;&gt;""),AI149:AN149)))</t>
        </is>
      </c>
      <c r="BC149" s="39" t="inlineStr">
        <is>
          <t>IF(OR(F149="",AP149=""),"",IF(COUNT(AI149:AO149)=0,"",AP149-LOOKUP(2,1/(AI149:AO149&lt;&gt;""),AI149:AO149)))</t>
        </is>
      </c>
      <c r="BD149" s="39" t="inlineStr">
        <is>
          <t>IF(OR(F149="",AQ149=""),"",IF(COUNT(AI149:AP149)=0,"",AQ149-LOOKUP(2,1/(AI149:AP149&lt;&gt;""),AI149:AP149)))</t>
        </is>
      </c>
      <c r="BE149" s="39" t="inlineStr">
        <is>
          <t>IF(OR(F149="",AR149=""),"",IF(COUNT(AI149:AQ149)=0,"",AR149-LOOKUP(2,1/(AI149:AQ149&lt;&gt;""),AI149:AQ149)))</t>
        </is>
      </c>
      <c r="BF149" s="39" t="inlineStr">
        <is>
          <t>IF(OR(F149="",AS149=""),"",IF(COUNT(AI149:AR149)=0,"",AS149-LOOKUP(2,1/(AI149:AR149&lt;&gt;""),AI149:AR149)))</t>
        </is>
      </c>
      <c r="BG149" s="39" t="inlineStr">
        <is>
          <t>IF(OR(F149="",AT149=""),"",IF(COUNT(AI149:AS149)=0,"",AT149-LOOKUP(2,1/(AI149:AS149&lt;&gt;""),AI149:AS149)))</t>
        </is>
      </c>
      <c r="BH149" s="39" t="inlineStr">
        <is>
          <t>IF(OR(F149="",AU149=""),"",IF(COUNT(AI149:AT149)=0,"",AU149-LOOKUP(2,1/(AI149:AT149&lt;&gt;""),AI149:AT149)))</t>
        </is>
      </c>
      <c r="BI149" s="39" t="inlineStr">
        <is>
          <t>IF(OR(F149="",AV149=""),"",IF(COUNT(AI149:AU149)=0,"",AV149-LOOKUP(2,1/(AI149:AU149&lt;&gt;""),AI149:AU149)))</t>
        </is>
      </c>
      <c r="BJ149" s="41" t="inlineStr">
        <is>
          <t>IF(J149="","All_Provinces",IFERROR(VLOOKUP(J149,'09_Lookups'!$A$4:$B$20,2,FALSE),"All_Provinces"))</t>
        </is>
      </c>
      <c r="BK149" s="41" t="inlineStr">
        <is>
          <t>IF(K149="","All_Districts",IFERROR(VLOOKUP(K149,'09_Lookups'!$E$4:$F$42,2,FALSE),"All_Districts"))</t>
        </is>
      </c>
    </row>
    <row r="150" outlineLevel="1" ht="18" customHeight="1">
      <c r="A150" s="42" t="inlineStr">
        <is>
          <t>IF(F150="","",ROW()-3)</t>
        </is>
      </c>
      <c r="B150" s="61" t="inlineStr">
        <is>
          <t>AF2-IS-04</t>
        </is>
      </c>
      <c r="C150" s="61" t="inlineStr">
        <is>
          <t>Package #4-AF2 IS: Rehabilitation of Joi Gang and Ludeenha baranch channel and Joi Kar irrigation schemes in Bala Murghab districts of Badghis provinec.</t>
        </is>
      </c>
      <c r="D150" s="61" t="inlineStr">
        <is>
          <t>2 of 2</t>
        </is>
      </c>
      <c r="E150" s="52" t="inlineStr">
        <is>
          <t>AF2-IS-N-004</t>
        </is>
      </c>
      <c r="F150" s="52" t="inlineStr">
        <is>
          <t>Joi Kar canal irrigation Scheme</t>
        </is>
      </c>
      <c r="G150" s="52" t="inlineStr">
        <is>
          <t>Irrigation Scheme</t>
        </is>
      </c>
      <c r="H150" s="52" t="inlineStr">
        <is>
          <t>Irrigation Canal</t>
        </is>
      </c>
      <c r="I150" s="52" t="inlineStr">
        <is>
          <t>Emergency Food Security Project (EFSP) – WBK/AF-2</t>
        </is>
      </c>
      <c r="J150" s="52" t="inlineStr">
        <is>
          <t>West / Herat</t>
        </is>
      </c>
      <c r="K150" s="52" t="inlineStr">
        <is>
          <t>Badghis</t>
        </is>
      </c>
      <c r="L150" s="52" t="inlineStr">
        <is>
          <t>Bala Murghab</t>
        </is>
      </c>
      <c r="M150" s="52" t="inlineStr">
        <is>
          <t>Joi Kar</t>
        </is>
      </c>
      <c r="N150" s="52" t="inlineStr">
        <is>
          <t>World Bank (WBK/AF-2)</t>
        </is>
      </c>
      <c r="O150" s="52" t="inlineStr">
        <is>
          <t>Not awarded</t>
        </is>
      </c>
      <c r="P150" s="52" t="inlineStr">
        <is>
          <t>2.Remain contracts_On&amp;off-farm</t>
        </is>
      </c>
      <c r="Q150" s="52" t="inlineStr"/>
      <c r="R150" s="52" t="inlineStr"/>
      <c r="S150" s="53" t="n">
        <v>180000</v>
      </c>
      <c r="T150" s="46" t="inlineStr">
        <is>
          <t>IF(AQ150="","",AQ150)</t>
        </is>
      </c>
      <c r="U150" s="54" t="n">
        <v>46387</v>
      </c>
      <c r="V150" s="55" t="n">
        <v>8</v>
      </c>
      <c r="W150" s="54" t="n">
        <v>46629</v>
      </c>
      <c r="X150" s="46" t="inlineStr">
        <is>
          <t>IF(W150&lt;&gt;"",W150,IF(OR(T150="",V150=""),"",EDATE(T150,V150)))</t>
        </is>
      </c>
      <c r="Y150" s="54" t="n"/>
      <c r="Z150" s="55" t="n"/>
      <c r="AA150" s="52" t="inlineStr">
        <is>
          <t>PR to be Raised</t>
        </is>
      </c>
      <c r="AB150" s="52" t="inlineStr">
        <is>
          <t>Three months slack period Jan-Mar during winter. Five months construction period required for two canals</t>
        </is>
      </c>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32" t="inlineStr">
        <is>
          <t>IF(F151="","",ROW()-3)</t>
        </is>
      </c>
      <c r="B151" s="62" t="inlineStr">
        <is>
          <t>AF2-IS-05</t>
        </is>
      </c>
      <c r="C151" s="62" t="inlineStr">
        <is>
          <t>Package #5-AF2 IS: Rehabilitation of Korakha and Loka Mazar irrigation schemes, located in Dawlatyar District of Ghor province.</t>
        </is>
      </c>
      <c r="D151" s="62" t="inlineStr">
        <is>
          <t>1 of 1</t>
        </is>
      </c>
      <c r="E151" s="57" t="inlineStr">
        <is>
          <t>AF2-IS-N-005</t>
        </is>
      </c>
      <c r="F151" s="57" t="inlineStr">
        <is>
          <t>Korakha and Loka Mazar Irrigation Schemes</t>
        </is>
      </c>
      <c r="G151" s="57" t="inlineStr">
        <is>
          <t>Irrigation Scheme</t>
        </is>
      </c>
      <c r="H151" s="57" t="inlineStr">
        <is>
          <t>Irrigation Canal</t>
        </is>
      </c>
      <c r="I151" s="57" t="inlineStr">
        <is>
          <t>Emergency Food Security Project (EFSP) – WBK/AF-2</t>
        </is>
      </c>
      <c r="J151" s="57" t="inlineStr">
        <is>
          <t>West / Herat</t>
        </is>
      </c>
      <c r="K151" s="57" t="inlineStr">
        <is>
          <t>Ghor</t>
        </is>
      </c>
      <c r="L151" s="57" t="inlineStr">
        <is>
          <t>Dawlatyar</t>
        </is>
      </c>
      <c r="M151" s="57" t="inlineStr">
        <is>
          <t>Sumak and Lokamazar</t>
        </is>
      </c>
      <c r="N151" s="57" t="inlineStr">
        <is>
          <t>World Bank (WBK/AF-2)</t>
        </is>
      </c>
      <c r="O151" s="57" t="inlineStr">
        <is>
          <t>Not awarded</t>
        </is>
      </c>
      <c r="P151" s="57" t="inlineStr">
        <is>
          <t>2.Remain contracts_On&amp;off-farm</t>
        </is>
      </c>
      <c r="Q151" s="57" t="inlineStr"/>
      <c r="R151" s="57" t="inlineStr"/>
      <c r="S151" s="58" t="n">
        <v>242500</v>
      </c>
      <c r="T151" s="36" t="inlineStr">
        <is>
          <t>IF(AQ151="","",AQ151)</t>
        </is>
      </c>
      <c r="U151" s="59" t="n">
        <v>46387</v>
      </c>
      <c r="V151" s="60" t="n">
        <v>8.9</v>
      </c>
      <c r="W151" s="59" t="n">
        <v>46657</v>
      </c>
      <c r="X151" s="36" t="inlineStr">
        <is>
          <t>IF(W151&lt;&gt;"",W151,IF(OR(T151="",V151=""),"",EDATE(T151,V151)))</t>
        </is>
      </c>
      <c r="Y151" s="59" t="n"/>
      <c r="Z151" s="60" t="n"/>
      <c r="AA151" s="57" t="inlineStr">
        <is>
          <t>PR to be Raised</t>
        </is>
      </c>
      <c r="AB151" s="57" t="inlineStr">
        <is>
          <t>Three months slack period Jan-Mar during winter. Six months construction period required for two canals</t>
        </is>
      </c>
      <c r="AC151" s="32" t="inlineStr">
        <is>
          <t>IF(F151="","",IF(COUNT(AI151:AV151)=0,IF(AA151="","Not started",AA151),SUBSTITUTE(LOOKUP(2,1/(AI151:AV151&lt;&gt;""),$AI$3:$AV$3),"Date: ","")))</t>
        </is>
      </c>
      <c r="AD151" s="39" t="inlineStr">
        <is>
          <t>IF(OR(F151="",COUNT(AI151:AV151)=0),"",TODAY()-LOOKUP(2,1/(AI151:AV151&lt;&gt;""),AI151:AV151))</t>
        </is>
      </c>
      <c r="AE151" s="39" t="inlineStr">
        <is>
          <t>IF(OR(F151="",COUNT(AI151:AV151)&lt;2),"",LOOKUP(2,1/(AI151:AV151&lt;&gt;""),AI151:AV151)-MIN(AI151:AV151))</t>
        </is>
      </c>
      <c r="AF151" s="39" t="inlineStr">
        <is>
          <t>IF(OR(AD151="",AC151="Not started",AC151=""),"",IFERROR(AD151-IF(VLOOKUP(AC151,'06_Status_Pipeline'!$B$3:$E$20,4,FALSE)="",0,VLOOKUP(AC151,'06_Status_Pipeline'!$B$3:$E$20,4,FALSE)),""))</t>
        </is>
      </c>
      <c r="AG151" s="3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39" t="inlineStr">
        <is>
          <t>IF(OR(F151="",AC151="Completed / Handover",AC151="Cancelled"),"",IF(O151="Not awarded",IF(U151&lt;&gt;"",U151-TODAY(),IF(X151="","",X151-TODAY())),IF(X151="","",X151-TODAY())))</t>
        </is>
      </c>
      <c r="AI151" s="59" t="n"/>
      <c r="AJ151" s="59" t="n"/>
      <c r="AK151" s="59" t="n"/>
      <c r="AL151" s="59" t="n"/>
      <c r="AM151" s="59" t="n"/>
      <c r="AN151" s="59" t="n"/>
      <c r="AO151" s="59" t="n"/>
      <c r="AP151" s="59" t="n"/>
      <c r="AQ151" s="59" t="n"/>
      <c r="AR151" s="59" t="n"/>
      <c r="AS151" s="59" t="n"/>
      <c r="AT151" s="40" t="n"/>
      <c r="AU151" s="40" t="n"/>
      <c r="AV151" s="40" t="n"/>
      <c r="AW151" s="39" t="inlineStr">
        <is>
          <t>IF(OR(F151="",AJ151=""),"",IF(COUNT(AI151:AI151)=0,"",AJ151-LOOKUP(2,1/(AI151:AI151&lt;&gt;""),AI151:AI151)))</t>
        </is>
      </c>
      <c r="AX151" s="39" t="inlineStr">
        <is>
          <t>IF(OR(F151="",AK151=""),"",IF(COUNT(AI151:AJ151)=0,"",AK151-LOOKUP(2,1/(AI151:AJ151&lt;&gt;""),AI151:AJ151)))</t>
        </is>
      </c>
      <c r="AY151" s="39" t="inlineStr">
        <is>
          <t>IF(OR(F151="",AL151=""),"",IF(COUNT(AI151:AK151)=0,"",AL151-LOOKUP(2,1/(AI151:AK151&lt;&gt;""),AI151:AK151)))</t>
        </is>
      </c>
      <c r="AZ151" s="39" t="inlineStr">
        <is>
          <t>IF(OR(F151="",AM151=""),"",IF(COUNT(AI151:AL151)=0,"",AM151-LOOKUP(2,1/(AI151:AL151&lt;&gt;""),AI151:AL151)))</t>
        </is>
      </c>
      <c r="BA151" s="39" t="inlineStr">
        <is>
          <t>IF(OR(F151="",AN151=""),"",IF(COUNT(AI151:AM151)=0,"",AN151-LOOKUP(2,1/(AI151:AM151&lt;&gt;""),AI151:AM151)))</t>
        </is>
      </c>
      <c r="BB151" s="39" t="inlineStr">
        <is>
          <t>IF(OR(F151="",AO151=""),"",IF(COUNT(AI151:AN151)=0,"",AO151-LOOKUP(2,1/(AI151:AN151&lt;&gt;""),AI151:AN151)))</t>
        </is>
      </c>
      <c r="BC151" s="39" t="inlineStr">
        <is>
          <t>IF(OR(F151="",AP151=""),"",IF(COUNT(AI151:AO151)=0,"",AP151-LOOKUP(2,1/(AI151:AO151&lt;&gt;""),AI151:AO151)))</t>
        </is>
      </c>
      <c r="BD151" s="39" t="inlineStr">
        <is>
          <t>IF(OR(F151="",AQ151=""),"",IF(COUNT(AI151:AP151)=0,"",AQ151-LOOKUP(2,1/(AI151:AP151&lt;&gt;""),AI151:AP151)))</t>
        </is>
      </c>
      <c r="BE151" s="39" t="inlineStr">
        <is>
          <t>IF(OR(F151="",AR151=""),"",IF(COUNT(AI151:AQ151)=0,"",AR151-LOOKUP(2,1/(AI151:AQ151&lt;&gt;""),AI151:AQ151)))</t>
        </is>
      </c>
      <c r="BF151" s="39" t="inlineStr">
        <is>
          <t>IF(OR(F151="",AS151=""),"",IF(COUNT(AI151:AR151)=0,"",AS151-LOOKUP(2,1/(AI151:AR151&lt;&gt;""),AI151:AR151)))</t>
        </is>
      </c>
      <c r="BG151" s="39" t="inlineStr">
        <is>
          <t>IF(OR(F151="",AT151=""),"",IF(COUNT(AI151:AS151)=0,"",AT151-LOOKUP(2,1/(AI151:AS151&lt;&gt;""),AI151:AS151)))</t>
        </is>
      </c>
      <c r="BH151" s="39" t="inlineStr">
        <is>
          <t>IF(OR(F151="",AU151=""),"",IF(COUNT(AI151:AT151)=0,"",AU151-LOOKUP(2,1/(AI151:AT151&lt;&gt;""),AI151:AT151)))</t>
        </is>
      </c>
      <c r="BI151" s="39" t="inlineStr">
        <is>
          <t>IF(OR(F151="",AV151=""),"",IF(COUNT(AI151:AU151)=0,"",AV151-LOOKUP(2,1/(AI151:AU151&lt;&gt;""),AI151:AU151)))</t>
        </is>
      </c>
      <c r="BJ151" s="41" t="inlineStr">
        <is>
          <t>IF(J151="","All_Provinces",IFERROR(VLOOKUP(J151,'09_Lookups'!$A$4:$B$20,2,FALSE),"All_Provinces"))</t>
        </is>
      </c>
      <c r="BK151" s="41" t="inlineStr">
        <is>
          <t>IF(K151="","All_Districts",IFERROR(VLOOKUP(K151,'09_Lookups'!$E$4:$F$42,2,FALSE),"All_Districts"))</t>
        </is>
      </c>
    </row>
    <row r="152" ht="18" customHeight="1">
      <c r="A152" s="32" t="inlineStr">
        <is>
          <t>IF(F152="","",ROW()-3)</t>
        </is>
      </c>
      <c r="B152" s="64" t="inlineStr">
        <is>
          <t>AF2-IS-06</t>
        </is>
      </c>
      <c r="C152" s="64" t="inlineStr">
        <is>
          <t>Package #6-AF2 IS: Rehabilitation of Kushtal Canal, Checknawar canal, and Patikhirrki canal irrigation schemes, located in Lalpora ,Spinghar and Khogyani districts of Nangarhar province.</t>
        </is>
      </c>
      <c r="D152" s="64" t="inlineStr">
        <is>
          <t>1 of 3</t>
        </is>
      </c>
      <c r="E152" s="34" t="inlineStr">
        <is>
          <t>AF2-IS-A-005</t>
        </is>
      </c>
      <c r="F152" s="34" t="inlineStr">
        <is>
          <t>Checknawar canal irrigation scheme</t>
        </is>
      </c>
      <c r="G152" s="34" t="inlineStr">
        <is>
          <t>Irrigation Scheme</t>
        </is>
      </c>
      <c r="H152" s="34" t="inlineStr">
        <is>
          <t>Irrigation Canal</t>
        </is>
      </c>
      <c r="I152" s="34" t="inlineStr">
        <is>
          <t>Emergency Food Security Project (EFSP) – WBK/AF-2</t>
        </is>
      </c>
      <c r="J152" s="34" t="inlineStr">
        <is>
          <t>East / Jalalabad</t>
        </is>
      </c>
      <c r="K152" s="34" t="inlineStr">
        <is>
          <t>Nangarhar</t>
        </is>
      </c>
      <c r="L152" s="34" t="inlineStr">
        <is>
          <t>Spinghar</t>
        </is>
      </c>
      <c r="M152" s="34" t="inlineStr">
        <is>
          <t>Kushtal</t>
        </is>
      </c>
      <c r="N152" s="34" t="inlineStr">
        <is>
          <t>World Bank (WBK/AF-2)</t>
        </is>
      </c>
      <c r="O152" s="34" t="inlineStr">
        <is>
          <t>Awarded</t>
        </is>
      </c>
      <c r="P152" s="34" t="inlineStr">
        <is>
          <t>1.Awarded contracts_On&amp;off-farm</t>
        </is>
      </c>
      <c r="Q152" s="34" t="inlineStr">
        <is>
          <t>Shirali Khan Barakatzai Construction Company (SBCC)</t>
        </is>
      </c>
      <c r="R152" s="34" t="inlineStr">
        <is>
          <t>054/2025</t>
        </is>
      </c>
      <c r="S152" s="35" t="n">
        <v>221002.97</v>
      </c>
      <c r="T152" s="36" t="inlineStr">
        <is>
          <t>IF(AQ152="","",AQ152)</t>
        </is>
      </c>
      <c r="U152" s="37" t="n"/>
      <c r="V152" s="38" t="n">
        <v>12</v>
      </c>
      <c r="W152" s="37" t="n">
        <v>46319</v>
      </c>
      <c r="X152" s="36" t="inlineStr">
        <is>
          <t>IF(W152&lt;&gt;"",W152,IF(OR(T152="",V152=""),"",EDATE(T152,V152)))</t>
        </is>
      </c>
      <c r="Y152" s="37" t="n"/>
      <c r="Z152" s="38" t="n">
        <v>90</v>
      </c>
      <c r="AA152" s="34" t="inlineStr">
        <is>
          <t>Under Construction</t>
        </is>
      </c>
      <c r="AB152" s="34" t="inlineStr">
        <is>
          <t>on track and will be completed by Oct. 2026</t>
        </is>
      </c>
      <c r="AC152" s="32" t="inlineStr">
        <is>
          <t>IF(F152="","",IF(COUNT(AI152:AV152)=0,IF(AA152="","Not started",AA152),SUBSTITUTE(LOOKUP(2,1/(AI152:AV152&lt;&gt;""),$AI$3:$AV$3),"Date: ","")))</t>
        </is>
      </c>
      <c r="AD152" s="39" t="inlineStr">
        <is>
          <t>IF(OR(F152="",COUNT(AI152:AV152)=0),"",TODAY()-LOOKUP(2,1/(AI152:AV152&lt;&gt;""),AI152:AV152))</t>
        </is>
      </c>
      <c r="AE152" s="39" t="inlineStr">
        <is>
          <t>IF(OR(F152="",COUNT(AI152:AV152)&lt;2),"",LOOKUP(2,1/(AI152:AV152&lt;&gt;""),AI152:AV152)-MIN(AI152:AV152))</t>
        </is>
      </c>
      <c r="AF152" s="39" t="inlineStr">
        <is>
          <t>IF(OR(AD152="",AC152="Not started",AC152=""),"",IFERROR(AD152-IF(VLOOKUP(AC152,'06_Status_Pipeline'!$B$3:$E$20,4,FALSE)="",0,VLOOKUP(AC152,'06_Status_Pipeline'!$B$3:$E$20,4,FALSE)),""))</t>
        </is>
      </c>
      <c r="AG152" s="3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39" t="inlineStr">
        <is>
          <t>IF(OR(F152="",AC152="Completed / Handover",AC152="Cancelled"),"",IF(O152="Not awarded",IF(U152&lt;&gt;"",U152-TODAY(),IF(X152="","",X152-TODAY())),IF(X152="","",X152-TODAY())))</t>
        </is>
      </c>
      <c r="AI152" s="66" t="n"/>
      <c r="AJ152" s="66" t="n"/>
      <c r="AK152" s="66" t="n"/>
      <c r="AL152" s="66" t="n"/>
      <c r="AM152" s="66" t="n"/>
      <c r="AN152" s="66" t="n"/>
      <c r="AO152" s="66" t="n"/>
      <c r="AP152" s="66" t="n"/>
      <c r="AQ152" s="66" t="n">
        <v>45955</v>
      </c>
      <c r="AR152" s="66" t="n">
        <v>45955</v>
      </c>
      <c r="AS152" s="66" t="n"/>
      <c r="AT152" s="40" t="n"/>
      <c r="AU152" s="40" t="n"/>
      <c r="AV152" s="40" t="n"/>
      <c r="AW152" s="39" t="inlineStr">
        <is>
          <t>IF(OR(F152="",AJ152=""),"",IF(COUNT(AI152:AI152)=0,"",AJ152-LOOKUP(2,1/(AI152:AI152&lt;&gt;""),AI152:AI152)))</t>
        </is>
      </c>
      <c r="AX152" s="39" t="inlineStr">
        <is>
          <t>IF(OR(F152="",AK152=""),"",IF(COUNT(AI152:AJ152)=0,"",AK152-LOOKUP(2,1/(AI152:AJ152&lt;&gt;""),AI152:AJ152)))</t>
        </is>
      </c>
      <c r="AY152" s="39" t="inlineStr">
        <is>
          <t>IF(OR(F152="",AL152=""),"",IF(COUNT(AI152:AK152)=0,"",AL152-LOOKUP(2,1/(AI152:AK152&lt;&gt;""),AI152:AK152)))</t>
        </is>
      </c>
      <c r="AZ152" s="39" t="inlineStr">
        <is>
          <t>IF(OR(F152="",AM152=""),"",IF(COUNT(AI152:AL152)=0,"",AM152-LOOKUP(2,1/(AI152:AL152&lt;&gt;""),AI152:AL152)))</t>
        </is>
      </c>
      <c r="BA152" s="39" t="inlineStr">
        <is>
          <t>IF(OR(F152="",AN152=""),"",IF(COUNT(AI152:AM152)=0,"",AN152-LOOKUP(2,1/(AI152:AM152&lt;&gt;""),AI152:AM152)))</t>
        </is>
      </c>
      <c r="BB152" s="39" t="inlineStr">
        <is>
          <t>IF(OR(F152="",AO152=""),"",IF(COUNT(AI152:AN152)=0,"",AO152-LOOKUP(2,1/(AI152:AN152&lt;&gt;""),AI152:AN152)))</t>
        </is>
      </c>
      <c r="BC152" s="39" t="inlineStr">
        <is>
          <t>IF(OR(F152="",AP152=""),"",IF(COUNT(AI152:AO152)=0,"",AP152-LOOKUP(2,1/(AI152:AO152&lt;&gt;""),AI152:AO152)))</t>
        </is>
      </c>
      <c r="BD152" s="39" t="inlineStr">
        <is>
          <t>IF(OR(F152="",AQ152=""),"",IF(COUNT(AI152:AP152)=0,"",AQ152-LOOKUP(2,1/(AI152:AP152&lt;&gt;""),AI152:AP152)))</t>
        </is>
      </c>
      <c r="BE152" s="39" t="inlineStr">
        <is>
          <t>IF(OR(F152="",AR152=""),"",IF(COUNT(AI152:AQ152)=0,"",AR152-LOOKUP(2,1/(AI152:AQ152&lt;&gt;""),AI152:AQ152)))</t>
        </is>
      </c>
      <c r="BF152" s="39" t="inlineStr">
        <is>
          <t>IF(OR(F152="",AS152=""),"",IF(COUNT(AI152:AR152)=0,"",AS152-LOOKUP(2,1/(AI152:AR152&lt;&gt;""),AI152:AR152)))</t>
        </is>
      </c>
      <c r="BG152" s="39" t="inlineStr">
        <is>
          <t>IF(OR(F152="",AT152=""),"",IF(COUNT(AI152:AS152)=0,"",AT152-LOOKUP(2,1/(AI152:AS152&lt;&gt;""),AI152:AS152)))</t>
        </is>
      </c>
      <c r="BH152" s="39" t="inlineStr">
        <is>
          <t>IF(OR(F152="",AU152=""),"",IF(COUNT(AI152:AT152)=0,"",AU152-LOOKUP(2,1/(AI152:AT152&lt;&gt;""),AI152:AT152)))</t>
        </is>
      </c>
      <c r="BI152" s="39" t="inlineStr">
        <is>
          <t>IF(OR(F152="",AV152=""),"",IF(COUNT(AI152:AU152)=0,"",AV152-LOOKUP(2,1/(AI152:AU152&lt;&gt;""),AI152:AU152)))</t>
        </is>
      </c>
      <c r="BJ152" s="41" t="inlineStr">
        <is>
          <t>IF(J152="","All_Provinces",IFERROR(VLOOKUP(J152,'09_Lookups'!$A$4:$B$20,2,FALSE),"All_Provinces"))</t>
        </is>
      </c>
      <c r="BK152" s="41" t="inlineStr">
        <is>
          <t>IF(K152="","All_Districts",IFERROR(VLOOKUP(K152,'09_Lookups'!$E$4:$F$42,2,FALSE),"All_Districts"))</t>
        </is>
      </c>
    </row>
    <row r="153" outlineLevel="1" ht="18" customHeight="1">
      <c r="A153" s="42" t="inlineStr">
        <is>
          <t>IF(F153="","",ROW()-3)</t>
        </is>
      </c>
      <c r="B153" s="65" t="inlineStr">
        <is>
          <t>AF2-IS-06</t>
        </is>
      </c>
      <c r="C153" s="65" t="inlineStr">
        <is>
          <t>Package #6-AF2 IS: Rehabilitation of Kushtal Canal, Checknawar canal, and Patikhirrki canal irrigation schemes, located in Lalpora ,Spinghar and Khogyani districts of Nangarhar province.</t>
        </is>
      </c>
      <c r="D153" s="65" t="inlineStr">
        <is>
          <t>2 of 3</t>
        </is>
      </c>
      <c r="E153" s="44" t="inlineStr">
        <is>
          <t>AF2-IS-A-006</t>
        </is>
      </c>
      <c r="F153" s="44" t="inlineStr">
        <is>
          <t>Kushtal canal irrigation Scheme</t>
        </is>
      </c>
      <c r="G153" s="44" t="inlineStr">
        <is>
          <t>Irrigation Scheme</t>
        </is>
      </c>
      <c r="H153" s="44" t="inlineStr">
        <is>
          <t>Irrigation Canal</t>
        </is>
      </c>
      <c r="I153" s="44" t="inlineStr">
        <is>
          <t>Emergency Food Security Project (EFSP) – WBK/AF-2</t>
        </is>
      </c>
      <c r="J153" s="44" t="inlineStr">
        <is>
          <t>East / Jalalabad</t>
        </is>
      </c>
      <c r="K153" s="44" t="inlineStr">
        <is>
          <t>Nangarhar</t>
        </is>
      </c>
      <c r="L153" s="44" t="inlineStr">
        <is>
          <t>Lalpora</t>
        </is>
      </c>
      <c r="M153" s="44" t="inlineStr">
        <is>
          <t>Checknawar</t>
        </is>
      </c>
      <c r="N153" s="44" t="inlineStr">
        <is>
          <t>World Bank (WBK/AF-2)</t>
        </is>
      </c>
      <c r="O153" s="44" t="inlineStr">
        <is>
          <t>Awarded</t>
        </is>
      </c>
      <c r="P153" s="44" t="inlineStr">
        <is>
          <t>1.Awarded contracts_On&amp;off-farm</t>
        </is>
      </c>
      <c r="Q153" s="44" t="inlineStr">
        <is>
          <t>Shirali Khan Barakatzai Construction Company (SBCC)</t>
        </is>
      </c>
      <c r="R153" s="44" t="inlineStr">
        <is>
          <t>054/2025</t>
        </is>
      </c>
      <c r="S153" s="45" t="n">
        <v>57919.77</v>
      </c>
      <c r="T153" s="46" t="inlineStr">
        <is>
          <t>IF(AQ153="","",AQ153)</t>
        </is>
      </c>
      <c r="U153" s="47" t="n"/>
      <c r="V153" s="48" t="n">
        <v>12</v>
      </c>
      <c r="W153" s="47" t="n">
        <v>46319</v>
      </c>
      <c r="X153" s="46" t="inlineStr">
        <is>
          <t>IF(W153&lt;&gt;"",W153,IF(OR(T153="",V153=""),"",EDATE(T153,V153)))</t>
        </is>
      </c>
      <c r="Y153" s="47" t="n"/>
      <c r="Z153" s="48" t="n">
        <v>95</v>
      </c>
      <c r="AA153" s="44" t="inlineStr">
        <is>
          <t>Under Construction</t>
        </is>
      </c>
      <c r="AB153" s="44" t="inlineStr">
        <is>
          <t>on track and will be completed by Oct. 2026</t>
        </is>
      </c>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67" t="n"/>
      <c r="AJ153" s="67" t="n"/>
      <c r="AK153" s="67" t="n"/>
      <c r="AL153" s="67" t="n"/>
      <c r="AM153" s="67" t="n"/>
      <c r="AN153" s="67" t="n"/>
      <c r="AO153" s="67" t="n"/>
      <c r="AP153" s="67" t="n"/>
      <c r="AQ153" s="67" t="n">
        <v>45955</v>
      </c>
      <c r="AR153" s="67" t="n">
        <v>45955</v>
      </c>
      <c r="AS153" s="6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outlineLevel="1" ht="18" customHeight="1">
      <c r="A154" s="42" t="inlineStr">
        <is>
          <t>IF(F154="","",ROW()-3)</t>
        </is>
      </c>
      <c r="B154" s="65" t="inlineStr">
        <is>
          <t>AF2-IS-06</t>
        </is>
      </c>
      <c r="C154" s="65" t="inlineStr">
        <is>
          <t>Package #6-AF2 IS: Rehabilitation of Kushtal Canal, Checknawar canal, and Patikhirrki canal irrigation schemes, located in Lalpora ,Spinghar and Khogyani districts of Nangarhar province.</t>
        </is>
      </c>
      <c r="D154" s="65" t="inlineStr">
        <is>
          <t>3 of 3</t>
        </is>
      </c>
      <c r="E154" s="52" t="inlineStr">
        <is>
          <t>AF2-IS-A-007</t>
        </is>
      </c>
      <c r="F154" s="52" t="inlineStr">
        <is>
          <t>Patikhirki canal irrigation Scheme</t>
        </is>
      </c>
      <c r="G154" s="52" t="inlineStr">
        <is>
          <t>Irrigation Scheme</t>
        </is>
      </c>
      <c r="H154" s="52" t="inlineStr">
        <is>
          <t>Irrigation Canal</t>
        </is>
      </c>
      <c r="I154" s="52" t="inlineStr">
        <is>
          <t>Emergency Food Security Project (EFSP) – WBK/AF-2</t>
        </is>
      </c>
      <c r="J154" s="52" t="inlineStr">
        <is>
          <t>East / Jalalabad</t>
        </is>
      </c>
      <c r="K154" s="52" t="inlineStr">
        <is>
          <t>Nangarhar</t>
        </is>
      </c>
      <c r="L154" s="52" t="inlineStr">
        <is>
          <t>Khogyani</t>
        </is>
      </c>
      <c r="M154" s="52" t="inlineStr">
        <is>
          <t>Patikhirrki</t>
        </is>
      </c>
      <c r="N154" s="52" t="inlineStr">
        <is>
          <t>World Bank (WBK/AF-2)</t>
        </is>
      </c>
      <c r="O154" s="52" t="inlineStr">
        <is>
          <t>Awarded</t>
        </is>
      </c>
      <c r="P154" s="52" t="inlineStr">
        <is>
          <t>1.Awarded contracts_On&amp;off-farm</t>
        </is>
      </c>
      <c r="Q154" s="52" t="inlineStr">
        <is>
          <t>Shirali Khan Barakatzai Construction Company (SBCC)</t>
        </is>
      </c>
      <c r="R154" s="52" t="inlineStr">
        <is>
          <t>054/2025</t>
        </is>
      </c>
      <c r="S154" s="53" t="n">
        <v>96234.39999999999</v>
      </c>
      <c r="T154" s="46" t="inlineStr">
        <is>
          <t>IF(AQ154="","",AQ154)</t>
        </is>
      </c>
      <c r="U154" s="54" t="n"/>
      <c r="V154" s="55" t="n">
        <v>12</v>
      </c>
      <c r="W154" s="54" t="n">
        <v>46319</v>
      </c>
      <c r="X154" s="46" t="inlineStr">
        <is>
          <t>IF(W154&lt;&gt;"",W154,IF(OR(T154="",V154=""),"",EDATE(T154,V154)))</t>
        </is>
      </c>
      <c r="Y154" s="54" t="n"/>
      <c r="Z154" s="55" t="n">
        <v>90</v>
      </c>
      <c r="AA154" s="52" t="inlineStr">
        <is>
          <t>Under Construction</t>
        </is>
      </c>
      <c r="AB154" s="52" t="inlineStr">
        <is>
          <t>on track and will be completed by Oct. 2026</t>
        </is>
      </c>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67" t="n"/>
      <c r="AJ154" s="67" t="n"/>
      <c r="AK154" s="67" t="n"/>
      <c r="AL154" s="67" t="n"/>
      <c r="AM154" s="67" t="n"/>
      <c r="AN154" s="67" t="n"/>
      <c r="AO154" s="67" t="n"/>
      <c r="AP154" s="67" t="n"/>
      <c r="AQ154" s="67" t="n">
        <v>45955</v>
      </c>
      <c r="AR154" s="67" t="n">
        <v>45955</v>
      </c>
      <c r="AS154" s="67"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32" t="inlineStr">
        <is>
          <t>IF(F155="","",ROW()-3)</t>
        </is>
      </c>
      <c r="B155" s="33" t="inlineStr">
        <is>
          <t>AF2-IS-07</t>
        </is>
      </c>
      <c r="C155" s="33" t="inlineStr">
        <is>
          <t>Package #7-AF2 IS: Rehabilitation of Kham Canal and Shandi Toot canal irrigation schemes, located in Dehbala and Sherzad districts of Nangarhar provinces.</t>
        </is>
      </c>
      <c r="D155" s="33" t="inlineStr">
        <is>
          <t>1 of 2</t>
        </is>
      </c>
      <c r="E155" s="57" t="inlineStr">
        <is>
          <t>AF2-IS-N-006</t>
        </is>
      </c>
      <c r="F155" s="57" t="inlineStr">
        <is>
          <t>Kham canal irrigation Scheme</t>
        </is>
      </c>
      <c r="G155" s="57" t="inlineStr">
        <is>
          <t>Irrigation Scheme</t>
        </is>
      </c>
      <c r="H155" s="57" t="inlineStr">
        <is>
          <t>Irrigation Canal</t>
        </is>
      </c>
      <c r="I155" s="57" t="inlineStr">
        <is>
          <t>Emergency Food Security Project (EFSP) – WBK/AF-2</t>
        </is>
      </c>
      <c r="J155" s="57" t="inlineStr">
        <is>
          <t>East / Jalalabad</t>
        </is>
      </c>
      <c r="K155" s="57" t="inlineStr">
        <is>
          <t>Nangarhar</t>
        </is>
      </c>
      <c r="L155" s="57" t="inlineStr">
        <is>
          <t>Dehbala</t>
        </is>
      </c>
      <c r="M155" s="57" t="inlineStr">
        <is>
          <t>Kham Kali and 6 tiny villages</t>
        </is>
      </c>
      <c r="N155" s="57" t="inlineStr">
        <is>
          <t>World Bank (WBK/AF-2)</t>
        </is>
      </c>
      <c r="O155" s="57" t="inlineStr">
        <is>
          <t>Not awarded</t>
        </is>
      </c>
      <c r="P155" s="57" t="inlineStr">
        <is>
          <t>2.Remain contracts_On&amp;off-farm</t>
        </is>
      </c>
      <c r="Q155" s="57" t="inlineStr"/>
      <c r="R155" s="57" t="inlineStr"/>
      <c r="S155" s="58" t="n">
        <v>270698.1</v>
      </c>
      <c r="T155" s="36" t="inlineStr">
        <is>
          <t>IF(AQ155="","",AQ155)</t>
        </is>
      </c>
      <c r="U155" s="59" t="n">
        <v>46325</v>
      </c>
      <c r="V155" s="60" t="n">
        <v>6.9</v>
      </c>
      <c r="W155" s="59" t="n">
        <v>46535</v>
      </c>
      <c r="X155" s="36" t="inlineStr">
        <is>
          <t>IF(W155&lt;&gt;"",W155,IF(OR(T155="",V155=""),"",EDATE(T155,V155)))</t>
        </is>
      </c>
      <c r="Y155" s="59" t="n"/>
      <c r="Z155" s="60" t="n"/>
      <c r="AA155" s="57" t="inlineStr">
        <is>
          <t>Under Technical Evaluation</t>
        </is>
      </c>
      <c r="AB155" s="57" t="inlineStr">
        <is>
          <t>Seven months construction period required for two canals</t>
        </is>
      </c>
      <c r="AC155" s="32" t="inlineStr">
        <is>
          <t>IF(F155="","",IF(COUNT(AI155:AV155)=0,IF(AA155="","Not started",AA155),SUBSTITUTE(LOOKUP(2,1/(AI155:AV155&lt;&gt;""),$AI$3:$AV$3),"Date: ","")))</t>
        </is>
      </c>
      <c r="AD155" s="39" t="inlineStr">
        <is>
          <t>IF(OR(F155="",COUNT(AI155:AV155)=0),"",TODAY()-LOOKUP(2,1/(AI155:AV155&lt;&gt;""),AI155:AV155))</t>
        </is>
      </c>
      <c r="AE155" s="39" t="inlineStr">
        <is>
          <t>IF(OR(F155="",COUNT(AI155:AV155)&lt;2),"",LOOKUP(2,1/(AI155:AV155&lt;&gt;""),AI155:AV155)-MIN(AI155:AV155))</t>
        </is>
      </c>
      <c r="AF155" s="39" t="inlineStr">
        <is>
          <t>IF(OR(AD155="",AC155="Not started",AC155=""),"",IFERROR(AD155-IF(VLOOKUP(AC155,'06_Status_Pipeline'!$B$3:$E$20,4,FALSE)="",0,VLOOKUP(AC155,'06_Status_Pipeline'!$B$3:$E$20,4,FALSE)),""))</t>
        </is>
      </c>
      <c r="AG155" s="3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39" t="inlineStr">
        <is>
          <t>IF(OR(F155="",AC155="Completed / Handover",AC155="Cancelled"),"",IF(O155="Not awarded",IF(U155&lt;&gt;"",U155-TODAY(),IF(X155="","",X155-TODAY())),IF(X155="","",X155-TODAY())))</t>
        </is>
      </c>
      <c r="AI155" s="59" t="n"/>
      <c r="AJ155" s="59" t="n"/>
      <c r="AK155" s="59" t="n"/>
      <c r="AL155" s="59" t="n"/>
      <c r="AM155" s="59" t="n"/>
      <c r="AN155" s="59" t="n"/>
      <c r="AO155" s="59" t="n"/>
      <c r="AP155" s="59" t="n"/>
      <c r="AQ155" s="59" t="n"/>
      <c r="AR155" s="59" t="n"/>
      <c r="AS155" s="59" t="n"/>
      <c r="AT155" s="40" t="n"/>
      <c r="AU155" s="40" t="n"/>
      <c r="AV155" s="40" t="n"/>
      <c r="AW155" s="39" t="inlineStr">
        <is>
          <t>IF(OR(F155="",AJ155=""),"",IF(COUNT(AI155:AI155)=0,"",AJ155-LOOKUP(2,1/(AI155:AI155&lt;&gt;""),AI155:AI155)))</t>
        </is>
      </c>
      <c r="AX155" s="39" t="inlineStr">
        <is>
          <t>IF(OR(F155="",AK155=""),"",IF(COUNT(AI155:AJ155)=0,"",AK155-LOOKUP(2,1/(AI155:AJ155&lt;&gt;""),AI155:AJ155)))</t>
        </is>
      </c>
      <c r="AY155" s="39" t="inlineStr">
        <is>
          <t>IF(OR(F155="",AL155=""),"",IF(COUNT(AI155:AK155)=0,"",AL155-LOOKUP(2,1/(AI155:AK155&lt;&gt;""),AI155:AK155)))</t>
        </is>
      </c>
      <c r="AZ155" s="39" t="inlineStr">
        <is>
          <t>IF(OR(F155="",AM155=""),"",IF(COUNT(AI155:AL155)=0,"",AM155-LOOKUP(2,1/(AI155:AL155&lt;&gt;""),AI155:AL155)))</t>
        </is>
      </c>
      <c r="BA155" s="39" t="inlineStr">
        <is>
          <t>IF(OR(F155="",AN155=""),"",IF(COUNT(AI155:AM155)=0,"",AN155-LOOKUP(2,1/(AI155:AM155&lt;&gt;""),AI155:AM155)))</t>
        </is>
      </c>
      <c r="BB155" s="39" t="inlineStr">
        <is>
          <t>IF(OR(F155="",AO155=""),"",IF(COUNT(AI155:AN155)=0,"",AO155-LOOKUP(2,1/(AI155:AN155&lt;&gt;""),AI155:AN155)))</t>
        </is>
      </c>
      <c r="BC155" s="39" t="inlineStr">
        <is>
          <t>IF(OR(F155="",AP155=""),"",IF(COUNT(AI155:AO155)=0,"",AP155-LOOKUP(2,1/(AI155:AO155&lt;&gt;""),AI155:AO155)))</t>
        </is>
      </c>
      <c r="BD155" s="39" t="inlineStr">
        <is>
          <t>IF(OR(F155="",AQ155=""),"",IF(COUNT(AI155:AP155)=0,"",AQ155-LOOKUP(2,1/(AI155:AP155&lt;&gt;""),AI155:AP155)))</t>
        </is>
      </c>
      <c r="BE155" s="39" t="inlineStr">
        <is>
          <t>IF(OR(F155="",AR155=""),"",IF(COUNT(AI155:AQ155)=0,"",AR155-LOOKUP(2,1/(AI155:AQ155&lt;&gt;""),AI155:AQ155)))</t>
        </is>
      </c>
      <c r="BF155" s="39" t="inlineStr">
        <is>
          <t>IF(OR(F155="",AS155=""),"",IF(COUNT(AI155:AR155)=0,"",AS155-LOOKUP(2,1/(AI155:AR155&lt;&gt;""),AI155:AR155)))</t>
        </is>
      </c>
      <c r="BG155" s="39" t="inlineStr">
        <is>
          <t>IF(OR(F155="",AT155=""),"",IF(COUNT(AI155:AS155)=0,"",AT155-LOOKUP(2,1/(AI155:AS155&lt;&gt;""),AI155:AS155)))</t>
        </is>
      </c>
      <c r="BH155" s="39" t="inlineStr">
        <is>
          <t>IF(OR(F155="",AU155=""),"",IF(COUNT(AI155:AT155)=0,"",AU155-LOOKUP(2,1/(AI155:AT155&lt;&gt;""),AI155:AT155)))</t>
        </is>
      </c>
      <c r="BI155" s="39" t="inlineStr">
        <is>
          <t>IF(OR(F155="",AV155=""),"",IF(COUNT(AI155:AU155)=0,"",AV155-LOOKUP(2,1/(AI155:AU155&lt;&gt;""),AI155:AU155)))</t>
        </is>
      </c>
      <c r="BJ155" s="41" t="inlineStr">
        <is>
          <t>IF(J155="","All_Provinces",IFERROR(VLOOKUP(J155,'09_Lookups'!$A$4:$B$20,2,FALSE),"All_Provinces"))</t>
        </is>
      </c>
      <c r="BK155" s="41" t="inlineStr">
        <is>
          <t>IF(K155="","All_Districts",IFERROR(VLOOKUP(K155,'09_Lookups'!$E$4:$F$42,2,FALSE),"All_Districts"))</t>
        </is>
      </c>
    </row>
    <row r="156" outlineLevel="1" ht="18" customHeight="1">
      <c r="A156" s="42" t="inlineStr">
        <is>
          <t>IF(F156="","",ROW()-3)</t>
        </is>
      </c>
      <c r="B156" s="43" t="inlineStr">
        <is>
          <t>AF2-IS-07</t>
        </is>
      </c>
      <c r="C156" s="43" t="inlineStr">
        <is>
          <t>Package #7-AF2 IS: Rehabilitation of Kham Canal and Shandi Toot canal irrigation schemes, located in Dehbala and Sherzad districts of Nangarhar provinces.</t>
        </is>
      </c>
      <c r="D156" s="43" t="inlineStr">
        <is>
          <t>2 of 2</t>
        </is>
      </c>
      <c r="E156" s="52" t="inlineStr">
        <is>
          <t>AF2-IS-N-007</t>
        </is>
      </c>
      <c r="F156" s="52" t="inlineStr">
        <is>
          <t>Shandi Toot Canal irrigation Scheme</t>
        </is>
      </c>
      <c r="G156" s="52" t="inlineStr">
        <is>
          <t>Irrigation Scheme</t>
        </is>
      </c>
      <c r="H156" s="52" t="inlineStr">
        <is>
          <t>Irrigation Canal</t>
        </is>
      </c>
      <c r="I156" s="52" t="inlineStr">
        <is>
          <t>Emergency Food Security Project (EFSP) – WBK/AF-2</t>
        </is>
      </c>
      <c r="J156" s="52" t="inlineStr">
        <is>
          <t>East / Jalalabad</t>
        </is>
      </c>
      <c r="K156" s="52" t="inlineStr">
        <is>
          <t>Nangarhar</t>
        </is>
      </c>
      <c r="L156" s="52" t="inlineStr">
        <is>
          <t>Sherzad</t>
        </is>
      </c>
      <c r="M156" s="52" t="inlineStr">
        <is>
          <t>Markikhil/Shandi Toot and 14 tiny villages</t>
        </is>
      </c>
      <c r="N156" s="52" t="inlineStr">
        <is>
          <t>World Bank (WBK/AF-2)</t>
        </is>
      </c>
      <c r="O156" s="52" t="inlineStr">
        <is>
          <t>Not awarded</t>
        </is>
      </c>
      <c r="P156" s="52" t="inlineStr">
        <is>
          <t>2.Remain contracts_On&amp;off-farm</t>
        </is>
      </c>
      <c r="Q156" s="52" t="inlineStr"/>
      <c r="R156" s="52" t="inlineStr"/>
      <c r="S156" s="53" t="n">
        <v>270698.1</v>
      </c>
      <c r="T156" s="46" t="inlineStr">
        <is>
          <t>IF(AQ156="","",AQ156)</t>
        </is>
      </c>
      <c r="U156" s="54" t="n">
        <v>46325</v>
      </c>
      <c r="V156" s="55" t="n">
        <v>6.9</v>
      </c>
      <c r="W156" s="54" t="n">
        <v>46535</v>
      </c>
      <c r="X156" s="46" t="inlineStr">
        <is>
          <t>IF(W156&lt;&gt;"",W156,IF(OR(T156="",V156=""),"",EDATE(T156,V156)))</t>
        </is>
      </c>
      <c r="Y156" s="54" t="n"/>
      <c r="Z156" s="55" t="n"/>
      <c r="AA156" s="52" t="inlineStr">
        <is>
          <t>Under Technical Evaluation</t>
        </is>
      </c>
      <c r="AB156" s="52" t="inlineStr">
        <is>
          <t>Seven months construction period required for two canals</t>
        </is>
      </c>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32" t="inlineStr">
        <is>
          <t>IF(F157="","",ROW()-3)</t>
        </is>
      </c>
      <c r="B157" s="56" t="inlineStr">
        <is>
          <t>AF2-IS-08</t>
        </is>
      </c>
      <c r="C157" s="56" t="inlineStr">
        <is>
          <t>Package #8-AF2 IS: Rehabilitation of Khas Kunar Lower canal and Bahrabad canal irrigation schemes, located in Khas Kunar district of Kunar and Behsood district of Nangarhar provinces.</t>
        </is>
      </c>
      <c r="D157" s="56" t="inlineStr">
        <is>
          <t>1 of 2</t>
        </is>
      </c>
      <c r="E157" s="57" t="inlineStr">
        <is>
          <t>AF2-IS-A-008</t>
        </is>
      </c>
      <c r="F157" s="57" t="inlineStr">
        <is>
          <t>Bahrabad Canal irrigation Scheme</t>
        </is>
      </c>
      <c r="G157" s="57" t="inlineStr">
        <is>
          <t>Irrigation Scheme</t>
        </is>
      </c>
      <c r="H157" s="57" t="inlineStr">
        <is>
          <t>Irrigation Canal</t>
        </is>
      </c>
      <c r="I157" s="57" t="inlineStr">
        <is>
          <t>Emergency Food Security Project (EFSP) – WBK/AF-2</t>
        </is>
      </c>
      <c r="J157" s="57" t="inlineStr">
        <is>
          <t>East / Jalalabad</t>
        </is>
      </c>
      <c r="K157" s="57" t="inlineStr">
        <is>
          <t>Nangarhar</t>
        </is>
      </c>
      <c r="L157" s="57" t="inlineStr">
        <is>
          <t>Behsood</t>
        </is>
      </c>
      <c r="M157" s="57" t="inlineStr">
        <is>
          <t>Bahrabad</t>
        </is>
      </c>
      <c r="N157" s="57" t="inlineStr">
        <is>
          <t>World Bank (WBK/AF-2)</t>
        </is>
      </c>
      <c r="O157" s="57" t="inlineStr">
        <is>
          <t>Awarded</t>
        </is>
      </c>
      <c r="P157" s="57" t="inlineStr">
        <is>
          <t>1.Awarded contracts_On&amp;off-farm</t>
        </is>
      </c>
      <c r="Q157" s="57" t="inlineStr">
        <is>
          <t>Awrish builder construction company (ABCC)</t>
        </is>
      </c>
      <c r="R157" s="57" t="inlineStr">
        <is>
          <t>055/2026</t>
        </is>
      </c>
      <c r="S157" s="58" t="n">
        <v>155202.17</v>
      </c>
      <c r="T157" s="36" t="inlineStr">
        <is>
          <t>IF(AQ157="","",AQ157)</t>
        </is>
      </c>
      <c r="U157" s="59" t="n"/>
      <c r="V157" s="60" t="n">
        <v>12</v>
      </c>
      <c r="W157" s="59" t="n">
        <v>46618</v>
      </c>
      <c r="X157" s="36" t="inlineStr">
        <is>
          <t>IF(W157&lt;&gt;"",W157,IF(OR(T157="",V157=""),"",EDATE(T157,V157)))</t>
        </is>
      </c>
      <c r="Y157" s="59" t="n"/>
      <c r="Z157" s="60" t="n">
        <v>2</v>
      </c>
      <c r="AA157" s="57" t="inlineStr">
        <is>
          <t>Under Construction</t>
        </is>
      </c>
      <c r="AB157" s="57" t="inlineStr">
        <is>
          <t>on track and will be completed by August 2027</t>
        </is>
      </c>
      <c r="AC157" s="32" t="inlineStr">
        <is>
          <t>IF(F157="","",IF(COUNT(AI157:AV157)=0,IF(AA157="","Not started",AA157),SUBSTITUTE(LOOKUP(2,1/(AI157:AV157&lt;&gt;""),$AI$3:$AV$3),"Date: ","")))</t>
        </is>
      </c>
      <c r="AD157" s="39" t="inlineStr">
        <is>
          <t>IF(OR(F157="",COUNT(AI157:AV157)=0),"",TODAY()-LOOKUP(2,1/(AI157:AV157&lt;&gt;""),AI157:AV157))</t>
        </is>
      </c>
      <c r="AE157" s="39" t="inlineStr">
        <is>
          <t>IF(OR(F157="",COUNT(AI157:AV157)&lt;2),"",LOOKUP(2,1/(AI157:AV157&lt;&gt;""),AI157:AV157)-MIN(AI157:AV157))</t>
        </is>
      </c>
      <c r="AF157" s="39" t="inlineStr">
        <is>
          <t>IF(OR(AD157="",AC157="Not started",AC157=""),"",IFERROR(AD157-IF(VLOOKUP(AC157,'06_Status_Pipeline'!$B$3:$E$20,4,FALSE)="",0,VLOOKUP(AC157,'06_Status_Pipeline'!$B$3:$E$20,4,FALSE)),""))</t>
        </is>
      </c>
      <c r="AG157" s="3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39" t="inlineStr">
        <is>
          <t>IF(OR(F157="",AC157="Completed / Handover",AC157="Cancelled"),"",IF(O157="Not awarded",IF(U157&lt;&gt;"",U157-TODAY(),IF(X157="","",X157-TODAY())),IF(X157="","",X157-TODAY())))</t>
        </is>
      </c>
      <c r="AI157" s="66" t="n"/>
      <c r="AJ157" s="66" t="n"/>
      <c r="AK157" s="66" t="n"/>
      <c r="AL157" s="66" t="n"/>
      <c r="AM157" s="66" t="n"/>
      <c r="AN157" s="66" t="n"/>
      <c r="AO157" s="66" t="n"/>
      <c r="AP157" s="66" t="n"/>
      <c r="AQ157" s="66" t="n">
        <v>46254</v>
      </c>
      <c r="AR157" s="66" t="n">
        <v>46254</v>
      </c>
      <c r="AS157" s="66" t="n"/>
      <c r="AT157" s="40" t="n"/>
      <c r="AU157" s="40" t="n"/>
      <c r="AV157" s="40" t="n"/>
      <c r="AW157" s="39" t="inlineStr">
        <is>
          <t>IF(OR(F157="",AJ157=""),"",IF(COUNT(AI157:AI157)=0,"",AJ157-LOOKUP(2,1/(AI157:AI157&lt;&gt;""),AI157:AI157)))</t>
        </is>
      </c>
      <c r="AX157" s="39" t="inlineStr">
        <is>
          <t>IF(OR(F157="",AK157=""),"",IF(COUNT(AI157:AJ157)=0,"",AK157-LOOKUP(2,1/(AI157:AJ157&lt;&gt;""),AI157:AJ157)))</t>
        </is>
      </c>
      <c r="AY157" s="39" t="inlineStr">
        <is>
          <t>IF(OR(F157="",AL157=""),"",IF(COUNT(AI157:AK157)=0,"",AL157-LOOKUP(2,1/(AI157:AK157&lt;&gt;""),AI157:AK157)))</t>
        </is>
      </c>
      <c r="AZ157" s="39" t="inlineStr">
        <is>
          <t>IF(OR(F157="",AM157=""),"",IF(COUNT(AI157:AL157)=0,"",AM157-LOOKUP(2,1/(AI157:AL157&lt;&gt;""),AI157:AL157)))</t>
        </is>
      </c>
      <c r="BA157" s="39" t="inlineStr">
        <is>
          <t>IF(OR(F157="",AN157=""),"",IF(COUNT(AI157:AM157)=0,"",AN157-LOOKUP(2,1/(AI157:AM157&lt;&gt;""),AI157:AM157)))</t>
        </is>
      </c>
      <c r="BB157" s="39" t="inlineStr">
        <is>
          <t>IF(OR(F157="",AO157=""),"",IF(COUNT(AI157:AN157)=0,"",AO157-LOOKUP(2,1/(AI157:AN157&lt;&gt;""),AI157:AN157)))</t>
        </is>
      </c>
      <c r="BC157" s="39" t="inlineStr">
        <is>
          <t>IF(OR(F157="",AP157=""),"",IF(COUNT(AI157:AO157)=0,"",AP157-LOOKUP(2,1/(AI157:AO157&lt;&gt;""),AI157:AO157)))</t>
        </is>
      </c>
      <c r="BD157" s="39" t="inlineStr">
        <is>
          <t>IF(OR(F157="",AQ157=""),"",IF(COUNT(AI157:AP157)=0,"",AQ157-LOOKUP(2,1/(AI157:AP157&lt;&gt;""),AI157:AP157)))</t>
        </is>
      </c>
      <c r="BE157" s="39" t="inlineStr">
        <is>
          <t>IF(OR(F157="",AR157=""),"",IF(COUNT(AI157:AQ157)=0,"",AR157-LOOKUP(2,1/(AI157:AQ157&lt;&gt;""),AI157:AQ157)))</t>
        </is>
      </c>
      <c r="BF157" s="39" t="inlineStr">
        <is>
          <t>IF(OR(F157="",AS157=""),"",IF(COUNT(AI157:AR157)=0,"",AS157-LOOKUP(2,1/(AI157:AR157&lt;&gt;""),AI157:AR157)))</t>
        </is>
      </c>
      <c r="BG157" s="39" t="inlineStr">
        <is>
          <t>IF(OR(F157="",AT157=""),"",IF(COUNT(AI157:AS157)=0,"",AT157-LOOKUP(2,1/(AI157:AS157&lt;&gt;""),AI157:AS157)))</t>
        </is>
      </c>
      <c r="BH157" s="39" t="inlineStr">
        <is>
          <t>IF(OR(F157="",AU157=""),"",IF(COUNT(AI157:AT157)=0,"",AU157-LOOKUP(2,1/(AI157:AT157&lt;&gt;""),AI157:AT157)))</t>
        </is>
      </c>
      <c r="BI157" s="39" t="inlineStr">
        <is>
          <t>IF(OR(F157="",AV157=""),"",IF(COUNT(AI157:AU157)=0,"",AV157-LOOKUP(2,1/(AI157:AU157&lt;&gt;""),AI157:AU157)))</t>
        </is>
      </c>
      <c r="BJ157" s="41" t="inlineStr">
        <is>
          <t>IF(J157="","All_Provinces",IFERROR(VLOOKUP(J157,'09_Lookups'!$A$4:$B$20,2,FALSE),"All_Provinces"))</t>
        </is>
      </c>
      <c r="BK157" s="41" t="inlineStr">
        <is>
          <t>IF(K157="","All_Districts",IFERROR(VLOOKUP(K157,'09_Lookups'!$E$4:$F$42,2,FALSE),"All_Districts"))</t>
        </is>
      </c>
    </row>
    <row r="158" outlineLevel="1" ht="18" customHeight="1">
      <c r="A158" s="42" t="inlineStr">
        <is>
          <t>IF(F158="","",ROW()-3)</t>
        </is>
      </c>
      <c r="B158" s="61" t="inlineStr">
        <is>
          <t>AF2-IS-08</t>
        </is>
      </c>
      <c r="C158" s="61" t="inlineStr">
        <is>
          <t>Package #8-AF2 IS: Rehabilitation of Khas Kunar Lower canal and Bahrabad canal irrigation schemes, located in Khas Kunar district of Kunar and Behsood district of Nangarhar provinces.</t>
        </is>
      </c>
      <c r="D158" s="61" t="inlineStr">
        <is>
          <t>2 of 2</t>
        </is>
      </c>
      <c r="E158" s="52" t="inlineStr">
        <is>
          <t>AF2-IS-A-009</t>
        </is>
      </c>
      <c r="F158" s="52" t="inlineStr">
        <is>
          <t>Khas Kunar Lower Canal irrigation Scheme</t>
        </is>
      </c>
      <c r="G158" s="52" t="inlineStr">
        <is>
          <t>Irrigation Scheme</t>
        </is>
      </c>
      <c r="H158" s="52" t="inlineStr">
        <is>
          <t>Irrigation Canal</t>
        </is>
      </c>
      <c r="I158" s="52" t="inlineStr">
        <is>
          <t>Emergency Food Security Project (EFSP) – WBK/AF-2</t>
        </is>
      </c>
      <c r="J158" s="52" t="inlineStr">
        <is>
          <t>East / Jalalabad</t>
        </is>
      </c>
      <c r="K158" s="52" t="inlineStr">
        <is>
          <t>Kunar</t>
        </is>
      </c>
      <c r="L158" s="52" t="inlineStr">
        <is>
          <t>Khas Kunar</t>
        </is>
      </c>
      <c r="M158" s="52" t="inlineStr">
        <is>
          <t>Khas Kunar 36 tiny villages</t>
        </is>
      </c>
      <c r="N158" s="52" t="inlineStr">
        <is>
          <t>World Bank (WBK/AF-2)</t>
        </is>
      </c>
      <c r="O158" s="52" t="inlineStr">
        <is>
          <t>Awarded</t>
        </is>
      </c>
      <c r="P158" s="52" t="inlineStr">
        <is>
          <t>1.Awarded contracts_On&amp;off-farm</t>
        </is>
      </c>
      <c r="Q158" s="52" t="inlineStr">
        <is>
          <t>Awrish builder construction company (ABCC)</t>
        </is>
      </c>
      <c r="R158" s="52" t="inlineStr">
        <is>
          <t>055/2026</t>
        </is>
      </c>
      <c r="S158" s="53" t="n">
        <v>428653.6</v>
      </c>
      <c r="T158" s="46" t="inlineStr">
        <is>
          <t>IF(AQ158="","",AQ158)</t>
        </is>
      </c>
      <c r="U158" s="54" t="n"/>
      <c r="V158" s="55" t="n">
        <v>12</v>
      </c>
      <c r="W158" s="54" t="n">
        <v>46618</v>
      </c>
      <c r="X158" s="46" t="inlineStr">
        <is>
          <t>IF(W158&lt;&gt;"",W158,IF(OR(T158="",V158=""),"",EDATE(T158,V158)))</t>
        </is>
      </c>
      <c r="Y158" s="54" t="n"/>
      <c r="Z158" s="55" t="n">
        <v>1</v>
      </c>
      <c r="AA158" s="52" t="inlineStr">
        <is>
          <t>Under Construction</t>
        </is>
      </c>
      <c r="AB158" s="52" t="inlineStr">
        <is>
          <t>on track and will be completed by August 2027</t>
        </is>
      </c>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67" t="n"/>
      <c r="AJ158" s="67" t="n"/>
      <c r="AK158" s="67" t="n"/>
      <c r="AL158" s="67" t="n"/>
      <c r="AM158" s="67" t="n"/>
      <c r="AN158" s="67" t="n"/>
      <c r="AO158" s="67" t="n"/>
      <c r="AP158" s="67" t="n"/>
      <c r="AQ158" s="67" t="n">
        <v>46254</v>
      </c>
      <c r="AR158" s="67" t="n">
        <v>46254</v>
      </c>
      <c r="AS158" s="67"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32" t="inlineStr">
        <is>
          <t>IF(F159="","",ROW()-3)</t>
        </is>
      </c>
      <c r="B159" s="62" t="inlineStr">
        <is>
          <t>AF2-IS-09</t>
        </is>
      </c>
      <c r="C159" s="62" t="inlineStr">
        <is>
          <t>Package #9-AF2 IS: Rehabilitation of Akchori canal irrigation scheme, located in Waigal districts of Nuristan provinces.</t>
        </is>
      </c>
      <c r="D159" s="62" t="inlineStr">
        <is>
          <t>1 of 1</t>
        </is>
      </c>
      <c r="E159" s="57" t="inlineStr">
        <is>
          <t>AF2-IS-N-008</t>
        </is>
      </c>
      <c r="F159" s="57" t="inlineStr">
        <is>
          <t>Akchori Canal irrigation Scheme</t>
        </is>
      </c>
      <c r="G159" s="57" t="inlineStr">
        <is>
          <t>Irrigation Scheme</t>
        </is>
      </c>
      <c r="H159" s="57" t="inlineStr">
        <is>
          <t>Irrigation Canal</t>
        </is>
      </c>
      <c r="I159" s="57" t="inlineStr">
        <is>
          <t>Emergency Food Security Project (EFSP) – WBK/AF-2</t>
        </is>
      </c>
      <c r="J159" s="57" t="inlineStr">
        <is>
          <t>East / Jalalabad</t>
        </is>
      </c>
      <c r="K159" s="57" t="inlineStr">
        <is>
          <t>Nuristan</t>
        </is>
      </c>
      <c r="L159" s="57" t="inlineStr">
        <is>
          <t>Waigal</t>
        </is>
      </c>
      <c r="M159" s="57" t="inlineStr">
        <is>
          <t>Akchori two main and 9 tiny villages</t>
        </is>
      </c>
      <c r="N159" s="57" t="inlineStr">
        <is>
          <t>World Bank (WBK/AF-2)</t>
        </is>
      </c>
      <c r="O159" s="57" t="inlineStr">
        <is>
          <t>Not awarded</t>
        </is>
      </c>
      <c r="P159" s="57" t="inlineStr">
        <is>
          <t>2.Remain contracts_On&amp;off-farm</t>
        </is>
      </c>
      <c r="Q159" s="57" t="inlineStr"/>
      <c r="R159" s="57" t="inlineStr"/>
      <c r="S159" s="58" t="n">
        <v>101175</v>
      </c>
      <c r="T159" s="36" t="inlineStr">
        <is>
          <t>IF(AQ159="","",AQ159)</t>
        </is>
      </c>
      <c r="U159" s="59" t="n">
        <v>46353</v>
      </c>
      <c r="V159" s="60" t="n">
        <v>10</v>
      </c>
      <c r="W159" s="59" t="n">
        <v>46656</v>
      </c>
      <c r="X159" s="36" t="inlineStr">
        <is>
          <t>IF(W159&lt;&gt;"",W159,IF(OR(T159="",V159=""),"",EDATE(T159,V159)))</t>
        </is>
      </c>
      <c r="Y159" s="59" t="n"/>
      <c r="Z159" s="60" t="n"/>
      <c r="AA159" s="57" t="inlineStr">
        <is>
          <t>ITB Launched</t>
        </is>
      </c>
      <c r="AB159" s="57" t="inlineStr">
        <is>
          <t>Five months slack period Dec-Apr during winter Five months construction period required for the canals</t>
        </is>
      </c>
      <c r="AC159" s="32" t="inlineStr">
        <is>
          <t>IF(F159="","",IF(COUNT(AI159:AV159)=0,IF(AA159="","Not started",AA159),SUBSTITUTE(LOOKUP(2,1/(AI159:AV159&lt;&gt;""),$AI$3:$AV$3),"Date: ","")))</t>
        </is>
      </c>
      <c r="AD159" s="39" t="inlineStr">
        <is>
          <t>IF(OR(F159="",COUNT(AI159:AV159)=0),"",TODAY()-LOOKUP(2,1/(AI159:AV159&lt;&gt;""),AI159:AV159))</t>
        </is>
      </c>
      <c r="AE159" s="39" t="inlineStr">
        <is>
          <t>IF(OR(F159="",COUNT(AI159:AV159)&lt;2),"",LOOKUP(2,1/(AI159:AV159&lt;&gt;""),AI159:AV159)-MIN(AI159:AV159))</t>
        </is>
      </c>
      <c r="AF159" s="39" t="inlineStr">
        <is>
          <t>IF(OR(AD159="",AC159="Not started",AC159=""),"",IFERROR(AD159-IF(VLOOKUP(AC159,'06_Status_Pipeline'!$B$3:$E$20,4,FALSE)="",0,VLOOKUP(AC159,'06_Status_Pipeline'!$B$3:$E$20,4,FALSE)),""))</t>
        </is>
      </c>
      <c r="AG159" s="3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39" t="inlineStr">
        <is>
          <t>IF(OR(F159="",AC159="Completed / Handover",AC159="Cancelled"),"",IF(O159="Not awarded",IF(U159&lt;&gt;"",U159-TODAY(),IF(X159="","",X159-TODAY())),IF(X159="","",X159-TODAY())))</t>
        </is>
      </c>
      <c r="AI159" s="59" t="n"/>
      <c r="AJ159" s="59" t="n"/>
      <c r="AK159" s="59" t="n"/>
      <c r="AL159" s="59" t="n"/>
      <c r="AM159" s="59" t="n"/>
      <c r="AN159" s="59" t="n"/>
      <c r="AO159" s="59" t="n"/>
      <c r="AP159" s="59" t="n"/>
      <c r="AQ159" s="59" t="n"/>
      <c r="AR159" s="59" t="n"/>
      <c r="AS159" s="59" t="n"/>
      <c r="AT159" s="40" t="n"/>
      <c r="AU159" s="40" t="n"/>
      <c r="AV159" s="40" t="n"/>
      <c r="AW159" s="39" t="inlineStr">
        <is>
          <t>IF(OR(F159="",AJ159=""),"",IF(COUNT(AI159:AI159)=0,"",AJ159-LOOKUP(2,1/(AI159:AI159&lt;&gt;""),AI159:AI159)))</t>
        </is>
      </c>
      <c r="AX159" s="39" t="inlineStr">
        <is>
          <t>IF(OR(F159="",AK159=""),"",IF(COUNT(AI159:AJ159)=0,"",AK159-LOOKUP(2,1/(AI159:AJ159&lt;&gt;""),AI159:AJ159)))</t>
        </is>
      </c>
      <c r="AY159" s="39" t="inlineStr">
        <is>
          <t>IF(OR(F159="",AL159=""),"",IF(COUNT(AI159:AK159)=0,"",AL159-LOOKUP(2,1/(AI159:AK159&lt;&gt;""),AI159:AK159)))</t>
        </is>
      </c>
      <c r="AZ159" s="39" t="inlineStr">
        <is>
          <t>IF(OR(F159="",AM159=""),"",IF(COUNT(AI159:AL159)=0,"",AM159-LOOKUP(2,1/(AI159:AL159&lt;&gt;""),AI159:AL159)))</t>
        </is>
      </c>
      <c r="BA159" s="39" t="inlineStr">
        <is>
          <t>IF(OR(F159="",AN159=""),"",IF(COUNT(AI159:AM159)=0,"",AN159-LOOKUP(2,1/(AI159:AM159&lt;&gt;""),AI159:AM159)))</t>
        </is>
      </c>
      <c r="BB159" s="39" t="inlineStr">
        <is>
          <t>IF(OR(F159="",AO159=""),"",IF(COUNT(AI159:AN159)=0,"",AO159-LOOKUP(2,1/(AI159:AN159&lt;&gt;""),AI159:AN159)))</t>
        </is>
      </c>
      <c r="BC159" s="39" t="inlineStr">
        <is>
          <t>IF(OR(F159="",AP159=""),"",IF(COUNT(AI159:AO159)=0,"",AP159-LOOKUP(2,1/(AI159:AO159&lt;&gt;""),AI159:AO159)))</t>
        </is>
      </c>
      <c r="BD159" s="39" t="inlineStr">
        <is>
          <t>IF(OR(F159="",AQ159=""),"",IF(COUNT(AI159:AP159)=0,"",AQ159-LOOKUP(2,1/(AI159:AP159&lt;&gt;""),AI159:AP159)))</t>
        </is>
      </c>
      <c r="BE159" s="39" t="inlineStr">
        <is>
          <t>IF(OR(F159="",AR159=""),"",IF(COUNT(AI159:AQ159)=0,"",AR159-LOOKUP(2,1/(AI159:AQ159&lt;&gt;""),AI159:AQ159)))</t>
        </is>
      </c>
      <c r="BF159" s="39" t="inlineStr">
        <is>
          <t>IF(OR(F159="",AS159=""),"",IF(COUNT(AI159:AR159)=0,"",AS159-LOOKUP(2,1/(AI159:AR159&lt;&gt;""),AI159:AR159)))</t>
        </is>
      </c>
      <c r="BG159" s="39" t="inlineStr">
        <is>
          <t>IF(OR(F159="",AT159=""),"",IF(COUNT(AI159:AS159)=0,"",AT159-LOOKUP(2,1/(AI159:AS159&lt;&gt;""),AI159:AS159)))</t>
        </is>
      </c>
      <c r="BH159" s="39" t="inlineStr">
        <is>
          <t>IF(OR(F159="",AU159=""),"",IF(COUNT(AI159:AT159)=0,"",AU159-LOOKUP(2,1/(AI159:AT159&lt;&gt;""),AI159:AT159)))</t>
        </is>
      </c>
      <c r="BI159" s="39" t="inlineStr">
        <is>
          <t>IF(OR(F159="",AV159=""),"",IF(COUNT(AI159:AU159)=0,"",AV159-LOOKUP(2,1/(AI159:AU159&lt;&gt;""),AI159:AU159)))</t>
        </is>
      </c>
      <c r="BJ159" s="41" t="inlineStr">
        <is>
          <t>IF(J159="","All_Provinces",IFERROR(VLOOKUP(J159,'09_Lookups'!$A$4:$B$20,2,FALSE),"All_Provinces"))</t>
        </is>
      </c>
      <c r="BK159" s="41" t="inlineStr">
        <is>
          <t>IF(K159="","All_Districts",IFERROR(VLOOKUP(K159,'09_Lookups'!$E$4:$F$42,2,FALSE),"All_Districts"))</t>
        </is>
      </c>
    </row>
    <row r="160" ht="18" customHeight="1">
      <c r="A160" s="32" t="inlineStr">
        <is>
          <t>IF(F160="","",ROW()-3)</t>
        </is>
      </c>
      <c r="B160" s="64" t="inlineStr">
        <is>
          <t>AF2-IS-10</t>
        </is>
      </c>
      <c r="C160" s="64" t="inlineStr">
        <is>
          <t>Package #10-AF2 IS: Rehabilitation of 1.Baraki canal, 2. Darbal canal, 3. Nawikhar canal and 4. Mangali canal irrigation schemes, located in Sayed Abad, Chak and Jaghato districts of Wardak province.</t>
        </is>
      </c>
      <c r="D160" s="64" t="inlineStr">
        <is>
          <t>1 of 4</t>
        </is>
      </c>
      <c r="E160" s="34" t="inlineStr">
        <is>
          <t>AF2-IS-A-010</t>
        </is>
      </c>
      <c r="F160" s="34" t="inlineStr">
        <is>
          <t>Baraki Canal irrigation Scheme</t>
        </is>
      </c>
      <c r="G160" s="34" t="inlineStr">
        <is>
          <t>Irrigation Scheme</t>
        </is>
      </c>
      <c r="H160" s="34" t="inlineStr">
        <is>
          <t>Irrigation Canal</t>
        </is>
      </c>
      <c r="I160" s="34" t="inlineStr">
        <is>
          <t>Emergency Food Security Project (EFSP) – WBK/AF-2</t>
        </is>
      </c>
      <c r="J160" s="34" t="inlineStr">
        <is>
          <t>Central / Kabul</t>
        </is>
      </c>
      <c r="K160" s="34" t="inlineStr">
        <is>
          <t>Wardak</t>
        </is>
      </c>
      <c r="L160" s="34" t="inlineStr">
        <is>
          <t>Sayed Abad</t>
        </is>
      </c>
      <c r="M160" s="34" t="inlineStr">
        <is>
          <t>Patan khil, Barat khil, Shadi khil, Sado khil and Laram</t>
        </is>
      </c>
      <c r="N160" s="34" t="inlineStr">
        <is>
          <t>World Bank (WBK/AF-2)</t>
        </is>
      </c>
      <c r="O160" s="34" t="inlineStr">
        <is>
          <t>Awarded</t>
        </is>
      </c>
      <c r="P160" s="34" t="inlineStr">
        <is>
          <t>1.Awarded contracts_On&amp;off-farm</t>
        </is>
      </c>
      <c r="Q160" s="34" t="inlineStr">
        <is>
          <t>Zahid Saeed Engineering and Construction Company (ZSCC)</t>
        </is>
      </c>
      <c r="R160" s="34" t="inlineStr">
        <is>
          <t>057/2025</t>
        </is>
      </c>
      <c r="S160" s="35" t="n">
        <v>112870.51</v>
      </c>
      <c r="T160" s="36" t="inlineStr">
        <is>
          <t>IF(AQ160="","",AQ160)</t>
        </is>
      </c>
      <c r="U160" s="37" t="n"/>
      <c r="V160" s="38" t="n">
        <v>12</v>
      </c>
      <c r="W160" s="37" t="n">
        <v>46343</v>
      </c>
      <c r="X160" s="36" t="inlineStr">
        <is>
          <t>IF(W160&lt;&gt;"",W160,IF(OR(T160="",V160=""),"",EDATE(T160,V160)))</t>
        </is>
      </c>
      <c r="Y160" s="37" t="n"/>
      <c r="Z160" s="38" t="n">
        <v>100</v>
      </c>
      <c r="AA160" s="34" t="inlineStr">
        <is>
          <t>Completed / Handover</t>
        </is>
      </c>
      <c r="AB160" s="34" t="inlineStr">
        <is>
          <t>partly on track, one package will need NCE and works will be completed by May/June 2027 | Actual completion: Sep, 2026</t>
        </is>
      </c>
      <c r="AC160" s="32" t="inlineStr">
        <is>
          <t>IF(F160="","",IF(COUNT(AI160:AV160)=0,IF(AA160="","Not started",AA160),SUBSTITUTE(LOOKUP(2,1/(AI160:AV160&lt;&gt;""),$AI$3:$AV$3),"Date: ","")))</t>
        </is>
      </c>
      <c r="AD160" s="39" t="inlineStr">
        <is>
          <t>IF(OR(F160="",COUNT(AI160:AV160)=0),"",TODAY()-LOOKUP(2,1/(AI160:AV160&lt;&gt;""),AI160:AV160))</t>
        </is>
      </c>
      <c r="AE160" s="39" t="inlineStr">
        <is>
          <t>IF(OR(F160="",COUNT(AI160:AV160)&lt;2),"",LOOKUP(2,1/(AI160:AV160&lt;&gt;""),AI160:AV160)-MIN(AI160:AV160))</t>
        </is>
      </c>
      <c r="AF160" s="39" t="inlineStr">
        <is>
          <t>IF(OR(AD160="",AC160="Not started",AC160=""),"",IFERROR(AD160-IF(VLOOKUP(AC160,'06_Status_Pipeline'!$B$3:$E$20,4,FALSE)="",0,VLOOKUP(AC160,'06_Status_Pipeline'!$B$3:$E$20,4,FALSE)),""))</t>
        </is>
      </c>
      <c r="AG160" s="3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39" t="inlineStr">
        <is>
          <t>IF(OR(F160="",AC160="Completed / Handover",AC160="Cancelled"),"",IF(O160="Not awarded",IF(U160&lt;&gt;"",U160-TODAY(),IF(X160="","",X160-TODAY())),IF(X160="","",X160-TODAY())))</t>
        </is>
      </c>
      <c r="AI160" s="66" t="n"/>
      <c r="AJ160" s="66" t="n"/>
      <c r="AK160" s="66" t="n"/>
      <c r="AL160" s="66" t="n"/>
      <c r="AM160" s="66" t="n"/>
      <c r="AN160" s="66" t="n"/>
      <c r="AO160" s="66" t="n"/>
      <c r="AP160" s="66" t="n"/>
      <c r="AQ160" s="66" t="n">
        <v>45979</v>
      </c>
      <c r="AR160" s="66" t="n">
        <v>45979</v>
      </c>
      <c r="AS160" s="66" t="n">
        <v>46343</v>
      </c>
      <c r="AT160" s="40" t="n"/>
      <c r="AU160" s="40" t="n"/>
      <c r="AV160" s="40" t="n"/>
      <c r="AW160" s="39" t="inlineStr">
        <is>
          <t>IF(OR(F160="",AJ160=""),"",IF(COUNT(AI160:AI160)=0,"",AJ160-LOOKUP(2,1/(AI160:AI160&lt;&gt;""),AI160:AI160)))</t>
        </is>
      </c>
      <c r="AX160" s="39" t="inlineStr">
        <is>
          <t>IF(OR(F160="",AK160=""),"",IF(COUNT(AI160:AJ160)=0,"",AK160-LOOKUP(2,1/(AI160:AJ160&lt;&gt;""),AI160:AJ160)))</t>
        </is>
      </c>
      <c r="AY160" s="39" t="inlineStr">
        <is>
          <t>IF(OR(F160="",AL160=""),"",IF(COUNT(AI160:AK160)=0,"",AL160-LOOKUP(2,1/(AI160:AK160&lt;&gt;""),AI160:AK160)))</t>
        </is>
      </c>
      <c r="AZ160" s="39" t="inlineStr">
        <is>
          <t>IF(OR(F160="",AM160=""),"",IF(COUNT(AI160:AL160)=0,"",AM160-LOOKUP(2,1/(AI160:AL160&lt;&gt;""),AI160:AL160)))</t>
        </is>
      </c>
      <c r="BA160" s="39" t="inlineStr">
        <is>
          <t>IF(OR(F160="",AN160=""),"",IF(COUNT(AI160:AM160)=0,"",AN160-LOOKUP(2,1/(AI160:AM160&lt;&gt;""),AI160:AM160)))</t>
        </is>
      </c>
      <c r="BB160" s="39" t="inlineStr">
        <is>
          <t>IF(OR(F160="",AO160=""),"",IF(COUNT(AI160:AN160)=0,"",AO160-LOOKUP(2,1/(AI160:AN160&lt;&gt;""),AI160:AN160)))</t>
        </is>
      </c>
      <c r="BC160" s="39" t="inlineStr">
        <is>
          <t>IF(OR(F160="",AP160=""),"",IF(COUNT(AI160:AO160)=0,"",AP160-LOOKUP(2,1/(AI160:AO160&lt;&gt;""),AI160:AO160)))</t>
        </is>
      </c>
      <c r="BD160" s="39" t="inlineStr">
        <is>
          <t>IF(OR(F160="",AQ160=""),"",IF(COUNT(AI160:AP160)=0,"",AQ160-LOOKUP(2,1/(AI160:AP160&lt;&gt;""),AI160:AP160)))</t>
        </is>
      </c>
      <c r="BE160" s="39" t="inlineStr">
        <is>
          <t>IF(OR(F160="",AR160=""),"",IF(COUNT(AI160:AQ160)=0,"",AR160-LOOKUP(2,1/(AI160:AQ160&lt;&gt;""),AI160:AQ160)))</t>
        </is>
      </c>
      <c r="BF160" s="39" t="inlineStr">
        <is>
          <t>IF(OR(F160="",AS160=""),"",IF(COUNT(AI160:AR160)=0,"",AS160-LOOKUP(2,1/(AI160:AR160&lt;&gt;""),AI160:AR160)))</t>
        </is>
      </c>
      <c r="BG160" s="39" t="inlineStr">
        <is>
          <t>IF(OR(F160="",AT160=""),"",IF(COUNT(AI160:AS160)=0,"",AT160-LOOKUP(2,1/(AI160:AS160&lt;&gt;""),AI160:AS160)))</t>
        </is>
      </c>
      <c r="BH160" s="39" t="inlineStr">
        <is>
          <t>IF(OR(F160="",AU160=""),"",IF(COUNT(AI160:AT160)=0,"",AU160-LOOKUP(2,1/(AI160:AT160&lt;&gt;""),AI160:AT160)))</t>
        </is>
      </c>
      <c r="BI160" s="39" t="inlineStr">
        <is>
          <t>IF(OR(F160="",AV160=""),"",IF(COUNT(AI160:AU160)=0,"",AV160-LOOKUP(2,1/(AI160:AU160&lt;&gt;""),AI160:AU160)))</t>
        </is>
      </c>
      <c r="BJ160" s="41" t="inlineStr">
        <is>
          <t>IF(J160="","All_Provinces",IFERROR(VLOOKUP(J160,'09_Lookups'!$A$4:$B$20,2,FALSE),"All_Provinces"))</t>
        </is>
      </c>
      <c r="BK160" s="41" t="inlineStr">
        <is>
          <t>IF(K160="","All_Districts",IFERROR(VLOOKUP(K160,'09_Lookups'!$E$4:$F$42,2,FALSE),"All_Districts"))</t>
        </is>
      </c>
    </row>
    <row r="161" outlineLevel="1" ht="18" customHeight="1">
      <c r="A161" s="42" t="inlineStr">
        <is>
          <t>IF(F161="","",ROW()-3)</t>
        </is>
      </c>
      <c r="B161" s="65" t="inlineStr">
        <is>
          <t>AF2-IS-10</t>
        </is>
      </c>
      <c r="C161" s="65" t="inlineStr">
        <is>
          <t>Package #10-AF2 IS: Rehabilitation of 1.Baraki canal, 2. Darbal canal, 3. Nawikhar canal and 4. Mangali canal irrigation schemes, located in Sayed Abad, Chak and Jaghato districts of Wardak province.</t>
        </is>
      </c>
      <c r="D161" s="65" t="inlineStr">
        <is>
          <t>2 of 4</t>
        </is>
      </c>
      <c r="E161" s="44" t="inlineStr">
        <is>
          <t>AF2-IS-A-011</t>
        </is>
      </c>
      <c r="F161" s="44" t="inlineStr">
        <is>
          <t>Darbal canal irrigation Scheme</t>
        </is>
      </c>
      <c r="G161" s="44" t="inlineStr">
        <is>
          <t>Irrigation Scheme</t>
        </is>
      </c>
      <c r="H161" s="44" t="inlineStr">
        <is>
          <t>Irrigation Canal</t>
        </is>
      </c>
      <c r="I161" s="44" t="inlineStr">
        <is>
          <t>Emergency Food Security Project (EFSP) – WBK/AF-2</t>
        </is>
      </c>
      <c r="J161" s="44" t="inlineStr">
        <is>
          <t>Central / Kabul</t>
        </is>
      </c>
      <c r="K161" s="44" t="inlineStr">
        <is>
          <t>Wardak</t>
        </is>
      </c>
      <c r="L161" s="44" t="inlineStr">
        <is>
          <t>Chak</t>
        </is>
      </c>
      <c r="M161" s="44" t="inlineStr">
        <is>
          <t>Darbal</t>
        </is>
      </c>
      <c r="N161" s="44" t="inlineStr">
        <is>
          <t>World Bank (WBK/AF-2)</t>
        </is>
      </c>
      <c r="O161" s="44" t="inlineStr">
        <is>
          <t>Awarded</t>
        </is>
      </c>
      <c r="P161" s="44" t="inlineStr">
        <is>
          <t>1.Awarded contracts_On&amp;off-farm</t>
        </is>
      </c>
      <c r="Q161" s="44" t="inlineStr">
        <is>
          <t>Zahid Saeed Engineering and Construction Company (ZSCC)</t>
        </is>
      </c>
      <c r="R161" s="44" t="inlineStr">
        <is>
          <t>057/2025</t>
        </is>
      </c>
      <c r="S161" s="45" t="n">
        <v>102415.9</v>
      </c>
      <c r="T161" s="46" t="inlineStr">
        <is>
          <t>IF(AQ161="","",AQ161)</t>
        </is>
      </c>
      <c r="U161" s="47" t="n"/>
      <c r="V161" s="48" t="n">
        <v>12</v>
      </c>
      <c r="W161" s="47" t="n">
        <v>46343</v>
      </c>
      <c r="X161" s="46" t="inlineStr">
        <is>
          <t>IF(W161&lt;&gt;"",W161,IF(OR(T161="",V161=""),"",EDATE(T161,V161)))</t>
        </is>
      </c>
      <c r="Y161" s="47" t="n"/>
      <c r="Z161" s="48" t="n">
        <v>0</v>
      </c>
      <c r="AA161" s="44" t="inlineStr">
        <is>
          <t>Awarded</t>
        </is>
      </c>
      <c r="AB161" s="44" t="inlineStr">
        <is>
          <t>partly on track, one package will need NCE and works will be completed by May/June 2027 | Actual completion: Sep, 2026</t>
        </is>
      </c>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67" t="n"/>
      <c r="AJ161" s="67" t="n"/>
      <c r="AK161" s="67" t="n"/>
      <c r="AL161" s="67" t="n"/>
      <c r="AM161" s="67" t="n"/>
      <c r="AN161" s="67" t="n"/>
      <c r="AO161" s="67" t="n"/>
      <c r="AP161" s="67" t="n"/>
      <c r="AQ161" s="67" t="n">
        <v>45979</v>
      </c>
      <c r="AR161" s="67" t="n"/>
      <c r="AS161" s="6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outlineLevel="1" ht="18" customHeight="1">
      <c r="A162" s="42" t="inlineStr">
        <is>
          <t>IF(F162="","",ROW()-3)</t>
        </is>
      </c>
      <c r="B162" s="65" t="inlineStr">
        <is>
          <t>AF2-IS-10</t>
        </is>
      </c>
      <c r="C162" s="65" t="inlineStr">
        <is>
          <t>Package #10-AF2 IS: Rehabilitation of 1.Baraki canal, 2. Darbal canal, 3. Nawikhar canal and 4. Mangali canal irrigation schemes, located in Sayed Abad, Chak and Jaghato districts of Wardak province.</t>
        </is>
      </c>
      <c r="D162" s="65" t="inlineStr">
        <is>
          <t>3 of 4</t>
        </is>
      </c>
      <c r="E162" s="52" t="inlineStr">
        <is>
          <t>AF2-IS-A-012</t>
        </is>
      </c>
      <c r="F162" s="52" t="inlineStr">
        <is>
          <t>Mangali Canal irrigation Scheme</t>
        </is>
      </c>
      <c r="G162" s="52" t="inlineStr">
        <is>
          <t>Irrigation Scheme</t>
        </is>
      </c>
      <c r="H162" s="52" t="inlineStr">
        <is>
          <t>Irrigation Canal</t>
        </is>
      </c>
      <c r="I162" s="52" t="inlineStr">
        <is>
          <t>Emergency Food Security Project (EFSP) – WBK/AF-2</t>
        </is>
      </c>
      <c r="J162" s="52" t="inlineStr">
        <is>
          <t>Central / Kabul</t>
        </is>
      </c>
      <c r="K162" s="52" t="inlineStr">
        <is>
          <t>Wardak</t>
        </is>
      </c>
      <c r="L162" s="52" t="inlineStr">
        <is>
          <t>Jaghato</t>
        </is>
      </c>
      <c r="M162" s="52" t="inlineStr">
        <is>
          <t>Mamal khil, Mushangai, Adena and Mangali</t>
        </is>
      </c>
      <c r="N162" s="52" t="inlineStr">
        <is>
          <t>World Bank (WBK/AF-2)</t>
        </is>
      </c>
      <c r="O162" s="52" t="inlineStr">
        <is>
          <t>Awarded</t>
        </is>
      </c>
      <c r="P162" s="52" t="inlineStr">
        <is>
          <t>1.Awarded contracts_On&amp;off-farm</t>
        </is>
      </c>
      <c r="Q162" s="52" t="inlineStr">
        <is>
          <t>Zahid Saeed Engineering and Construction Company (ZSCC)</t>
        </is>
      </c>
      <c r="R162" s="52" t="inlineStr">
        <is>
          <t>057/2025</t>
        </is>
      </c>
      <c r="S162" s="53" t="n">
        <v>16116.33</v>
      </c>
      <c r="T162" s="46" t="inlineStr">
        <is>
          <t>IF(AQ162="","",AQ162)</t>
        </is>
      </c>
      <c r="U162" s="54" t="n"/>
      <c r="V162" s="55" t="n">
        <v>12</v>
      </c>
      <c r="W162" s="54" t="n">
        <v>46343</v>
      </c>
      <c r="X162" s="46" t="inlineStr">
        <is>
          <t>IF(W162&lt;&gt;"",W162,IF(OR(T162="",V162=""),"",EDATE(T162,V162)))</t>
        </is>
      </c>
      <c r="Y162" s="54" t="n"/>
      <c r="Z162" s="55" t="n">
        <v>0</v>
      </c>
      <c r="AA162" s="52" t="inlineStr">
        <is>
          <t>Awarded</t>
        </is>
      </c>
      <c r="AB162" s="52" t="inlineStr">
        <is>
          <t>partly on track, one package will need NCE and works will be completed by May/June 2027 | Actual completion: Sep, 2026</t>
        </is>
      </c>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67" t="n"/>
      <c r="AJ162" s="67" t="n"/>
      <c r="AK162" s="67" t="n"/>
      <c r="AL162" s="67" t="n"/>
      <c r="AM162" s="67" t="n"/>
      <c r="AN162" s="67" t="n"/>
      <c r="AO162" s="67" t="n"/>
      <c r="AP162" s="67" t="n"/>
      <c r="AQ162" s="67" t="n">
        <v>45979</v>
      </c>
      <c r="AR162" s="67" t="n"/>
      <c r="AS162" s="67"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outlineLevel="1" ht="18" customHeight="1">
      <c r="A163" s="42" t="inlineStr">
        <is>
          <t>IF(F163="","",ROW()-3)</t>
        </is>
      </c>
      <c r="B163" s="65" t="inlineStr">
        <is>
          <t>AF2-IS-10</t>
        </is>
      </c>
      <c r="C163" s="65" t="inlineStr">
        <is>
          <t>Package #10-AF2 IS: Rehabilitation of 1.Baraki canal, 2. Darbal canal, 3. Nawikhar canal and 4. Mangali canal irrigation schemes, located in Sayed Abad, Chak and Jaghato districts of Wardak province.</t>
        </is>
      </c>
      <c r="D163" s="65" t="inlineStr">
        <is>
          <t>4 of 4</t>
        </is>
      </c>
      <c r="E163" s="44" t="inlineStr">
        <is>
          <t>AF2-IS-A-013</t>
        </is>
      </c>
      <c r="F163" s="44" t="inlineStr">
        <is>
          <t>Nawikhar canal irrigation scheme</t>
        </is>
      </c>
      <c r="G163" s="44" t="inlineStr">
        <is>
          <t>Irrigation Scheme</t>
        </is>
      </c>
      <c r="H163" s="44" t="inlineStr">
        <is>
          <t>Irrigation Canal</t>
        </is>
      </c>
      <c r="I163" s="44" t="inlineStr">
        <is>
          <t>Emergency Food Security Project (EFSP) – WBK/AF-2</t>
        </is>
      </c>
      <c r="J163" s="44" t="inlineStr">
        <is>
          <t>Central / Kabul</t>
        </is>
      </c>
      <c r="K163" s="44" t="inlineStr">
        <is>
          <t>Wardak</t>
        </is>
      </c>
      <c r="L163" s="44" t="inlineStr">
        <is>
          <t>Jaghato</t>
        </is>
      </c>
      <c r="M163" s="44" t="inlineStr">
        <is>
          <t>Nawikhar</t>
        </is>
      </c>
      <c r="N163" s="44" t="inlineStr">
        <is>
          <t>World Bank (WBK/AF-2)</t>
        </is>
      </c>
      <c r="O163" s="44" t="inlineStr">
        <is>
          <t>Awarded</t>
        </is>
      </c>
      <c r="P163" s="44" t="inlineStr">
        <is>
          <t>1.Awarded contracts_On&amp;off-farm</t>
        </is>
      </c>
      <c r="Q163" s="44" t="inlineStr">
        <is>
          <t>Zahid Saeed Engineering and Construction Company (ZSCC)</t>
        </is>
      </c>
      <c r="R163" s="44" t="inlineStr">
        <is>
          <t>057/2025</t>
        </is>
      </c>
      <c r="S163" s="45" t="n">
        <v>77263.89</v>
      </c>
      <c r="T163" s="46" t="inlineStr">
        <is>
          <t>IF(AQ163="","",AQ163)</t>
        </is>
      </c>
      <c r="U163" s="47" t="n"/>
      <c r="V163" s="48" t="n">
        <v>12</v>
      </c>
      <c r="W163" s="47" t="n">
        <v>46343</v>
      </c>
      <c r="X163" s="46" t="inlineStr">
        <is>
          <t>IF(W163&lt;&gt;"",W163,IF(OR(T163="",V163=""),"",EDATE(T163,V163)))</t>
        </is>
      </c>
      <c r="Y163" s="47" t="n"/>
      <c r="Z163" s="48" t="n">
        <v>20</v>
      </c>
      <c r="AA163" s="44" t="inlineStr">
        <is>
          <t>Under Construction</t>
        </is>
      </c>
      <c r="AB163" s="44" t="inlineStr">
        <is>
          <t>partly on track, one package will need NCE and works will be completed by May/June 2027 | Actual completion: Sep, 2026</t>
        </is>
      </c>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67" t="n"/>
      <c r="AJ163" s="67" t="n"/>
      <c r="AK163" s="67" t="n"/>
      <c r="AL163" s="67" t="n"/>
      <c r="AM163" s="67" t="n"/>
      <c r="AN163" s="67" t="n"/>
      <c r="AO163" s="67" t="n"/>
      <c r="AP163" s="67" t="n"/>
      <c r="AQ163" s="67" t="n">
        <v>45979</v>
      </c>
      <c r="AR163" s="67" t="n">
        <v>45979</v>
      </c>
      <c r="AS163" s="6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32" t="inlineStr">
        <is>
          <t>IF(F164="","",ROW()-3)</t>
        </is>
      </c>
      <c r="B164" s="33" t="inlineStr">
        <is>
          <t>AF2-IS-11</t>
        </is>
      </c>
      <c r="C164" s="33" t="inlineStr">
        <is>
          <t>Package #11-AF2 IS: Rehabilitation of Musahi Sufla canal irrigation schemes, located in Musahi districts of Kabul province.</t>
        </is>
      </c>
      <c r="D164" s="33" t="inlineStr">
        <is>
          <t>1 of 1</t>
        </is>
      </c>
      <c r="E164" s="34" t="inlineStr">
        <is>
          <t>AF2-IS-A-014</t>
        </is>
      </c>
      <c r="F164" s="34" t="inlineStr">
        <is>
          <t>Musahi Sufla Canal irrigation Scheme</t>
        </is>
      </c>
      <c r="G164" s="34" t="inlineStr">
        <is>
          <t>Irrigation Scheme</t>
        </is>
      </c>
      <c r="H164" s="34" t="inlineStr">
        <is>
          <t>Irrigation Canal</t>
        </is>
      </c>
      <c r="I164" s="34" t="inlineStr">
        <is>
          <t>Emergency Food Security Project (EFSP) – WBK/AF-2</t>
        </is>
      </c>
      <c r="J164" s="34" t="inlineStr">
        <is>
          <t>Central / Kabul</t>
        </is>
      </c>
      <c r="K164" s="34" t="inlineStr">
        <is>
          <t>Kabul</t>
        </is>
      </c>
      <c r="L164" s="34" t="inlineStr">
        <is>
          <t>Musahi</t>
        </is>
      </c>
      <c r="M164" s="34" t="inlineStr">
        <is>
          <t>Musahi Sufla</t>
        </is>
      </c>
      <c r="N164" s="34" t="inlineStr">
        <is>
          <t>World Bank (WBK/AF-2)</t>
        </is>
      </c>
      <c r="O164" s="34" t="inlineStr">
        <is>
          <t>Awarded</t>
        </is>
      </c>
      <c r="P164" s="34" t="inlineStr">
        <is>
          <t>1.Awarded contracts_On&amp;off-farm</t>
        </is>
      </c>
      <c r="Q164" s="34" t="inlineStr">
        <is>
          <t>Seddiq Amini Construction and Logistic Services (SACC)</t>
        </is>
      </c>
      <c r="R164" s="34" t="inlineStr">
        <is>
          <t>056/2025</t>
        </is>
      </c>
      <c r="S164" s="35" t="n">
        <v>196473.81</v>
      </c>
      <c r="T164" s="36" t="inlineStr">
        <is>
          <t>IF(AQ164="","",AQ164)</t>
        </is>
      </c>
      <c r="U164" s="37" t="n"/>
      <c r="V164" s="38" t="n">
        <v>12</v>
      </c>
      <c r="W164" s="37" t="n">
        <v>46321</v>
      </c>
      <c r="X164" s="36" t="inlineStr">
        <is>
          <t>IF(W164&lt;&gt;"",W164,IF(OR(T164="",V164=""),"",EDATE(T164,V164)))</t>
        </is>
      </c>
      <c r="Y164" s="37" t="n"/>
      <c r="Z164" s="38" t="n">
        <v>98</v>
      </c>
      <c r="AA164" s="34" t="inlineStr">
        <is>
          <t>Under Construction</t>
        </is>
      </c>
      <c r="AB164" s="34" t="inlineStr">
        <is>
          <t>on track and will be completed in Oct. 2026</t>
        </is>
      </c>
      <c r="AC164" s="32" t="inlineStr">
        <is>
          <t>IF(F164="","",IF(COUNT(AI164:AV164)=0,IF(AA164="","Not started",AA164),SUBSTITUTE(LOOKUP(2,1/(AI164:AV164&lt;&gt;""),$AI$3:$AV$3),"Date: ","")))</t>
        </is>
      </c>
      <c r="AD164" s="39" t="inlineStr">
        <is>
          <t>IF(OR(F164="",COUNT(AI164:AV164)=0),"",TODAY()-LOOKUP(2,1/(AI164:AV164&lt;&gt;""),AI164:AV164))</t>
        </is>
      </c>
      <c r="AE164" s="39" t="inlineStr">
        <is>
          <t>IF(OR(F164="",COUNT(AI164:AV164)&lt;2),"",LOOKUP(2,1/(AI164:AV164&lt;&gt;""),AI164:AV164)-MIN(AI164:AV164))</t>
        </is>
      </c>
      <c r="AF164" s="39" t="inlineStr">
        <is>
          <t>IF(OR(AD164="",AC164="Not started",AC164=""),"",IFERROR(AD164-IF(VLOOKUP(AC164,'06_Status_Pipeline'!$B$3:$E$20,4,FALSE)="",0,VLOOKUP(AC164,'06_Status_Pipeline'!$B$3:$E$20,4,FALSE)),""))</t>
        </is>
      </c>
      <c r="AG164" s="3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39" t="inlineStr">
        <is>
          <t>IF(OR(F164="",AC164="Completed / Handover",AC164="Cancelled"),"",IF(O164="Not awarded",IF(U164&lt;&gt;"",U164-TODAY(),IF(X164="","",X164-TODAY())),IF(X164="","",X164-TODAY())))</t>
        </is>
      </c>
      <c r="AI164" s="66" t="n"/>
      <c r="AJ164" s="66" t="n"/>
      <c r="AK164" s="66" t="n"/>
      <c r="AL164" s="66" t="n"/>
      <c r="AM164" s="66" t="n"/>
      <c r="AN164" s="66" t="n"/>
      <c r="AO164" s="66" t="n"/>
      <c r="AP164" s="66" t="n"/>
      <c r="AQ164" s="66" t="n">
        <v>45957</v>
      </c>
      <c r="AR164" s="66" t="n">
        <v>45957</v>
      </c>
      <c r="AS164" s="66" t="n"/>
      <c r="AT164" s="40" t="n"/>
      <c r="AU164" s="40" t="n"/>
      <c r="AV164" s="40" t="n"/>
      <c r="AW164" s="39" t="inlineStr">
        <is>
          <t>IF(OR(F164="",AJ164=""),"",IF(COUNT(AI164:AI164)=0,"",AJ164-LOOKUP(2,1/(AI164:AI164&lt;&gt;""),AI164:AI164)))</t>
        </is>
      </c>
      <c r="AX164" s="39" t="inlineStr">
        <is>
          <t>IF(OR(F164="",AK164=""),"",IF(COUNT(AI164:AJ164)=0,"",AK164-LOOKUP(2,1/(AI164:AJ164&lt;&gt;""),AI164:AJ164)))</t>
        </is>
      </c>
      <c r="AY164" s="39" t="inlineStr">
        <is>
          <t>IF(OR(F164="",AL164=""),"",IF(COUNT(AI164:AK164)=0,"",AL164-LOOKUP(2,1/(AI164:AK164&lt;&gt;""),AI164:AK164)))</t>
        </is>
      </c>
      <c r="AZ164" s="39" t="inlineStr">
        <is>
          <t>IF(OR(F164="",AM164=""),"",IF(COUNT(AI164:AL164)=0,"",AM164-LOOKUP(2,1/(AI164:AL164&lt;&gt;""),AI164:AL164)))</t>
        </is>
      </c>
      <c r="BA164" s="39" t="inlineStr">
        <is>
          <t>IF(OR(F164="",AN164=""),"",IF(COUNT(AI164:AM164)=0,"",AN164-LOOKUP(2,1/(AI164:AM164&lt;&gt;""),AI164:AM164)))</t>
        </is>
      </c>
      <c r="BB164" s="39" t="inlineStr">
        <is>
          <t>IF(OR(F164="",AO164=""),"",IF(COUNT(AI164:AN164)=0,"",AO164-LOOKUP(2,1/(AI164:AN164&lt;&gt;""),AI164:AN164)))</t>
        </is>
      </c>
      <c r="BC164" s="39" t="inlineStr">
        <is>
          <t>IF(OR(F164="",AP164=""),"",IF(COUNT(AI164:AO164)=0,"",AP164-LOOKUP(2,1/(AI164:AO164&lt;&gt;""),AI164:AO164)))</t>
        </is>
      </c>
      <c r="BD164" s="39" t="inlineStr">
        <is>
          <t>IF(OR(F164="",AQ164=""),"",IF(COUNT(AI164:AP164)=0,"",AQ164-LOOKUP(2,1/(AI164:AP164&lt;&gt;""),AI164:AP164)))</t>
        </is>
      </c>
      <c r="BE164" s="39" t="inlineStr">
        <is>
          <t>IF(OR(F164="",AR164=""),"",IF(COUNT(AI164:AQ164)=0,"",AR164-LOOKUP(2,1/(AI164:AQ164&lt;&gt;""),AI164:AQ164)))</t>
        </is>
      </c>
      <c r="BF164" s="39" t="inlineStr">
        <is>
          <t>IF(OR(F164="",AS164=""),"",IF(COUNT(AI164:AR164)=0,"",AS164-LOOKUP(2,1/(AI164:AR164&lt;&gt;""),AI164:AR164)))</t>
        </is>
      </c>
      <c r="BG164" s="39" t="inlineStr">
        <is>
          <t>IF(OR(F164="",AT164=""),"",IF(COUNT(AI164:AS164)=0,"",AT164-LOOKUP(2,1/(AI164:AS164&lt;&gt;""),AI164:AS164)))</t>
        </is>
      </c>
      <c r="BH164" s="39" t="inlineStr">
        <is>
          <t>IF(OR(F164="",AU164=""),"",IF(COUNT(AI164:AT164)=0,"",AU164-LOOKUP(2,1/(AI164:AT164&lt;&gt;""),AI164:AT164)))</t>
        </is>
      </c>
      <c r="BI164" s="39" t="inlineStr">
        <is>
          <t>IF(OR(F164="",AV164=""),"",IF(COUNT(AI164:AU164)=0,"",AV164-LOOKUP(2,1/(AI164:AU164&lt;&gt;""),AI164:AU164)))</t>
        </is>
      </c>
      <c r="BJ164" s="41" t="inlineStr">
        <is>
          <t>IF(J164="","All_Provinces",IFERROR(VLOOKUP(J164,'09_Lookups'!$A$4:$B$20,2,FALSE),"All_Provinces"))</t>
        </is>
      </c>
      <c r="BK164" s="41" t="inlineStr">
        <is>
          <t>IF(K164="","All_Districts",IFERROR(VLOOKUP(K164,'09_Lookups'!$E$4:$F$42,2,FALSE),"All_Districts"))</t>
        </is>
      </c>
    </row>
    <row r="165" ht="18" customHeight="1">
      <c r="A165" s="32" t="inlineStr">
        <is>
          <t>IF(F165="","",ROW()-3)</t>
        </is>
      </c>
      <c r="B165" s="56" t="inlineStr">
        <is>
          <t>AF2-IS-12</t>
        </is>
      </c>
      <c r="C165" s="56" t="inlineStr">
        <is>
          <t>Package #12-AF2 IS: Rehabilitation of Tapa-e-Ahmad Big canal and Shahre Beland canal irrigation schemes, located in Nijrab and Paryan districts of Kapisa and Panjsher provinces.</t>
        </is>
      </c>
      <c r="D165" s="56" t="inlineStr">
        <is>
          <t>1 of 2</t>
        </is>
      </c>
      <c r="E165" s="57" t="inlineStr">
        <is>
          <t>AF2-IS-N-009</t>
        </is>
      </c>
      <c r="F165" s="57" t="inlineStr">
        <is>
          <t>Shahre Beland Canal irrigation Scheme</t>
        </is>
      </c>
      <c r="G165" s="57" t="inlineStr">
        <is>
          <t>Irrigation Scheme</t>
        </is>
      </c>
      <c r="H165" s="57" t="inlineStr">
        <is>
          <t>Irrigation Canal</t>
        </is>
      </c>
      <c r="I165" s="57" t="inlineStr">
        <is>
          <t>Emergency Food Security Project (EFSP) – WBK/AF-2</t>
        </is>
      </c>
      <c r="J165" s="57" t="inlineStr">
        <is>
          <t>Central / Kabul</t>
        </is>
      </c>
      <c r="K165" s="57" t="inlineStr">
        <is>
          <t>Panjshir</t>
        </is>
      </c>
      <c r="L165" s="57" t="inlineStr">
        <is>
          <t>Paryan</t>
        </is>
      </c>
      <c r="M165" s="57" t="inlineStr">
        <is>
          <t>Shahre Beland</t>
        </is>
      </c>
      <c r="N165" s="57" t="inlineStr">
        <is>
          <t>World Bank (WBK/AF-2)</t>
        </is>
      </c>
      <c r="O165" s="57" t="inlineStr">
        <is>
          <t>Not awarded</t>
        </is>
      </c>
      <c r="P165" s="57" t="inlineStr">
        <is>
          <t>2.Remain contracts_On&amp;off-farm</t>
        </is>
      </c>
      <c r="Q165" s="57" t="inlineStr"/>
      <c r="R165" s="57" t="inlineStr"/>
      <c r="S165" s="58" t="n">
        <v>191270</v>
      </c>
      <c r="T165" s="36" t="inlineStr">
        <is>
          <t>IF(AQ165="","",AQ165)</t>
        </is>
      </c>
      <c r="U165" s="59" t="n">
        <v>46327</v>
      </c>
      <c r="V165" s="60" t="n">
        <v>8.9</v>
      </c>
      <c r="W165" s="59" t="n">
        <v>46597</v>
      </c>
      <c r="X165" s="36" t="inlineStr">
        <is>
          <t>IF(W165&lt;&gt;"",W165,IF(OR(T165="",V165=""),"",EDATE(T165,V165)))</t>
        </is>
      </c>
      <c r="Y165" s="59" t="n"/>
      <c r="Z165" s="60" t="n"/>
      <c r="AA165" s="57" t="inlineStr">
        <is>
          <t>Under Technical Evaluation</t>
        </is>
      </c>
      <c r="AB165" s="57" t="inlineStr">
        <is>
          <t>Four months slack period Dec-Mar during winter. Five months construction period required for two canals</t>
        </is>
      </c>
      <c r="AC165" s="32" t="inlineStr">
        <is>
          <t>IF(F165="","",IF(COUNT(AI165:AV165)=0,IF(AA165="","Not started",AA165),SUBSTITUTE(LOOKUP(2,1/(AI165:AV165&lt;&gt;""),$AI$3:$AV$3),"Date: ","")))</t>
        </is>
      </c>
      <c r="AD165" s="39" t="inlineStr">
        <is>
          <t>IF(OR(F165="",COUNT(AI165:AV165)=0),"",TODAY()-LOOKUP(2,1/(AI165:AV165&lt;&gt;""),AI165:AV165))</t>
        </is>
      </c>
      <c r="AE165" s="39" t="inlineStr">
        <is>
          <t>IF(OR(F165="",COUNT(AI165:AV165)&lt;2),"",LOOKUP(2,1/(AI165:AV165&lt;&gt;""),AI165:AV165)-MIN(AI165:AV165))</t>
        </is>
      </c>
      <c r="AF165" s="39" t="inlineStr">
        <is>
          <t>IF(OR(AD165="",AC165="Not started",AC165=""),"",IFERROR(AD165-IF(VLOOKUP(AC165,'06_Status_Pipeline'!$B$3:$E$20,4,FALSE)="",0,VLOOKUP(AC165,'06_Status_Pipeline'!$B$3:$E$20,4,FALSE)),""))</t>
        </is>
      </c>
      <c r="AG165" s="3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39" t="inlineStr">
        <is>
          <t>IF(OR(F165="",AC165="Completed / Handover",AC165="Cancelled"),"",IF(O165="Not awarded",IF(U165&lt;&gt;"",U165-TODAY(),IF(X165="","",X165-TODAY())),IF(X165="","",X165-TODAY())))</t>
        </is>
      </c>
      <c r="AI165" s="59" t="n"/>
      <c r="AJ165" s="59" t="n"/>
      <c r="AK165" s="59" t="n"/>
      <c r="AL165" s="59" t="n"/>
      <c r="AM165" s="59" t="n"/>
      <c r="AN165" s="59" t="n"/>
      <c r="AO165" s="59" t="n"/>
      <c r="AP165" s="59" t="n"/>
      <c r="AQ165" s="59" t="n"/>
      <c r="AR165" s="59" t="n"/>
      <c r="AS165" s="59" t="n"/>
      <c r="AT165" s="40" t="n"/>
      <c r="AU165" s="40" t="n"/>
      <c r="AV165" s="40" t="n"/>
      <c r="AW165" s="39" t="inlineStr">
        <is>
          <t>IF(OR(F165="",AJ165=""),"",IF(COUNT(AI165:AI165)=0,"",AJ165-LOOKUP(2,1/(AI165:AI165&lt;&gt;""),AI165:AI165)))</t>
        </is>
      </c>
      <c r="AX165" s="39" t="inlineStr">
        <is>
          <t>IF(OR(F165="",AK165=""),"",IF(COUNT(AI165:AJ165)=0,"",AK165-LOOKUP(2,1/(AI165:AJ165&lt;&gt;""),AI165:AJ165)))</t>
        </is>
      </c>
      <c r="AY165" s="39" t="inlineStr">
        <is>
          <t>IF(OR(F165="",AL165=""),"",IF(COUNT(AI165:AK165)=0,"",AL165-LOOKUP(2,1/(AI165:AK165&lt;&gt;""),AI165:AK165)))</t>
        </is>
      </c>
      <c r="AZ165" s="39" t="inlineStr">
        <is>
          <t>IF(OR(F165="",AM165=""),"",IF(COUNT(AI165:AL165)=0,"",AM165-LOOKUP(2,1/(AI165:AL165&lt;&gt;""),AI165:AL165)))</t>
        </is>
      </c>
      <c r="BA165" s="39" t="inlineStr">
        <is>
          <t>IF(OR(F165="",AN165=""),"",IF(COUNT(AI165:AM165)=0,"",AN165-LOOKUP(2,1/(AI165:AM165&lt;&gt;""),AI165:AM165)))</t>
        </is>
      </c>
      <c r="BB165" s="39" t="inlineStr">
        <is>
          <t>IF(OR(F165="",AO165=""),"",IF(COUNT(AI165:AN165)=0,"",AO165-LOOKUP(2,1/(AI165:AN165&lt;&gt;""),AI165:AN165)))</t>
        </is>
      </c>
      <c r="BC165" s="39" t="inlineStr">
        <is>
          <t>IF(OR(F165="",AP165=""),"",IF(COUNT(AI165:AO165)=0,"",AP165-LOOKUP(2,1/(AI165:AO165&lt;&gt;""),AI165:AO165)))</t>
        </is>
      </c>
      <c r="BD165" s="39" t="inlineStr">
        <is>
          <t>IF(OR(F165="",AQ165=""),"",IF(COUNT(AI165:AP165)=0,"",AQ165-LOOKUP(2,1/(AI165:AP165&lt;&gt;""),AI165:AP165)))</t>
        </is>
      </c>
      <c r="BE165" s="39" t="inlineStr">
        <is>
          <t>IF(OR(F165="",AR165=""),"",IF(COUNT(AI165:AQ165)=0,"",AR165-LOOKUP(2,1/(AI165:AQ165&lt;&gt;""),AI165:AQ165)))</t>
        </is>
      </c>
      <c r="BF165" s="39" t="inlineStr">
        <is>
          <t>IF(OR(F165="",AS165=""),"",IF(COUNT(AI165:AR165)=0,"",AS165-LOOKUP(2,1/(AI165:AR165&lt;&gt;""),AI165:AR165)))</t>
        </is>
      </c>
      <c r="BG165" s="39" t="inlineStr">
        <is>
          <t>IF(OR(F165="",AT165=""),"",IF(COUNT(AI165:AS165)=0,"",AT165-LOOKUP(2,1/(AI165:AS165&lt;&gt;""),AI165:AS165)))</t>
        </is>
      </c>
      <c r="BH165" s="39" t="inlineStr">
        <is>
          <t>IF(OR(F165="",AU165=""),"",IF(COUNT(AI165:AT165)=0,"",AU165-LOOKUP(2,1/(AI165:AT165&lt;&gt;""),AI165:AT165)))</t>
        </is>
      </c>
      <c r="BI165" s="39" t="inlineStr">
        <is>
          <t>IF(OR(F165="",AV165=""),"",IF(COUNT(AI165:AU165)=0,"",AV165-LOOKUP(2,1/(AI165:AU165&lt;&gt;""),AI165:AU165)))</t>
        </is>
      </c>
      <c r="BJ165" s="41" t="inlineStr">
        <is>
          <t>IF(J165="","All_Provinces",IFERROR(VLOOKUP(J165,'09_Lookups'!$A$4:$B$20,2,FALSE),"All_Provinces"))</t>
        </is>
      </c>
      <c r="BK165" s="41" t="inlineStr">
        <is>
          <t>IF(K165="","All_Districts",IFERROR(VLOOKUP(K165,'09_Lookups'!$E$4:$F$42,2,FALSE),"All_Districts"))</t>
        </is>
      </c>
    </row>
    <row r="166" outlineLevel="1" ht="18" customHeight="1">
      <c r="A166" s="42" t="inlineStr">
        <is>
          <t>IF(F166="","",ROW()-3)</t>
        </is>
      </c>
      <c r="B166" s="61" t="inlineStr">
        <is>
          <t>AF2-IS-12</t>
        </is>
      </c>
      <c r="C166" s="61" t="inlineStr">
        <is>
          <t>Package #12-AF2 IS: Rehabilitation of Tapa-e-Ahmad Big canal and Shahre Beland canal irrigation schemes, located in Nijrab and Paryan districts of Kapisa and Panjsher provinces.</t>
        </is>
      </c>
      <c r="D166" s="61" t="inlineStr">
        <is>
          <t>2 of 2</t>
        </is>
      </c>
      <c r="E166" s="52" t="inlineStr">
        <is>
          <t>AF2-IS-N-010</t>
        </is>
      </c>
      <c r="F166" s="52" t="inlineStr">
        <is>
          <t>Tapa e- Ahmad Big Canal</t>
        </is>
      </c>
      <c r="G166" s="52" t="inlineStr">
        <is>
          <t>Irrigation Scheme</t>
        </is>
      </c>
      <c r="H166" s="52" t="inlineStr">
        <is>
          <t>Irrigation Canal</t>
        </is>
      </c>
      <c r="I166" s="52" t="inlineStr">
        <is>
          <t>Emergency Food Security Project (EFSP) – WBK/AF-2</t>
        </is>
      </c>
      <c r="J166" s="52" t="inlineStr">
        <is>
          <t>Central / Kabul</t>
        </is>
      </c>
      <c r="K166" s="52" t="inlineStr">
        <is>
          <t>Kapisa</t>
        </is>
      </c>
      <c r="L166" s="52" t="inlineStr">
        <is>
          <t>Nijrab</t>
        </is>
      </c>
      <c r="M166" s="52" t="inlineStr">
        <is>
          <t>Tapa e Ahmad Big, Shahre Naw</t>
        </is>
      </c>
      <c r="N166" s="52" t="inlineStr">
        <is>
          <t>World Bank (WBK/AF-2)</t>
        </is>
      </c>
      <c r="O166" s="52" t="inlineStr">
        <is>
          <t>Not awarded</t>
        </is>
      </c>
      <c r="P166" s="52" t="inlineStr">
        <is>
          <t>2.Remain contracts_On&amp;off-farm</t>
        </is>
      </c>
      <c r="Q166" s="52" t="inlineStr"/>
      <c r="R166" s="52" t="inlineStr"/>
      <c r="S166" s="53" t="n">
        <v>191270</v>
      </c>
      <c r="T166" s="46" t="inlineStr">
        <is>
          <t>IF(AQ166="","",AQ166)</t>
        </is>
      </c>
      <c r="U166" s="54" t="n">
        <v>46327</v>
      </c>
      <c r="V166" s="55" t="n">
        <v>8.9</v>
      </c>
      <c r="W166" s="54" t="n">
        <v>46597</v>
      </c>
      <c r="X166" s="46" t="inlineStr">
        <is>
          <t>IF(W166&lt;&gt;"",W166,IF(OR(T166="",V166=""),"",EDATE(T166,V166)))</t>
        </is>
      </c>
      <c r="Y166" s="54" t="n"/>
      <c r="Z166" s="55" t="n"/>
      <c r="AA166" s="52" t="inlineStr">
        <is>
          <t>Under Technical Evaluation</t>
        </is>
      </c>
      <c r="AB166" s="52" t="inlineStr">
        <is>
          <t>Four months slack period Dec-Mar during winter. Five months construction period required for two canals</t>
        </is>
      </c>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32" t="inlineStr">
        <is>
          <t>IF(F167="","",ROW()-3)</t>
        </is>
      </c>
      <c r="B167" s="62" t="inlineStr">
        <is>
          <t>AF2-IS-13</t>
        </is>
      </c>
      <c r="C167" s="62" t="inlineStr">
        <is>
          <t>Package #13-AF2 IS: Rehabilitation of Kamar China canal, Khenkot canal, and Zargara irrigation schemes, located in Sarobi, Chahar Asiab and Paghman districts of Kabul province.</t>
        </is>
      </c>
      <c r="D167" s="62" t="inlineStr">
        <is>
          <t>1 of 3</t>
        </is>
      </c>
      <c r="E167" s="57" t="inlineStr">
        <is>
          <t>AF2-IS-N-011</t>
        </is>
      </c>
      <c r="F167" s="57" t="inlineStr">
        <is>
          <t>Kamar China Canal irrigation Scheme</t>
        </is>
      </c>
      <c r="G167" s="57" t="inlineStr">
        <is>
          <t>Irrigation Scheme</t>
        </is>
      </c>
      <c r="H167" s="57" t="inlineStr">
        <is>
          <t>Irrigation Canal</t>
        </is>
      </c>
      <c r="I167" s="57" t="inlineStr">
        <is>
          <t>Emergency Food Security Project (EFSP) – WBK/AF-2</t>
        </is>
      </c>
      <c r="J167" s="57" t="inlineStr">
        <is>
          <t>Central / Kabul</t>
        </is>
      </c>
      <c r="K167" s="57" t="inlineStr">
        <is>
          <t>Kabul</t>
        </is>
      </c>
      <c r="L167" s="57" t="inlineStr">
        <is>
          <t>Sarobi</t>
        </is>
      </c>
      <c r="M167" s="57" t="inlineStr">
        <is>
          <t>Warkhralah</t>
        </is>
      </c>
      <c r="N167" s="57" t="inlineStr">
        <is>
          <t>World Bank (WBK/AF-2)</t>
        </is>
      </c>
      <c r="O167" s="57" t="inlineStr">
        <is>
          <t>Not awarded</t>
        </is>
      </c>
      <c r="P167" s="57" t="inlineStr">
        <is>
          <t>2.Remain contracts_On&amp;off-farm</t>
        </is>
      </c>
      <c r="Q167" s="57" t="inlineStr"/>
      <c r="R167" s="57" t="inlineStr"/>
      <c r="S167" s="58" t="n">
        <v>290000</v>
      </c>
      <c r="T167" s="36" t="inlineStr">
        <is>
          <t>IF(AQ167="","",AQ167)</t>
        </is>
      </c>
      <c r="U167" s="59" t="n">
        <v>46336</v>
      </c>
      <c r="V167" s="60" t="n">
        <v>7.9</v>
      </c>
      <c r="W167" s="59" t="n">
        <v>46576</v>
      </c>
      <c r="X167" s="36" t="inlineStr">
        <is>
          <t>IF(W167&lt;&gt;"",W167,IF(OR(T167="",V167=""),"",EDATE(T167,V167)))</t>
        </is>
      </c>
      <c r="Y167" s="59" t="n"/>
      <c r="Z167" s="60" t="n"/>
      <c r="AA167" s="57" t="inlineStr">
        <is>
          <t>Under Technical Evaluation</t>
        </is>
      </c>
      <c r="AB167" s="57" t="inlineStr">
        <is>
          <t>Three months slack period Jan-Mar during winter. Five months construction period required for three canals</t>
        </is>
      </c>
      <c r="AC167" s="32" t="inlineStr">
        <is>
          <t>IF(F167="","",IF(COUNT(AI167:AV167)=0,IF(AA167="","Not started",AA167),SUBSTITUTE(LOOKUP(2,1/(AI167:AV167&lt;&gt;""),$AI$3:$AV$3),"Date: ","")))</t>
        </is>
      </c>
      <c r="AD167" s="39" t="inlineStr">
        <is>
          <t>IF(OR(F167="",COUNT(AI167:AV167)=0),"",TODAY()-LOOKUP(2,1/(AI167:AV167&lt;&gt;""),AI167:AV167))</t>
        </is>
      </c>
      <c r="AE167" s="39" t="inlineStr">
        <is>
          <t>IF(OR(F167="",COUNT(AI167:AV167)&lt;2),"",LOOKUP(2,1/(AI167:AV167&lt;&gt;""),AI167:AV167)-MIN(AI167:AV167))</t>
        </is>
      </c>
      <c r="AF167" s="39" t="inlineStr">
        <is>
          <t>IF(OR(AD167="",AC167="Not started",AC167=""),"",IFERROR(AD167-IF(VLOOKUP(AC167,'06_Status_Pipeline'!$B$3:$E$20,4,FALSE)="",0,VLOOKUP(AC167,'06_Status_Pipeline'!$B$3:$E$20,4,FALSE)),""))</t>
        </is>
      </c>
      <c r="AG167" s="3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39" t="inlineStr">
        <is>
          <t>IF(OR(F167="",AC167="Completed / Handover",AC167="Cancelled"),"",IF(O167="Not awarded",IF(U167&lt;&gt;"",U167-TODAY(),IF(X167="","",X167-TODAY())),IF(X167="","",X167-TODAY())))</t>
        </is>
      </c>
      <c r="AI167" s="59" t="n"/>
      <c r="AJ167" s="59" t="n"/>
      <c r="AK167" s="59" t="n"/>
      <c r="AL167" s="59" t="n"/>
      <c r="AM167" s="59" t="n"/>
      <c r="AN167" s="59" t="n"/>
      <c r="AO167" s="59" t="n"/>
      <c r="AP167" s="59" t="n"/>
      <c r="AQ167" s="59" t="n"/>
      <c r="AR167" s="59" t="n"/>
      <c r="AS167" s="59" t="n"/>
      <c r="AT167" s="40" t="n"/>
      <c r="AU167" s="40" t="n"/>
      <c r="AV167" s="40" t="n"/>
      <c r="AW167" s="39" t="inlineStr">
        <is>
          <t>IF(OR(F167="",AJ167=""),"",IF(COUNT(AI167:AI167)=0,"",AJ167-LOOKUP(2,1/(AI167:AI167&lt;&gt;""),AI167:AI167)))</t>
        </is>
      </c>
      <c r="AX167" s="39" t="inlineStr">
        <is>
          <t>IF(OR(F167="",AK167=""),"",IF(COUNT(AI167:AJ167)=0,"",AK167-LOOKUP(2,1/(AI167:AJ167&lt;&gt;""),AI167:AJ167)))</t>
        </is>
      </c>
      <c r="AY167" s="39" t="inlineStr">
        <is>
          <t>IF(OR(F167="",AL167=""),"",IF(COUNT(AI167:AK167)=0,"",AL167-LOOKUP(2,1/(AI167:AK167&lt;&gt;""),AI167:AK167)))</t>
        </is>
      </c>
      <c r="AZ167" s="39" t="inlineStr">
        <is>
          <t>IF(OR(F167="",AM167=""),"",IF(COUNT(AI167:AL167)=0,"",AM167-LOOKUP(2,1/(AI167:AL167&lt;&gt;""),AI167:AL167)))</t>
        </is>
      </c>
      <c r="BA167" s="39" t="inlineStr">
        <is>
          <t>IF(OR(F167="",AN167=""),"",IF(COUNT(AI167:AM167)=0,"",AN167-LOOKUP(2,1/(AI167:AM167&lt;&gt;""),AI167:AM167)))</t>
        </is>
      </c>
      <c r="BB167" s="39" t="inlineStr">
        <is>
          <t>IF(OR(F167="",AO167=""),"",IF(COUNT(AI167:AN167)=0,"",AO167-LOOKUP(2,1/(AI167:AN167&lt;&gt;""),AI167:AN167)))</t>
        </is>
      </c>
      <c r="BC167" s="39" t="inlineStr">
        <is>
          <t>IF(OR(F167="",AP167=""),"",IF(COUNT(AI167:AO167)=0,"",AP167-LOOKUP(2,1/(AI167:AO167&lt;&gt;""),AI167:AO167)))</t>
        </is>
      </c>
      <c r="BD167" s="39" t="inlineStr">
        <is>
          <t>IF(OR(F167="",AQ167=""),"",IF(COUNT(AI167:AP167)=0,"",AQ167-LOOKUP(2,1/(AI167:AP167&lt;&gt;""),AI167:AP167)))</t>
        </is>
      </c>
      <c r="BE167" s="39" t="inlineStr">
        <is>
          <t>IF(OR(F167="",AR167=""),"",IF(COUNT(AI167:AQ167)=0,"",AR167-LOOKUP(2,1/(AI167:AQ167&lt;&gt;""),AI167:AQ167)))</t>
        </is>
      </c>
      <c r="BF167" s="39" t="inlineStr">
        <is>
          <t>IF(OR(F167="",AS167=""),"",IF(COUNT(AI167:AR167)=0,"",AS167-LOOKUP(2,1/(AI167:AR167&lt;&gt;""),AI167:AR167)))</t>
        </is>
      </c>
      <c r="BG167" s="39" t="inlineStr">
        <is>
          <t>IF(OR(F167="",AT167=""),"",IF(COUNT(AI167:AS167)=0,"",AT167-LOOKUP(2,1/(AI167:AS167&lt;&gt;""),AI167:AS167)))</t>
        </is>
      </c>
      <c r="BH167" s="39" t="inlineStr">
        <is>
          <t>IF(OR(F167="",AU167=""),"",IF(COUNT(AI167:AT167)=0,"",AU167-LOOKUP(2,1/(AI167:AT167&lt;&gt;""),AI167:AT167)))</t>
        </is>
      </c>
      <c r="BI167" s="39" t="inlineStr">
        <is>
          <t>IF(OR(F167="",AV167=""),"",IF(COUNT(AI167:AU167)=0,"",AV167-LOOKUP(2,1/(AI167:AU167&lt;&gt;""),AI167:AU167)))</t>
        </is>
      </c>
      <c r="BJ167" s="41" t="inlineStr">
        <is>
          <t>IF(J167="","All_Provinces",IFERROR(VLOOKUP(J167,'09_Lookups'!$A$4:$B$20,2,FALSE),"All_Provinces"))</t>
        </is>
      </c>
      <c r="BK167" s="41" t="inlineStr">
        <is>
          <t>IF(K167="","All_Districts",IFERROR(VLOOKUP(K167,'09_Lookups'!$E$4:$F$42,2,FALSE),"All_Districts"))</t>
        </is>
      </c>
    </row>
    <row r="168" outlineLevel="1" ht="18" customHeight="1">
      <c r="A168" s="42" t="inlineStr">
        <is>
          <t>IF(F168="","",ROW()-3)</t>
        </is>
      </c>
      <c r="B168" s="63" t="inlineStr">
        <is>
          <t>AF2-IS-13</t>
        </is>
      </c>
      <c r="C168" s="63" t="inlineStr">
        <is>
          <t>Package #13-AF2 IS: Rehabilitation of Kamar China canal, Khenkot canal, and Zargara irrigation schemes, located in Sarobi, Chahar Asiab and Paghman districts of Kabul province.</t>
        </is>
      </c>
      <c r="D168" s="63" t="inlineStr">
        <is>
          <t>2 of 3</t>
        </is>
      </c>
      <c r="E168" s="52" t="inlineStr">
        <is>
          <t>AF2-IS-N-012</t>
        </is>
      </c>
      <c r="F168" s="52" t="inlineStr">
        <is>
          <t>Khenkot irrigation Scheme</t>
        </is>
      </c>
      <c r="G168" s="52" t="inlineStr">
        <is>
          <t>Irrigation Scheme</t>
        </is>
      </c>
      <c r="H168" s="52" t="inlineStr">
        <is>
          <t>Irrigation Canal</t>
        </is>
      </c>
      <c r="I168" s="52" t="inlineStr">
        <is>
          <t>Emergency Food Security Project (EFSP) – WBK/AF-2</t>
        </is>
      </c>
      <c r="J168" s="52" t="inlineStr">
        <is>
          <t>Central / Kabul</t>
        </is>
      </c>
      <c r="K168" s="52" t="inlineStr"/>
      <c r="L168" s="52" t="inlineStr">
        <is>
          <t>Chahar Asiab</t>
        </is>
      </c>
      <c r="M168" s="52" t="inlineStr">
        <is>
          <t>Shah Toot</t>
        </is>
      </c>
      <c r="N168" s="52" t="inlineStr">
        <is>
          <t>World Bank (WBK/AF-2)</t>
        </is>
      </c>
      <c r="O168" s="52" t="inlineStr">
        <is>
          <t>Not awarded</t>
        </is>
      </c>
      <c r="P168" s="52" t="inlineStr">
        <is>
          <t>2.Remain contracts_On&amp;off-farm</t>
        </is>
      </c>
      <c r="Q168" s="52" t="inlineStr"/>
      <c r="R168" s="52" t="inlineStr"/>
      <c r="S168" s="53" t="n">
        <v>290000</v>
      </c>
      <c r="T168" s="46" t="inlineStr">
        <is>
          <t>IF(AQ168="","",AQ168)</t>
        </is>
      </c>
      <c r="U168" s="54" t="n">
        <v>46336</v>
      </c>
      <c r="V168" s="55" t="n">
        <v>7.9</v>
      </c>
      <c r="W168" s="54" t="n">
        <v>46576</v>
      </c>
      <c r="X168" s="46" t="inlineStr">
        <is>
          <t>IF(W168&lt;&gt;"",W168,IF(OR(T168="",V168=""),"",EDATE(T168,V168)))</t>
        </is>
      </c>
      <c r="Y168" s="54" t="n"/>
      <c r="Z168" s="55" t="n"/>
      <c r="AA168" s="52" t="inlineStr">
        <is>
          <t>Under Technical Evaluation</t>
        </is>
      </c>
      <c r="AB168" s="52" t="inlineStr">
        <is>
          <t>Three months slack period Jan-Mar during winter. Five months construction period required for three canals</t>
        </is>
      </c>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outlineLevel="1" ht="18" customHeight="1">
      <c r="A169" s="42" t="inlineStr">
        <is>
          <t>IF(F169="","",ROW()-3)</t>
        </is>
      </c>
      <c r="B169" s="63" t="inlineStr">
        <is>
          <t>AF2-IS-13</t>
        </is>
      </c>
      <c r="C169" s="63" t="inlineStr">
        <is>
          <t>Package #13-AF2 IS: Rehabilitation of Kamar China canal, Khenkot canal, and Zargara irrigation schemes, located in Sarobi, Chahar Asiab and Paghman districts of Kabul province.</t>
        </is>
      </c>
      <c r="D169" s="63" t="inlineStr">
        <is>
          <t>3 of 3</t>
        </is>
      </c>
      <c r="E169" s="44" t="inlineStr">
        <is>
          <t>AF2-IS-N-013</t>
        </is>
      </c>
      <c r="F169" s="44" t="inlineStr">
        <is>
          <t>Zargara canal irrigation Scheme</t>
        </is>
      </c>
      <c r="G169" s="44" t="inlineStr">
        <is>
          <t>Irrigation Scheme</t>
        </is>
      </c>
      <c r="H169" s="44" t="inlineStr">
        <is>
          <t>Irrigation Canal</t>
        </is>
      </c>
      <c r="I169" s="44" t="inlineStr">
        <is>
          <t>Emergency Food Security Project (EFSP) – WBK/AF-2</t>
        </is>
      </c>
      <c r="J169" s="44" t="inlineStr">
        <is>
          <t>Central / Kabul</t>
        </is>
      </c>
      <c r="K169" s="44" t="inlineStr"/>
      <c r="L169" s="44" t="inlineStr">
        <is>
          <t>Paghman</t>
        </is>
      </c>
      <c r="M169" s="44" t="inlineStr">
        <is>
          <t>Qla-e- Hakeem, Somochak and Ala Bala</t>
        </is>
      </c>
      <c r="N169" s="44" t="inlineStr">
        <is>
          <t>World Bank (WBK/AF-2)</t>
        </is>
      </c>
      <c r="O169" s="44" t="inlineStr">
        <is>
          <t>Not awarded</t>
        </is>
      </c>
      <c r="P169" s="44" t="inlineStr">
        <is>
          <t>2.Remain contracts_On&amp;off-farm</t>
        </is>
      </c>
      <c r="Q169" s="44" t="inlineStr"/>
      <c r="R169" s="44" t="inlineStr"/>
      <c r="S169" s="45" t="n">
        <v>290000</v>
      </c>
      <c r="T169" s="46" t="inlineStr">
        <is>
          <t>IF(AQ169="","",AQ169)</t>
        </is>
      </c>
      <c r="U169" s="47" t="n">
        <v>46336</v>
      </c>
      <c r="V169" s="48" t="n">
        <v>7.9</v>
      </c>
      <c r="W169" s="47" t="n">
        <v>46576</v>
      </c>
      <c r="X169" s="46" t="inlineStr">
        <is>
          <t>IF(W169&lt;&gt;"",W169,IF(OR(T169="",V169=""),"",EDATE(T169,V169)))</t>
        </is>
      </c>
      <c r="Y169" s="47" t="n"/>
      <c r="Z169" s="48" t="n"/>
      <c r="AA169" s="44" t="inlineStr">
        <is>
          <t>Under Technical Evaluation</t>
        </is>
      </c>
      <c r="AB169" s="44" t="inlineStr">
        <is>
          <t>Three months slack period Jan-Mar during winter. Five months construction period required for three canals</t>
        </is>
      </c>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32" t="inlineStr">
        <is>
          <t>IF(F170="","",ROW()-3)</t>
        </is>
      </c>
      <c r="B170" s="64" t="inlineStr">
        <is>
          <t>AF2-IS-14</t>
        </is>
      </c>
      <c r="C170" s="64" t="inlineStr">
        <is>
          <t>Package #14-AF2 IS: Rehabilitation of Zard Sang and Topchi Cluster Canal Irrigation scheme, located in Center district of Bamyan province.</t>
        </is>
      </c>
      <c r="D170" s="64" t="inlineStr">
        <is>
          <t>1 of 2</t>
        </is>
      </c>
      <c r="E170" s="34" t="inlineStr">
        <is>
          <t>AF2-IS-A-015</t>
        </is>
      </c>
      <c r="F170" s="34" t="inlineStr">
        <is>
          <t>Sar Qul Topchi canal irrigation schemes</t>
        </is>
      </c>
      <c r="G170" s="34" t="inlineStr">
        <is>
          <t>Irrigation Scheme</t>
        </is>
      </c>
      <c r="H170" s="34" t="inlineStr">
        <is>
          <t>Irrigation Canal</t>
        </is>
      </c>
      <c r="I170" s="34" t="inlineStr">
        <is>
          <t>Emergency Food Security Project (EFSP) – WBK/AF-2</t>
        </is>
      </c>
      <c r="J170" s="34" t="inlineStr">
        <is>
          <t>Central Highland / Bamyan</t>
        </is>
      </c>
      <c r="K170" s="34" t="inlineStr">
        <is>
          <t>Bamyan</t>
        </is>
      </c>
      <c r="L170" s="34" t="inlineStr">
        <is>
          <t>Center</t>
        </is>
      </c>
      <c r="M170" s="34" t="inlineStr">
        <is>
          <t>Topchi</t>
        </is>
      </c>
      <c r="N170" s="34" t="inlineStr">
        <is>
          <t>World Bank (WBK/AF-2)</t>
        </is>
      </c>
      <c r="O170" s="34" t="inlineStr">
        <is>
          <t>Awarded</t>
        </is>
      </c>
      <c r="P170" s="34" t="inlineStr">
        <is>
          <t>1.Awarded contracts_On&amp;off-farm</t>
        </is>
      </c>
      <c r="Q170" s="34" t="inlineStr">
        <is>
          <t>Nomae Shahr Construction Company (NSCC)</t>
        </is>
      </c>
      <c r="R170" s="34" t="inlineStr">
        <is>
          <t>002/2026</t>
        </is>
      </c>
      <c r="S170" s="35" t="n">
        <v>165609.67</v>
      </c>
      <c r="T170" s="36" t="inlineStr">
        <is>
          <t>IF(AQ170="","",AQ170)</t>
        </is>
      </c>
      <c r="U170" s="37" t="n"/>
      <c r="V170" s="38" t="n">
        <v>12</v>
      </c>
      <c r="W170" s="37" t="n">
        <v>46410</v>
      </c>
      <c r="X170" s="36" t="inlineStr">
        <is>
          <t>IF(W170&lt;&gt;"",W170,IF(OR(T170="",V170=""),"",EDATE(T170,V170)))</t>
        </is>
      </c>
      <c r="Y170" s="37" t="n"/>
      <c r="Z170" s="38" t="n">
        <v>85</v>
      </c>
      <c r="AA170" s="34" t="inlineStr">
        <is>
          <t>Under Construction</t>
        </is>
      </c>
      <c r="AB170" s="34" t="inlineStr">
        <is>
          <t>on track and will be completed in 2026</t>
        </is>
      </c>
      <c r="AC170" s="32" t="inlineStr">
        <is>
          <t>IF(F170="","",IF(COUNT(AI170:AV170)=0,IF(AA170="","Not started",AA170),SUBSTITUTE(LOOKUP(2,1/(AI170:AV170&lt;&gt;""),$AI$3:$AV$3),"Date: ","")))</t>
        </is>
      </c>
      <c r="AD170" s="39" t="inlineStr">
        <is>
          <t>IF(OR(F170="",COUNT(AI170:AV170)=0),"",TODAY()-LOOKUP(2,1/(AI170:AV170&lt;&gt;""),AI170:AV170))</t>
        </is>
      </c>
      <c r="AE170" s="39" t="inlineStr">
        <is>
          <t>IF(OR(F170="",COUNT(AI170:AV170)&lt;2),"",LOOKUP(2,1/(AI170:AV170&lt;&gt;""),AI170:AV170)-MIN(AI170:AV170))</t>
        </is>
      </c>
      <c r="AF170" s="39" t="inlineStr">
        <is>
          <t>IF(OR(AD170="",AC170="Not started",AC170=""),"",IFERROR(AD170-IF(VLOOKUP(AC170,'06_Status_Pipeline'!$B$3:$E$20,4,FALSE)="",0,VLOOKUP(AC170,'06_Status_Pipeline'!$B$3:$E$20,4,FALSE)),""))</t>
        </is>
      </c>
      <c r="AG170" s="3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39" t="inlineStr">
        <is>
          <t>IF(OR(F170="",AC170="Completed / Handover",AC170="Cancelled"),"",IF(O170="Not awarded",IF(U170&lt;&gt;"",U170-TODAY(),IF(X170="","",X170-TODAY())),IF(X170="","",X170-TODAY())))</t>
        </is>
      </c>
      <c r="AI170" s="66" t="n"/>
      <c r="AJ170" s="66" t="n"/>
      <c r="AK170" s="66" t="n"/>
      <c r="AL170" s="66" t="n"/>
      <c r="AM170" s="66" t="n"/>
      <c r="AN170" s="66" t="n"/>
      <c r="AO170" s="66" t="n"/>
      <c r="AP170" s="66" t="n"/>
      <c r="AQ170" s="66" t="n">
        <v>46046</v>
      </c>
      <c r="AR170" s="66" t="n">
        <v>46046</v>
      </c>
      <c r="AS170" s="66" t="n"/>
      <c r="AT170" s="40" t="n"/>
      <c r="AU170" s="40" t="n"/>
      <c r="AV170" s="40" t="n"/>
      <c r="AW170" s="39" t="inlineStr">
        <is>
          <t>IF(OR(F170="",AJ170=""),"",IF(COUNT(AI170:AI170)=0,"",AJ170-LOOKUP(2,1/(AI170:AI170&lt;&gt;""),AI170:AI170)))</t>
        </is>
      </c>
      <c r="AX170" s="39" t="inlineStr">
        <is>
          <t>IF(OR(F170="",AK170=""),"",IF(COUNT(AI170:AJ170)=0,"",AK170-LOOKUP(2,1/(AI170:AJ170&lt;&gt;""),AI170:AJ170)))</t>
        </is>
      </c>
      <c r="AY170" s="39" t="inlineStr">
        <is>
          <t>IF(OR(F170="",AL170=""),"",IF(COUNT(AI170:AK170)=0,"",AL170-LOOKUP(2,1/(AI170:AK170&lt;&gt;""),AI170:AK170)))</t>
        </is>
      </c>
      <c r="AZ170" s="39" t="inlineStr">
        <is>
          <t>IF(OR(F170="",AM170=""),"",IF(COUNT(AI170:AL170)=0,"",AM170-LOOKUP(2,1/(AI170:AL170&lt;&gt;""),AI170:AL170)))</t>
        </is>
      </c>
      <c r="BA170" s="39" t="inlineStr">
        <is>
          <t>IF(OR(F170="",AN170=""),"",IF(COUNT(AI170:AM170)=0,"",AN170-LOOKUP(2,1/(AI170:AM170&lt;&gt;""),AI170:AM170)))</t>
        </is>
      </c>
      <c r="BB170" s="39" t="inlineStr">
        <is>
          <t>IF(OR(F170="",AO170=""),"",IF(COUNT(AI170:AN170)=0,"",AO170-LOOKUP(2,1/(AI170:AN170&lt;&gt;""),AI170:AN170)))</t>
        </is>
      </c>
      <c r="BC170" s="39" t="inlineStr">
        <is>
          <t>IF(OR(F170="",AP170=""),"",IF(COUNT(AI170:AO170)=0,"",AP170-LOOKUP(2,1/(AI170:AO170&lt;&gt;""),AI170:AO170)))</t>
        </is>
      </c>
      <c r="BD170" s="39" t="inlineStr">
        <is>
          <t>IF(OR(F170="",AQ170=""),"",IF(COUNT(AI170:AP170)=0,"",AQ170-LOOKUP(2,1/(AI170:AP170&lt;&gt;""),AI170:AP170)))</t>
        </is>
      </c>
      <c r="BE170" s="39" t="inlineStr">
        <is>
          <t>IF(OR(F170="",AR170=""),"",IF(COUNT(AI170:AQ170)=0,"",AR170-LOOKUP(2,1/(AI170:AQ170&lt;&gt;""),AI170:AQ170)))</t>
        </is>
      </c>
      <c r="BF170" s="39" t="inlineStr">
        <is>
          <t>IF(OR(F170="",AS170=""),"",IF(COUNT(AI170:AR170)=0,"",AS170-LOOKUP(2,1/(AI170:AR170&lt;&gt;""),AI170:AR170)))</t>
        </is>
      </c>
      <c r="BG170" s="39" t="inlineStr">
        <is>
          <t>IF(OR(F170="",AT170=""),"",IF(COUNT(AI170:AS170)=0,"",AT170-LOOKUP(2,1/(AI170:AS170&lt;&gt;""),AI170:AS170)))</t>
        </is>
      </c>
      <c r="BH170" s="39" t="inlineStr">
        <is>
          <t>IF(OR(F170="",AU170=""),"",IF(COUNT(AI170:AT170)=0,"",AU170-LOOKUP(2,1/(AI170:AT170&lt;&gt;""),AI170:AT170)))</t>
        </is>
      </c>
      <c r="BI170" s="39" t="inlineStr">
        <is>
          <t>IF(OR(F170="",AV170=""),"",IF(COUNT(AI170:AU170)=0,"",AV170-LOOKUP(2,1/(AI170:AU170&lt;&gt;""),AI170:AU170)))</t>
        </is>
      </c>
      <c r="BJ170" s="41" t="inlineStr">
        <is>
          <t>IF(J170="","All_Provinces",IFERROR(VLOOKUP(J170,'09_Lookups'!$A$4:$B$20,2,FALSE),"All_Provinces"))</t>
        </is>
      </c>
      <c r="BK170" s="41" t="inlineStr">
        <is>
          <t>IF(K170="","All_Districts",IFERROR(VLOOKUP(K170,'09_Lookups'!$E$4:$F$42,2,FALSE),"All_Districts"))</t>
        </is>
      </c>
    </row>
    <row r="171" outlineLevel="1" ht="18" customHeight="1">
      <c r="A171" s="42" t="inlineStr">
        <is>
          <t>IF(F171="","",ROW()-3)</t>
        </is>
      </c>
      <c r="B171" s="65" t="inlineStr">
        <is>
          <t>AF2-IS-14</t>
        </is>
      </c>
      <c r="C171" s="65" t="inlineStr">
        <is>
          <t>Package #14-AF2 IS: Rehabilitation of Zard Sang and Topchi Cluster Canal Irrigation scheme, located in Center district of Bamyan province.</t>
        </is>
      </c>
      <c r="D171" s="65" t="inlineStr">
        <is>
          <t>2 of 2</t>
        </is>
      </c>
      <c r="E171" s="44" t="inlineStr">
        <is>
          <t>AF2-IS-A-016</t>
        </is>
      </c>
      <c r="F171" s="44" t="inlineStr">
        <is>
          <t>Zard Sang canal irrigation schemes</t>
        </is>
      </c>
      <c r="G171" s="44" t="inlineStr">
        <is>
          <t>Irrigation Scheme</t>
        </is>
      </c>
      <c r="H171" s="44" t="inlineStr">
        <is>
          <t>Irrigation Canal</t>
        </is>
      </c>
      <c r="I171" s="44" t="inlineStr">
        <is>
          <t>Emergency Food Security Project (EFSP) – WBK/AF-2</t>
        </is>
      </c>
      <c r="J171" s="44" t="inlineStr">
        <is>
          <t>Central Highland / Bamyan</t>
        </is>
      </c>
      <c r="K171" s="44" t="inlineStr"/>
      <c r="L171" s="44" t="inlineStr"/>
      <c r="M171" s="44" t="inlineStr">
        <is>
          <t>Zard Sang</t>
        </is>
      </c>
      <c r="N171" s="44" t="inlineStr">
        <is>
          <t>World Bank (WBK/AF-2)</t>
        </is>
      </c>
      <c r="O171" s="44" t="inlineStr">
        <is>
          <t>Awarded</t>
        </is>
      </c>
      <c r="P171" s="44" t="inlineStr">
        <is>
          <t>1.Awarded contracts_On&amp;off-farm</t>
        </is>
      </c>
      <c r="Q171" s="44" t="inlineStr">
        <is>
          <t>Nomae Shahr Construction Company (NSCC)</t>
        </is>
      </c>
      <c r="R171" s="44" t="inlineStr">
        <is>
          <t>002/2026</t>
        </is>
      </c>
      <c r="S171" s="45" t="n">
        <v>143050.83</v>
      </c>
      <c r="T171" s="46" t="inlineStr">
        <is>
          <t>IF(AQ171="","",AQ171)</t>
        </is>
      </c>
      <c r="U171" s="47" t="n"/>
      <c r="V171" s="48" t="n">
        <v>12</v>
      </c>
      <c r="W171" s="47" t="n">
        <v>46410</v>
      </c>
      <c r="X171" s="46" t="inlineStr">
        <is>
          <t>IF(W171&lt;&gt;"",W171,IF(OR(T171="",V171=""),"",EDATE(T171,V171)))</t>
        </is>
      </c>
      <c r="Y171" s="47" t="n"/>
      <c r="Z171" s="48" t="n">
        <v>70</v>
      </c>
      <c r="AA171" s="44" t="inlineStr">
        <is>
          <t>Under Construction</t>
        </is>
      </c>
      <c r="AB171" s="44" t="inlineStr">
        <is>
          <t>on track and will be completed in 2027</t>
        </is>
      </c>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67" t="n"/>
      <c r="AJ171" s="67" t="n"/>
      <c r="AK171" s="67" t="n"/>
      <c r="AL171" s="67" t="n"/>
      <c r="AM171" s="67" t="n"/>
      <c r="AN171" s="67" t="n"/>
      <c r="AO171" s="67" t="n"/>
      <c r="AP171" s="67" t="n"/>
      <c r="AQ171" s="67" t="n">
        <v>46046</v>
      </c>
      <c r="AR171" s="67" t="n">
        <v>46046</v>
      </c>
      <c r="AS171" s="6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32" t="inlineStr">
        <is>
          <t>IF(F172="","",ROW()-3)</t>
        </is>
      </c>
      <c r="B172" s="33" t="inlineStr">
        <is>
          <t>AF2-IS-15</t>
        </is>
      </c>
      <c r="C172" s="33" t="inlineStr">
        <is>
          <t>Package #15-AF2 IS: Rehabilitation of Pitab joy and Sorkh Kawak Cluster Canal Irrigation scheme, located in Waras districts of Bamyan province.</t>
        </is>
      </c>
      <c r="D172" s="33" t="inlineStr">
        <is>
          <t>1 of 2</t>
        </is>
      </c>
      <c r="E172" s="34" t="inlineStr">
        <is>
          <t>AF2-IS-N-014</t>
        </is>
      </c>
      <c r="F172" s="34" t="inlineStr">
        <is>
          <t>Pitab Joy Cluster canal irrigation schemce</t>
        </is>
      </c>
      <c r="G172" s="34" t="inlineStr">
        <is>
          <t>Irrigation Scheme</t>
        </is>
      </c>
      <c r="H172" s="34" t="inlineStr">
        <is>
          <t>Irrigation Canal</t>
        </is>
      </c>
      <c r="I172" s="34" t="inlineStr">
        <is>
          <t>Emergency Food Security Project (EFSP) – WBK/AF-2</t>
        </is>
      </c>
      <c r="J172" s="34" t="inlineStr">
        <is>
          <t>Central Highland / Bamyan</t>
        </is>
      </c>
      <c r="K172" s="34" t="inlineStr">
        <is>
          <t>Bamyan</t>
        </is>
      </c>
      <c r="L172" s="34" t="inlineStr">
        <is>
          <t>Waras</t>
        </is>
      </c>
      <c r="M172" s="34" t="inlineStr">
        <is>
          <t>Pitab and 6 tiny villages</t>
        </is>
      </c>
      <c r="N172" s="34" t="inlineStr">
        <is>
          <t>World Bank (WBK/AF-2)</t>
        </is>
      </c>
      <c r="O172" s="34" t="inlineStr">
        <is>
          <t>Not awarded</t>
        </is>
      </c>
      <c r="P172" s="34" t="inlineStr">
        <is>
          <t>2.Remain contracts_On&amp;off-farm</t>
        </is>
      </c>
      <c r="Q172" s="34" t="inlineStr"/>
      <c r="R172" s="34" t="inlineStr"/>
      <c r="S172" s="35" t="n">
        <v>335855.17</v>
      </c>
      <c r="T172" s="36" t="inlineStr">
        <is>
          <t>IF(AQ172="","",AQ172)</t>
        </is>
      </c>
      <c r="U172" s="37" t="n">
        <v>46371</v>
      </c>
      <c r="V172" s="38" t="n">
        <v>9.199999999999999</v>
      </c>
      <c r="W172" s="37" t="n">
        <v>46651</v>
      </c>
      <c r="X172" s="36" t="inlineStr">
        <is>
          <t>IF(W172&lt;&gt;"",W172,IF(OR(T172="",V172=""),"",EDATE(T172,V172)))</t>
        </is>
      </c>
      <c r="Y172" s="37" t="n"/>
      <c r="Z172" s="38" t="n"/>
      <c r="AA172" s="34" t="inlineStr">
        <is>
          <t>Retendered (Re-ITB)</t>
        </is>
      </c>
      <c r="AB172" s="34" t="inlineStr">
        <is>
          <t>Three months slack period Jan-Mar during winter. Eight months construction period required for two canals. Explore possibility of BAFO and split to 2 contracts based on the outcome of the reITB</t>
        </is>
      </c>
      <c r="AC172" s="32" t="inlineStr">
        <is>
          <t>IF(F172="","",IF(COUNT(AI172:AV172)=0,IF(AA172="","Not started",AA172),SUBSTITUTE(LOOKUP(2,1/(AI172:AV172&lt;&gt;""),$AI$3:$AV$3),"Date: ","")))</t>
        </is>
      </c>
      <c r="AD172" s="39" t="inlineStr">
        <is>
          <t>IF(OR(F172="",COUNT(AI172:AV172)=0),"",TODAY()-LOOKUP(2,1/(AI172:AV172&lt;&gt;""),AI172:AV172))</t>
        </is>
      </c>
      <c r="AE172" s="39" t="inlineStr">
        <is>
          <t>IF(OR(F172="",COUNT(AI172:AV172)&lt;2),"",LOOKUP(2,1/(AI172:AV172&lt;&gt;""),AI172:AV172)-MIN(AI172:AV172))</t>
        </is>
      </c>
      <c r="AF172" s="39" t="inlineStr">
        <is>
          <t>IF(OR(AD172="",AC172="Not started",AC172=""),"",IFERROR(AD172-IF(VLOOKUP(AC172,'06_Status_Pipeline'!$B$3:$E$20,4,FALSE)="",0,VLOOKUP(AC172,'06_Status_Pipeline'!$B$3:$E$20,4,FALSE)),""))</t>
        </is>
      </c>
      <c r="AG172" s="3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39" t="inlineStr">
        <is>
          <t>IF(OR(F172="",AC172="Completed / Handover",AC172="Cancelled"),"",IF(O172="Not awarded",IF(U172&lt;&gt;"",U172-TODAY(),IF(X172="","",X172-TODAY())),IF(X172="","",X172-TODAY())))</t>
        </is>
      </c>
      <c r="AI172" s="37" t="n"/>
      <c r="AJ172" s="37" t="n"/>
      <c r="AK172" s="37" t="n"/>
      <c r="AL172" s="37" t="n"/>
      <c r="AM172" s="37" t="n"/>
      <c r="AN172" s="37" t="n"/>
      <c r="AO172" s="37" t="n"/>
      <c r="AP172" s="37" t="n"/>
      <c r="AQ172" s="37" t="n"/>
      <c r="AR172" s="37" t="n"/>
      <c r="AS172" s="37" t="n"/>
      <c r="AT172" s="40" t="n"/>
      <c r="AU172" s="40" t="n"/>
      <c r="AV172" s="40" t="n"/>
      <c r="AW172" s="39" t="inlineStr">
        <is>
          <t>IF(OR(F172="",AJ172=""),"",IF(COUNT(AI172:AI172)=0,"",AJ172-LOOKUP(2,1/(AI172:AI172&lt;&gt;""),AI172:AI172)))</t>
        </is>
      </c>
      <c r="AX172" s="39" t="inlineStr">
        <is>
          <t>IF(OR(F172="",AK172=""),"",IF(COUNT(AI172:AJ172)=0,"",AK172-LOOKUP(2,1/(AI172:AJ172&lt;&gt;""),AI172:AJ172)))</t>
        </is>
      </c>
      <c r="AY172" s="39" t="inlineStr">
        <is>
          <t>IF(OR(F172="",AL172=""),"",IF(COUNT(AI172:AK172)=0,"",AL172-LOOKUP(2,1/(AI172:AK172&lt;&gt;""),AI172:AK172)))</t>
        </is>
      </c>
      <c r="AZ172" s="39" t="inlineStr">
        <is>
          <t>IF(OR(F172="",AM172=""),"",IF(COUNT(AI172:AL172)=0,"",AM172-LOOKUP(2,1/(AI172:AL172&lt;&gt;""),AI172:AL172)))</t>
        </is>
      </c>
      <c r="BA172" s="39" t="inlineStr">
        <is>
          <t>IF(OR(F172="",AN172=""),"",IF(COUNT(AI172:AM172)=0,"",AN172-LOOKUP(2,1/(AI172:AM172&lt;&gt;""),AI172:AM172)))</t>
        </is>
      </c>
      <c r="BB172" s="39" t="inlineStr">
        <is>
          <t>IF(OR(F172="",AO172=""),"",IF(COUNT(AI172:AN172)=0,"",AO172-LOOKUP(2,1/(AI172:AN172&lt;&gt;""),AI172:AN172)))</t>
        </is>
      </c>
      <c r="BC172" s="39" t="inlineStr">
        <is>
          <t>IF(OR(F172="",AP172=""),"",IF(COUNT(AI172:AO172)=0,"",AP172-LOOKUP(2,1/(AI172:AO172&lt;&gt;""),AI172:AO172)))</t>
        </is>
      </c>
      <c r="BD172" s="39" t="inlineStr">
        <is>
          <t>IF(OR(F172="",AQ172=""),"",IF(COUNT(AI172:AP172)=0,"",AQ172-LOOKUP(2,1/(AI172:AP172&lt;&gt;""),AI172:AP172)))</t>
        </is>
      </c>
      <c r="BE172" s="39" t="inlineStr">
        <is>
          <t>IF(OR(F172="",AR172=""),"",IF(COUNT(AI172:AQ172)=0,"",AR172-LOOKUP(2,1/(AI172:AQ172&lt;&gt;""),AI172:AQ172)))</t>
        </is>
      </c>
      <c r="BF172" s="39" t="inlineStr">
        <is>
          <t>IF(OR(F172="",AS172=""),"",IF(COUNT(AI172:AR172)=0,"",AS172-LOOKUP(2,1/(AI172:AR172&lt;&gt;""),AI172:AR172)))</t>
        </is>
      </c>
      <c r="BG172" s="39" t="inlineStr">
        <is>
          <t>IF(OR(F172="",AT172=""),"",IF(COUNT(AI172:AS172)=0,"",AT172-LOOKUP(2,1/(AI172:AS172&lt;&gt;""),AI172:AS172)))</t>
        </is>
      </c>
      <c r="BH172" s="39" t="inlineStr">
        <is>
          <t>IF(OR(F172="",AU172=""),"",IF(COUNT(AI172:AT172)=0,"",AU172-LOOKUP(2,1/(AI172:AT172&lt;&gt;""),AI172:AT172)))</t>
        </is>
      </c>
      <c r="BI172" s="39" t="inlineStr">
        <is>
          <t>IF(OR(F172="",AV172=""),"",IF(COUNT(AI172:AU172)=0,"",AV172-LOOKUP(2,1/(AI172:AU172&lt;&gt;""),AI172:AU172)))</t>
        </is>
      </c>
      <c r="BJ172" s="41" t="inlineStr">
        <is>
          <t>IF(J172="","All_Provinces",IFERROR(VLOOKUP(J172,'09_Lookups'!$A$4:$B$20,2,FALSE),"All_Provinces"))</t>
        </is>
      </c>
      <c r="BK172" s="41" t="inlineStr">
        <is>
          <t>IF(K172="","All_Districts",IFERROR(VLOOKUP(K172,'09_Lookups'!$E$4:$F$42,2,FALSE),"All_Districts"))</t>
        </is>
      </c>
    </row>
    <row r="173" outlineLevel="1" ht="18" customHeight="1">
      <c r="A173" s="42" t="inlineStr">
        <is>
          <t>IF(F173="","",ROW()-3)</t>
        </is>
      </c>
      <c r="B173" s="43" t="inlineStr">
        <is>
          <t>AF2-IS-15</t>
        </is>
      </c>
      <c r="C173" s="43" t="inlineStr">
        <is>
          <t>Package #15-AF2 IS: Rehabilitation of Pitab joy and Sorkh Kawak Cluster Canal Irrigation scheme, located in Waras districts of Bamyan province.</t>
        </is>
      </c>
      <c r="D173" s="43" t="inlineStr">
        <is>
          <t>2 of 2</t>
        </is>
      </c>
      <c r="E173" s="44" t="inlineStr">
        <is>
          <t>AF2-IS-N-015</t>
        </is>
      </c>
      <c r="F173" s="44" t="inlineStr">
        <is>
          <t>Sorkh Kawak Cluster canal irrigation schemce</t>
        </is>
      </c>
      <c r="G173" s="44" t="inlineStr">
        <is>
          <t>Irrigation Scheme</t>
        </is>
      </c>
      <c r="H173" s="44" t="inlineStr">
        <is>
          <t>Irrigation Canal</t>
        </is>
      </c>
      <c r="I173" s="44" t="inlineStr">
        <is>
          <t>Emergency Food Security Project (EFSP) – WBK/AF-2</t>
        </is>
      </c>
      <c r="J173" s="44" t="inlineStr">
        <is>
          <t>Central Highland / Bamyan</t>
        </is>
      </c>
      <c r="K173" s="44" t="inlineStr"/>
      <c r="L173" s="44" t="inlineStr"/>
      <c r="M173" s="44" t="inlineStr">
        <is>
          <t>SorKh kawak and 6 tiny villages</t>
        </is>
      </c>
      <c r="N173" s="44" t="inlineStr">
        <is>
          <t>World Bank (WBK/AF-2)</t>
        </is>
      </c>
      <c r="O173" s="44" t="inlineStr">
        <is>
          <t>Not awarded</t>
        </is>
      </c>
      <c r="P173" s="44" t="inlineStr">
        <is>
          <t>2.Remain contracts_On&amp;off-farm</t>
        </is>
      </c>
      <c r="Q173" s="44" t="inlineStr"/>
      <c r="R173" s="44" t="inlineStr"/>
      <c r="S173" s="45" t="n">
        <v>335855.17</v>
      </c>
      <c r="T173" s="46" t="inlineStr">
        <is>
          <t>IF(AQ173="","",AQ173)</t>
        </is>
      </c>
      <c r="U173" s="47" t="n">
        <v>46371</v>
      </c>
      <c r="V173" s="48" t="n">
        <v>9.199999999999999</v>
      </c>
      <c r="W173" s="47" t="n">
        <v>46651</v>
      </c>
      <c r="X173" s="46" t="inlineStr">
        <is>
          <t>IF(W173&lt;&gt;"",W173,IF(OR(T173="",V173=""),"",EDATE(T173,V173)))</t>
        </is>
      </c>
      <c r="Y173" s="47" t="n"/>
      <c r="Z173" s="48" t="n"/>
      <c r="AA173" s="44" t="inlineStr">
        <is>
          <t>Retendered (Re-ITB)</t>
        </is>
      </c>
      <c r="AB173" s="44" t="inlineStr">
        <is>
          <t>Three months slack period Jan-Mar during winter. Eight months construction period required for two canals. Explore possibility of BAFO and split to 2 contracts based on the outcome of the reITB</t>
        </is>
      </c>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32" t="inlineStr">
        <is>
          <t>IF(F174="","",ROW()-3)</t>
        </is>
      </c>
      <c r="B174" s="56" t="inlineStr">
        <is>
          <t>AF2-IS-16</t>
        </is>
      </c>
      <c r="C174" s="56" t="inlineStr">
        <is>
          <t>Package #16-AF2 IS: Rehabilitation of Pato (Paye Raqul, Sangchal Takhomak and Kadalak) Cluster canal irrigation scheme in Pato district of Daykundi province</t>
        </is>
      </c>
      <c r="D174" s="56" t="inlineStr">
        <is>
          <t>1 of 1</t>
        </is>
      </c>
      <c r="E174" s="34" t="inlineStr">
        <is>
          <t>AF2-IS-A-017</t>
        </is>
      </c>
      <c r="F174" s="34" t="inlineStr">
        <is>
          <t>Pato Irrigation Canal Cluster of (Paye Raqul, Sangchal Takhomak and Kadalak)</t>
        </is>
      </c>
      <c r="G174" s="34" t="inlineStr">
        <is>
          <t>Irrigation Scheme</t>
        </is>
      </c>
      <c r="H174" s="34" t="inlineStr">
        <is>
          <t>Irrigation Canal</t>
        </is>
      </c>
      <c r="I174" s="34" t="inlineStr">
        <is>
          <t>Emergency Food Security Project (EFSP) – WBK/AF-2</t>
        </is>
      </c>
      <c r="J174" s="34" t="inlineStr">
        <is>
          <t>Central Highland / Bamyan</t>
        </is>
      </c>
      <c r="K174" s="34" t="inlineStr">
        <is>
          <t>Daykundi</t>
        </is>
      </c>
      <c r="L174" s="34" t="inlineStr">
        <is>
          <t>Pato</t>
        </is>
      </c>
      <c r="M174" s="34" t="inlineStr">
        <is>
          <t>Paye Raqul, Sangchal Takhomak and Kadalak</t>
        </is>
      </c>
      <c r="N174" s="34" t="inlineStr">
        <is>
          <t>World Bank (WBK/AF-2)</t>
        </is>
      </c>
      <c r="O174" s="34" t="inlineStr">
        <is>
          <t>Awarded</t>
        </is>
      </c>
      <c r="P174" s="34" t="inlineStr">
        <is>
          <t>1.Awarded contracts_On&amp;off-farm</t>
        </is>
      </c>
      <c r="Q174" s="34" t="inlineStr">
        <is>
          <t>Estehkam Baba Construction Company JV Tamadon Bamik Construction Company (EBCC)</t>
        </is>
      </c>
      <c r="R174" s="34" t="inlineStr">
        <is>
          <t>007/2026</t>
        </is>
      </c>
      <c r="S174" s="35" t="n">
        <v>232647.5</v>
      </c>
      <c r="T174" s="36" t="inlineStr">
        <is>
          <t>IF(AQ174="","",AQ174)</t>
        </is>
      </c>
      <c r="U174" s="37" t="n"/>
      <c r="V174" s="38" t="n">
        <v>12</v>
      </c>
      <c r="W174" s="37" t="n">
        <v>46407</v>
      </c>
      <c r="X174" s="36" t="inlineStr">
        <is>
          <t>IF(W174&lt;&gt;"",W174,IF(OR(T174="",V174=""),"",EDATE(T174,V174)))</t>
        </is>
      </c>
      <c r="Y174" s="37" t="n"/>
      <c r="Z174" s="38" t="n">
        <v>100</v>
      </c>
      <c r="AA174" s="34" t="inlineStr">
        <is>
          <t>Completed / Handover</t>
        </is>
      </c>
      <c r="AB174" s="34" t="inlineStr">
        <is>
          <t>Completed in July 2026. | Actual completion: July. 2026</t>
        </is>
      </c>
      <c r="AC174" s="32" t="inlineStr">
        <is>
          <t>IF(F174="","",IF(COUNT(AI174:AV174)=0,IF(AA174="","Not started",AA174),SUBSTITUTE(LOOKUP(2,1/(AI174:AV174&lt;&gt;""),$AI$3:$AV$3),"Date: ","")))</t>
        </is>
      </c>
      <c r="AD174" s="39" t="inlineStr">
        <is>
          <t>IF(OR(F174="",COUNT(AI174:AV174)=0),"",TODAY()-LOOKUP(2,1/(AI174:AV174&lt;&gt;""),AI174:AV174))</t>
        </is>
      </c>
      <c r="AE174" s="39" t="inlineStr">
        <is>
          <t>IF(OR(F174="",COUNT(AI174:AV174)&lt;2),"",LOOKUP(2,1/(AI174:AV174&lt;&gt;""),AI174:AV174)-MIN(AI174:AV174))</t>
        </is>
      </c>
      <c r="AF174" s="39" t="inlineStr">
        <is>
          <t>IF(OR(AD174="",AC174="Not started",AC174=""),"",IFERROR(AD174-IF(VLOOKUP(AC174,'06_Status_Pipeline'!$B$3:$E$20,4,FALSE)="",0,VLOOKUP(AC174,'06_Status_Pipeline'!$B$3:$E$20,4,FALSE)),""))</t>
        </is>
      </c>
      <c r="AG174" s="3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39" t="inlineStr">
        <is>
          <t>IF(OR(F174="",AC174="Completed / Handover",AC174="Cancelled"),"",IF(O174="Not awarded",IF(U174&lt;&gt;"",U174-TODAY(),IF(X174="","",X174-TODAY())),IF(X174="","",X174-TODAY())))</t>
        </is>
      </c>
      <c r="AI174" s="66" t="n"/>
      <c r="AJ174" s="66" t="n"/>
      <c r="AK174" s="66" t="n"/>
      <c r="AL174" s="66" t="n"/>
      <c r="AM174" s="66" t="n"/>
      <c r="AN174" s="66" t="n"/>
      <c r="AO174" s="66" t="n"/>
      <c r="AP174" s="66" t="n"/>
      <c r="AQ174" s="66" t="n">
        <v>46043</v>
      </c>
      <c r="AR174" s="66" t="n">
        <v>46043</v>
      </c>
      <c r="AS174" s="66" t="n">
        <v>46407</v>
      </c>
      <c r="AT174" s="40" t="n"/>
      <c r="AU174" s="40" t="n"/>
      <c r="AV174" s="40" t="n"/>
      <c r="AW174" s="39" t="inlineStr">
        <is>
          <t>IF(OR(F174="",AJ174=""),"",IF(COUNT(AI174:AI174)=0,"",AJ174-LOOKUP(2,1/(AI174:AI174&lt;&gt;""),AI174:AI174)))</t>
        </is>
      </c>
      <c r="AX174" s="39" t="inlineStr">
        <is>
          <t>IF(OR(F174="",AK174=""),"",IF(COUNT(AI174:AJ174)=0,"",AK174-LOOKUP(2,1/(AI174:AJ174&lt;&gt;""),AI174:AJ174)))</t>
        </is>
      </c>
      <c r="AY174" s="39" t="inlineStr">
        <is>
          <t>IF(OR(F174="",AL174=""),"",IF(COUNT(AI174:AK174)=0,"",AL174-LOOKUP(2,1/(AI174:AK174&lt;&gt;""),AI174:AK174)))</t>
        </is>
      </c>
      <c r="AZ174" s="39" t="inlineStr">
        <is>
          <t>IF(OR(F174="",AM174=""),"",IF(COUNT(AI174:AL174)=0,"",AM174-LOOKUP(2,1/(AI174:AL174&lt;&gt;""),AI174:AL174)))</t>
        </is>
      </c>
      <c r="BA174" s="39" t="inlineStr">
        <is>
          <t>IF(OR(F174="",AN174=""),"",IF(COUNT(AI174:AM174)=0,"",AN174-LOOKUP(2,1/(AI174:AM174&lt;&gt;""),AI174:AM174)))</t>
        </is>
      </c>
      <c r="BB174" s="39" t="inlineStr">
        <is>
          <t>IF(OR(F174="",AO174=""),"",IF(COUNT(AI174:AN174)=0,"",AO174-LOOKUP(2,1/(AI174:AN174&lt;&gt;""),AI174:AN174)))</t>
        </is>
      </c>
      <c r="BC174" s="39" t="inlineStr">
        <is>
          <t>IF(OR(F174="",AP174=""),"",IF(COUNT(AI174:AO174)=0,"",AP174-LOOKUP(2,1/(AI174:AO174&lt;&gt;""),AI174:AO174)))</t>
        </is>
      </c>
      <c r="BD174" s="39" t="inlineStr">
        <is>
          <t>IF(OR(F174="",AQ174=""),"",IF(COUNT(AI174:AP174)=0,"",AQ174-LOOKUP(2,1/(AI174:AP174&lt;&gt;""),AI174:AP174)))</t>
        </is>
      </c>
      <c r="BE174" s="39" t="inlineStr">
        <is>
          <t>IF(OR(F174="",AR174=""),"",IF(COUNT(AI174:AQ174)=0,"",AR174-LOOKUP(2,1/(AI174:AQ174&lt;&gt;""),AI174:AQ174)))</t>
        </is>
      </c>
      <c r="BF174" s="39" t="inlineStr">
        <is>
          <t>IF(OR(F174="",AS174=""),"",IF(COUNT(AI174:AR174)=0,"",AS174-LOOKUP(2,1/(AI174:AR174&lt;&gt;""),AI174:AR174)))</t>
        </is>
      </c>
      <c r="BG174" s="39" t="inlineStr">
        <is>
          <t>IF(OR(F174="",AT174=""),"",IF(COUNT(AI174:AS174)=0,"",AT174-LOOKUP(2,1/(AI174:AS174&lt;&gt;""),AI174:AS174)))</t>
        </is>
      </c>
      <c r="BH174" s="39" t="inlineStr">
        <is>
          <t>IF(OR(F174="",AU174=""),"",IF(COUNT(AI174:AT174)=0,"",AU174-LOOKUP(2,1/(AI174:AT174&lt;&gt;""),AI174:AT174)))</t>
        </is>
      </c>
      <c r="BI174" s="39" t="inlineStr">
        <is>
          <t>IF(OR(F174="",AV174=""),"",IF(COUNT(AI174:AU174)=0,"",AV174-LOOKUP(2,1/(AI174:AU174&lt;&gt;""),AI174:AU174)))</t>
        </is>
      </c>
      <c r="BJ174" s="41" t="inlineStr">
        <is>
          <t>IF(J174="","All_Provinces",IFERROR(VLOOKUP(J174,'09_Lookups'!$A$4:$B$20,2,FALSE),"All_Provinces"))</t>
        </is>
      </c>
      <c r="BK174" s="41" t="inlineStr">
        <is>
          <t>IF(K174="","All_Districts",IFERROR(VLOOKUP(K174,'09_Lookups'!$E$4:$F$42,2,FALSE),"All_Districts"))</t>
        </is>
      </c>
    </row>
    <row r="175" ht="18" customHeight="1">
      <c r="A175" s="32" t="inlineStr">
        <is>
          <t>IF(F175="","",ROW()-3)</t>
        </is>
      </c>
      <c r="B175" s="62" t="inlineStr">
        <is>
          <t>AF2-IS-17</t>
        </is>
      </c>
      <c r="C175" s="62" t="inlineStr">
        <is>
          <t>Package #17-AF2 IS: Rehabilitation of Hezhdi- Nilli, Zard Nai Cluster Canal irrigation schemes, located in Sharrisatan and Nilli districts of Daykundi province.</t>
        </is>
      </c>
      <c r="D175" s="62" t="inlineStr">
        <is>
          <t>1 of 1</t>
        </is>
      </c>
      <c r="E175" s="57" t="inlineStr">
        <is>
          <t>AF2-IS-N-016</t>
        </is>
      </c>
      <c r="F175" s="57" t="inlineStr">
        <is>
          <t>Hezhdi- Nilli, Zard Nai Charsapan Cluster Canal irrigation schemes</t>
        </is>
      </c>
      <c r="G175" s="57" t="inlineStr">
        <is>
          <t>Irrigation Scheme</t>
        </is>
      </c>
      <c r="H175" s="57" t="inlineStr">
        <is>
          <t>Irrigation Canal</t>
        </is>
      </c>
      <c r="I175" s="57" t="inlineStr">
        <is>
          <t>Emergency Food Security Project (EFSP) – WBK/AF-2</t>
        </is>
      </c>
      <c r="J175" s="57" t="inlineStr">
        <is>
          <t>Central Highland / Bamyan</t>
        </is>
      </c>
      <c r="K175" s="57" t="inlineStr">
        <is>
          <t>Daykundi</t>
        </is>
      </c>
      <c r="L175" s="57" t="inlineStr">
        <is>
          <t>Shahristan and Nilli</t>
        </is>
      </c>
      <c r="M175" s="57" t="inlineStr">
        <is>
          <t>Zaednai Payeen, Zardnai Bala, hizhdi</t>
        </is>
      </c>
      <c r="N175" s="57" t="inlineStr">
        <is>
          <t>World Bank (WBK/AF-2)</t>
        </is>
      </c>
      <c r="O175" s="57" t="inlineStr">
        <is>
          <t>Not awarded</t>
        </is>
      </c>
      <c r="P175" s="57" t="inlineStr">
        <is>
          <t>2.Remain contracts_On&amp;off-farm</t>
        </is>
      </c>
      <c r="Q175" s="57" t="inlineStr"/>
      <c r="R175" s="57" t="inlineStr"/>
      <c r="S175" s="58" t="n">
        <v>352618.42</v>
      </c>
      <c r="T175" s="36" t="inlineStr">
        <is>
          <t>IF(AQ175="","",AQ175)</t>
        </is>
      </c>
      <c r="U175" s="59" t="n">
        <v>46371</v>
      </c>
      <c r="V175" s="60" t="n">
        <v>9.4</v>
      </c>
      <c r="W175" s="59" t="n">
        <v>46656</v>
      </c>
      <c r="X175" s="36" t="inlineStr">
        <is>
          <t>IF(W175&lt;&gt;"",W175,IF(OR(T175="",V175=""),"",EDATE(T175,V175)))</t>
        </is>
      </c>
      <c r="Y175" s="59" t="n"/>
      <c r="Z175" s="60" t="n"/>
      <c r="AA175" s="57" t="inlineStr">
        <is>
          <t>Under LTO Review</t>
        </is>
      </c>
      <c r="AB175" s="57" t="inlineStr">
        <is>
          <t>2.5 months slack period Mid Jan-Mar during winter. Eight months construction period required for the cluster canals in two districts. Explore possibility of 2 lots for PR and contract award</t>
        </is>
      </c>
      <c r="AC175" s="32" t="inlineStr">
        <is>
          <t>IF(F175="","",IF(COUNT(AI175:AV175)=0,IF(AA175="","Not started",AA175),SUBSTITUTE(LOOKUP(2,1/(AI175:AV175&lt;&gt;""),$AI$3:$AV$3),"Date: ","")))</t>
        </is>
      </c>
      <c r="AD175" s="39" t="inlineStr">
        <is>
          <t>IF(OR(F175="",COUNT(AI175:AV175)=0),"",TODAY()-LOOKUP(2,1/(AI175:AV175&lt;&gt;""),AI175:AV175))</t>
        </is>
      </c>
      <c r="AE175" s="39" t="inlineStr">
        <is>
          <t>IF(OR(F175="",COUNT(AI175:AV175)&lt;2),"",LOOKUP(2,1/(AI175:AV175&lt;&gt;""),AI175:AV175)-MIN(AI175:AV175))</t>
        </is>
      </c>
      <c r="AF175" s="39" t="inlineStr">
        <is>
          <t>IF(OR(AD175="",AC175="Not started",AC175=""),"",IFERROR(AD175-IF(VLOOKUP(AC175,'06_Status_Pipeline'!$B$3:$E$20,4,FALSE)="",0,VLOOKUP(AC175,'06_Status_Pipeline'!$B$3:$E$20,4,FALSE)),""))</t>
        </is>
      </c>
      <c r="AG175" s="3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39" t="inlineStr">
        <is>
          <t>IF(OR(F175="",AC175="Completed / Handover",AC175="Cancelled"),"",IF(O175="Not awarded",IF(U175&lt;&gt;"",U175-TODAY(),IF(X175="","",X175-TODAY())),IF(X175="","",X175-TODAY())))</t>
        </is>
      </c>
      <c r="AI175" s="59" t="n"/>
      <c r="AJ175" s="59" t="n"/>
      <c r="AK175" s="59" t="n"/>
      <c r="AL175" s="59" t="n"/>
      <c r="AM175" s="59" t="n"/>
      <c r="AN175" s="59" t="n"/>
      <c r="AO175" s="59" t="n"/>
      <c r="AP175" s="59" t="n"/>
      <c r="AQ175" s="59" t="n"/>
      <c r="AR175" s="59" t="n"/>
      <c r="AS175" s="59" t="n"/>
      <c r="AT175" s="40" t="n"/>
      <c r="AU175" s="40" t="n"/>
      <c r="AV175" s="40" t="n"/>
      <c r="AW175" s="39" t="inlineStr">
        <is>
          <t>IF(OR(F175="",AJ175=""),"",IF(COUNT(AI175:AI175)=0,"",AJ175-LOOKUP(2,1/(AI175:AI175&lt;&gt;""),AI175:AI175)))</t>
        </is>
      </c>
      <c r="AX175" s="39" t="inlineStr">
        <is>
          <t>IF(OR(F175="",AK175=""),"",IF(COUNT(AI175:AJ175)=0,"",AK175-LOOKUP(2,1/(AI175:AJ175&lt;&gt;""),AI175:AJ175)))</t>
        </is>
      </c>
      <c r="AY175" s="39" t="inlineStr">
        <is>
          <t>IF(OR(F175="",AL175=""),"",IF(COUNT(AI175:AK175)=0,"",AL175-LOOKUP(2,1/(AI175:AK175&lt;&gt;""),AI175:AK175)))</t>
        </is>
      </c>
      <c r="AZ175" s="39" t="inlineStr">
        <is>
          <t>IF(OR(F175="",AM175=""),"",IF(COUNT(AI175:AL175)=0,"",AM175-LOOKUP(2,1/(AI175:AL175&lt;&gt;""),AI175:AL175)))</t>
        </is>
      </c>
      <c r="BA175" s="39" t="inlineStr">
        <is>
          <t>IF(OR(F175="",AN175=""),"",IF(COUNT(AI175:AM175)=0,"",AN175-LOOKUP(2,1/(AI175:AM175&lt;&gt;""),AI175:AM175)))</t>
        </is>
      </c>
      <c r="BB175" s="39" t="inlineStr">
        <is>
          <t>IF(OR(F175="",AO175=""),"",IF(COUNT(AI175:AN175)=0,"",AO175-LOOKUP(2,1/(AI175:AN175&lt;&gt;""),AI175:AN175)))</t>
        </is>
      </c>
      <c r="BC175" s="39" t="inlineStr">
        <is>
          <t>IF(OR(F175="",AP175=""),"",IF(COUNT(AI175:AO175)=0,"",AP175-LOOKUP(2,1/(AI175:AO175&lt;&gt;""),AI175:AO175)))</t>
        </is>
      </c>
      <c r="BD175" s="39" t="inlineStr">
        <is>
          <t>IF(OR(F175="",AQ175=""),"",IF(COUNT(AI175:AP175)=0,"",AQ175-LOOKUP(2,1/(AI175:AP175&lt;&gt;""),AI175:AP175)))</t>
        </is>
      </c>
      <c r="BE175" s="39" t="inlineStr">
        <is>
          <t>IF(OR(F175="",AR175=""),"",IF(COUNT(AI175:AQ175)=0,"",AR175-LOOKUP(2,1/(AI175:AQ175&lt;&gt;""),AI175:AQ175)))</t>
        </is>
      </c>
      <c r="BF175" s="39" t="inlineStr">
        <is>
          <t>IF(OR(F175="",AS175=""),"",IF(COUNT(AI175:AR175)=0,"",AS175-LOOKUP(2,1/(AI175:AR175&lt;&gt;""),AI175:AR175)))</t>
        </is>
      </c>
      <c r="BG175" s="39" t="inlineStr">
        <is>
          <t>IF(OR(F175="",AT175=""),"",IF(COUNT(AI175:AS175)=0,"",AT175-LOOKUP(2,1/(AI175:AS175&lt;&gt;""),AI175:AS175)))</t>
        </is>
      </c>
      <c r="BH175" s="39" t="inlineStr">
        <is>
          <t>IF(OR(F175="",AU175=""),"",IF(COUNT(AI175:AT175)=0,"",AU175-LOOKUP(2,1/(AI175:AT175&lt;&gt;""),AI175:AT175)))</t>
        </is>
      </c>
      <c r="BI175" s="39" t="inlineStr">
        <is>
          <t>IF(OR(F175="",AV175=""),"",IF(COUNT(AI175:AU175)=0,"",AV175-LOOKUP(2,1/(AI175:AU175&lt;&gt;""),AI175:AU175)))</t>
        </is>
      </c>
      <c r="BJ175" s="41" t="inlineStr">
        <is>
          <t>IF(J175="","All_Provinces",IFERROR(VLOOKUP(J175,'09_Lookups'!$A$4:$B$20,2,FALSE),"All_Provinces"))</t>
        </is>
      </c>
      <c r="BK175" s="41" t="inlineStr">
        <is>
          <t>IF(K175="","All_Districts",IFERROR(VLOOKUP(K175,'09_Lookups'!$E$4:$F$42,2,FALSE),"All_Districts"))</t>
        </is>
      </c>
    </row>
    <row r="176" ht="18" customHeight="1">
      <c r="A176" s="32" t="inlineStr">
        <is>
          <t>IF(F176="","",ROW()-3)</t>
        </is>
      </c>
      <c r="B176" s="64" t="inlineStr">
        <is>
          <t>AF2-IS-18</t>
        </is>
      </c>
      <c r="C176" s="64" t="inlineStr">
        <is>
          <t>Package #18-AF2 IS: Rehabilitation of Drang canal irrigation schemes, located in Zurmat district of Paktya province.</t>
        </is>
      </c>
      <c r="D176" s="64" t="inlineStr">
        <is>
          <t>1 of 1</t>
        </is>
      </c>
      <c r="E176" s="34" t="inlineStr">
        <is>
          <t>AF2-IS-N-017</t>
        </is>
      </c>
      <c r="F176" s="34" t="inlineStr">
        <is>
          <t>Drang canal irrigation Scheme (On-FWM Project)</t>
        </is>
      </c>
      <c r="G176" s="34" t="inlineStr">
        <is>
          <t>Irrigation Scheme</t>
        </is>
      </c>
      <c r="H176" s="34" t="inlineStr">
        <is>
          <t>Irrigation Canal</t>
        </is>
      </c>
      <c r="I176" s="34" t="inlineStr">
        <is>
          <t>Emergency Food Security Project (EFSP) – WBK/AF-2</t>
        </is>
      </c>
      <c r="J176" s="34" t="inlineStr">
        <is>
          <t>Central Highland / Bamyan</t>
        </is>
      </c>
      <c r="K176" s="34" t="inlineStr">
        <is>
          <t>Paktya</t>
        </is>
      </c>
      <c r="L176" s="34" t="inlineStr">
        <is>
          <t>Zurmat</t>
        </is>
      </c>
      <c r="M176" s="34" t="inlineStr">
        <is>
          <t>Drang</t>
        </is>
      </c>
      <c r="N176" s="34" t="inlineStr">
        <is>
          <t>World Bank (WBK/AF-2)</t>
        </is>
      </c>
      <c r="O176" s="34" t="inlineStr">
        <is>
          <t>Not awarded</t>
        </is>
      </c>
      <c r="P176" s="34" t="inlineStr">
        <is>
          <t>2.Remain contracts_On&amp;off-farm</t>
        </is>
      </c>
      <c r="Q176" s="34" t="inlineStr"/>
      <c r="R176" s="34" t="inlineStr"/>
      <c r="S176" s="35" t="n">
        <v>393953</v>
      </c>
      <c r="T176" s="36" t="inlineStr">
        <is>
          <t>IF(AQ176="","",AQ176)</t>
        </is>
      </c>
      <c r="U176" s="37" t="n">
        <v>46356</v>
      </c>
      <c r="V176" s="38" t="n">
        <v>11</v>
      </c>
      <c r="W176" s="37" t="n">
        <v>46689</v>
      </c>
      <c r="X176" s="36" t="inlineStr">
        <is>
          <t>IF(W176&lt;&gt;"",W176,IF(OR(T176="",V176=""),"",EDATE(T176,V176)))</t>
        </is>
      </c>
      <c r="Y176" s="37" t="n"/>
      <c r="Z176" s="38" t="n"/>
      <c r="AA176" s="34" t="inlineStr">
        <is>
          <t>ITB Launched</t>
        </is>
      </c>
      <c r="AB176" s="34" t="inlineStr">
        <is>
          <t>Three months slack period Jan-Mar during winter. Nine months construction period required for the cluster canals in two districts</t>
        </is>
      </c>
      <c r="AC176" s="32" t="inlineStr">
        <is>
          <t>IF(F176="","",IF(COUNT(AI176:AV176)=0,IF(AA176="","Not started",AA176),SUBSTITUTE(LOOKUP(2,1/(AI176:AV176&lt;&gt;""),$AI$3:$AV$3),"Date: ","")))</t>
        </is>
      </c>
      <c r="AD176" s="39" t="inlineStr">
        <is>
          <t>IF(OR(F176="",COUNT(AI176:AV176)=0),"",TODAY()-LOOKUP(2,1/(AI176:AV176&lt;&gt;""),AI176:AV176))</t>
        </is>
      </c>
      <c r="AE176" s="39" t="inlineStr">
        <is>
          <t>IF(OR(F176="",COUNT(AI176:AV176)&lt;2),"",LOOKUP(2,1/(AI176:AV176&lt;&gt;""),AI176:AV176)-MIN(AI176:AV176))</t>
        </is>
      </c>
      <c r="AF176" s="39" t="inlineStr">
        <is>
          <t>IF(OR(AD176="",AC176="Not started",AC176=""),"",IFERROR(AD176-IF(VLOOKUP(AC176,'06_Status_Pipeline'!$B$3:$E$20,4,FALSE)="",0,VLOOKUP(AC176,'06_Status_Pipeline'!$B$3:$E$20,4,FALSE)),""))</t>
        </is>
      </c>
      <c r="AG176" s="3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39" t="inlineStr">
        <is>
          <t>IF(OR(F176="",AC176="Completed / Handover",AC176="Cancelled"),"",IF(O176="Not awarded",IF(U176&lt;&gt;"",U176-TODAY(),IF(X176="","",X176-TODAY())),IF(X176="","",X176-TODAY())))</t>
        </is>
      </c>
      <c r="AI176" s="37" t="n"/>
      <c r="AJ176" s="37" t="n"/>
      <c r="AK176" s="37" t="n"/>
      <c r="AL176" s="37" t="n"/>
      <c r="AM176" s="37" t="n"/>
      <c r="AN176" s="37" t="n"/>
      <c r="AO176" s="37" t="n"/>
      <c r="AP176" s="37" t="n"/>
      <c r="AQ176" s="37" t="n"/>
      <c r="AR176" s="37" t="n"/>
      <c r="AS176" s="37" t="n"/>
      <c r="AT176" s="40" t="n"/>
      <c r="AU176" s="40" t="n"/>
      <c r="AV176" s="40" t="n"/>
      <c r="AW176" s="39" t="inlineStr">
        <is>
          <t>IF(OR(F176="",AJ176=""),"",IF(COUNT(AI176:AI176)=0,"",AJ176-LOOKUP(2,1/(AI176:AI176&lt;&gt;""),AI176:AI176)))</t>
        </is>
      </c>
      <c r="AX176" s="39" t="inlineStr">
        <is>
          <t>IF(OR(F176="",AK176=""),"",IF(COUNT(AI176:AJ176)=0,"",AK176-LOOKUP(2,1/(AI176:AJ176&lt;&gt;""),AI176:AJ176)))</t>
        </is>
      </c>
      <c r="AY176" s="39" t="inlineStr">
        <is>
          <t>IF(OR(F176="",AL176=""),"",IF(COUNT(AI176:AK176)=0,"",AL176-LOOKUP(2,1/(AI176:AK176&lt;&gt;""),AI176:AK176)))</t>
        </is>
      </c>
      <c r="AZ176" s="39" t="inlineStr">
        <is>
          <t>IF(OR(F176="",AM176=""),"",IF(COUNT(AI176:AL176)=0,"",AM176-LOOKUP(2,1/(AI176:AL176&lt;&gt;""),AI176:AL176)))</t>
        </is>
      </c>
      <c r="BA176" s="39" t="inlineStr">
        <is>
          <t>IF(OR(F176="",AN176=""),"",IF(COUNT(AI176:AM176)=0,"",AN176-LOOKUP(2,1/(AI176:AM176&lt;&gt;""),AI176:AM176)))</t>
        </is>
      </c>
      <c r="BB176" s="39" t="inlineStr">
        <is>
          <t>IF(OR(F176="",AO176=""),"",IF(COUNT(AI176:AN176)=0,"",AO176-LOOKUP(2,1/(AI176:AN176&lt;&gt;""),AI176:AN176)))</t>
        </is>
      </c>
      <c r="BC176" s="39" t="inlineStr">
        <is>
          <t>IF(OR(F176="",AP176=""),"",IF(COUNT(AI176:AO176)=0,"",AP176-LOOKUP(2,1/(AI176:AO176&lt;&gt;""),AI176:AO176)))</t>
        </is>
      </c>
      <c r="BD176" s="39" t="inlineStr">
        <is>
          <t>IF(OR(F176="",AQ176=""),"",IF(COUNT(AI176:AP176)=0,"",AQ176-LOOKUP(2,1/(AI176:AP176&lt;&gt;""),AI176:AP176)))</t>
        </is>
      </c>
      <c r="BE176" s="39" t="inlineStr">
        <is>
          <t>IF(OR(F176="",AR176=""),"",IF(COUNT(AI176:AQ176)=0,"",AR176-LOOKUP(2,1/(AI176:AQ176&lt;&gt;""),AI176:AQ176)))</t>
        </is>
      </c>
      <c r="BF176" s="39" t="inlineStr">
        <is>
          <t>IF(OR(F176="",AS176=""),"",IF(COUNT(AI176:AR176)=0,"",AS176-LOOKUP(2,1/(AI176:AR176&lt;&gt;""),AI176:AR176)))</t>
        </is>
      </c>
      <c r="BG176" s="39" t="inlineStr">
        <is>
          <t>IF(OR(F176="",AT176=""),"",IF(COUNT(AI176:AS176)=0,"",AT176-LOOKUP(2,1/(AI176:AS176&lt;&gt;""),AI176:AS176)))</t>
        </is>
      </c>
      <c r="BH176" s="39" t="inlineStr">
        <is>
          <t>IF(OR(F176="",AU176=""),"",IF(COUNT(AI176:AT176)=0,"",AU176-LOOKUP(2,1/(AI176:AT176&lt;&gt;""),AI176:AT176)))</t>
        </is>
      </c>
      <c r="BI176" s="39" t="inlineStr">
        <is>
          <t>IF(OR(F176="",AV176=""),"",IF(COUNT(AI176:AU176)=0,"",AV176-LOOKUP(2,1/(AI176:AU176&lt;&gt;""),AI176:AU176)))</t>
        </is>
      </c>
      <c r="BJ176" s="41" t="inlineStr">
        <is>
          <t>IF(J176="","All_Provinces",IFERROR(VLOOKUP(J176,'09_Lookups'!$A$4:$B$20,2,FALSE),"All_Provinces"))</t>
        </is>
      </c>
      <c r="BK176" s="41" t="inlineStr">
        <is>
          <t>IF(K176="","All_Districts",IFERROR(VLOOKUP(K176,'09_Lookups'!$E$4:$F$42,2,FALSE),"All_Districts"))</t>
        </is>
      </c>
    </row>
    <row r="177" ht="18" customHeight="1">
      <c r="A177" s="32" t="inlineStr">
        <is>
          <t>IF(F177="","",ROW()-3)</t>
        </is>
      </c>
      <c r="B177" s="33" t="inlineStr">
        <is>
          <t>AF2-IS-19</t>
        </is>
      </c>
      <c r="C177" s="33" t="inlineStr">
        <is>
          <t>Package #19-AF2 IS: Rehabilitation of Khwaja Angor canal and Qalai Wazir canal irrigation schemes located in Kharwar and Pol-i-Alam districts of Logar province.</t>
        </is>
      </c>
      <c r="D177" s="33" t="inlineStr">
        <is>
          <t>1 of 2</t>
        </is>
      </c>
      <c r="E177" s="57" t="inlineStr">
        <is>
          <t>AF2-IS-A-018</t>
        </is>
      </c>
      <c r="F177" s="57" t="inlineStr">
        <is>
          <t>Khwaja Angor Irrigation Scheme (OFWM Project)</t>
        </is>
      </c>
      <c r="G177" s="57" t="inlineStr">
        <is>
          <t>Irrigation Scheme</t>
        </is>
      </c>
      <c r="H177" s="57" t="inlineStr">
        <is>
          <t>Irrigation Canal</t>
        </is>
      </c>
      <c r="I177" s="57" t="inlineStr">
        <is>
          <t>Emergency Food Security Project (EFSP) – WBK/AF-2</t>
        </is>
      </c>
      <c r="J177" s="57" t="inlineStr">
        <is>
          <t>Southeast / Gardez</t>
        </is>
      </c>
      <c r="K177" s="57" t="inlineStr">
        <is>
          <t>Logar</t>
        </is>
      </c>
      <c r="L177" s="57" t="inlineStr">
        <is>
          <t>Kharwar</t>
        </is>
      </c>
      <c r="M177" s="57" t="inlineStr">
        <is>
          <t>Khwaja Angor</t>
        </is>
      </c>
      <c r="N177" s="57" t="inlineStr">
        <is>
          <t>World Bank (WBK/AF-2)</t>
        </is>
      </c>
      <c r="O177" s="57" t="inlineStr">
        <is>
          <t>Awarded</t>
        </is>
      </c>
      <c r="P177" s="57" t="inlineStr">
        <is>
          <t>1.Awarded contracts_On&amp;off-farm</t>
        </is>
      </c>
      <c r="Q177" s="57" t="inlineStr">
        <is>
          <t>Unique Wahaj Construction Company (UWCC)</t>
        </is>
      </c>
      <c r="R177" s="57" t="inlineStr">
        <is>
          <t>074/2026</t>
        </is>
      </c>
      <c r="S177" s="58" t="n">
        <v>143249.77</v>
      </c>
      <c r="T177" s="36" t="inlineStr">
        <is>
          <t>IF(AQ177="","",AQ177)</t>
        </is>
      </c>
      <c r="U177" s="59" t="n"/>
      <c r="V177" s="60" t="n">
        <v>12</v>
      </c>
      <c r="W177" s="59" t="n">
        <v>46386</v>
      </c>
      <c r="X177" s="36" t="inlineStr">
        <is>
          <t>IF(W177&lt;&gt;"",W177,IF(OR(T177="",V177=""),"",EDATE(T177,V177)))</t>
        </is>
      </c>
      <c r="Y177" s="59" t="n"/>
      <c r="Z177" s="60" t="n">
        <v>98</v>
      </c>
      <c r="AA177" s="57" t="inlineStr">
        <is>
          <t>Under Construction</t>
        </is>
      </c>
      <c r="AB177" s="57" t="inlineStr">
        <is>
          <t>on track and will be completed in 2026</t>
        </is>
      </c>
      <c r="AC177" s="32" t="inlineStr">
        <is>
          <t>IF(F177="","",IF(COUNT(AI177:AV177)=0,IF(AA177="","Not started",AA177),SUBSTITUTE(LOOKUP(2,1/(AI177:AV177&lt;&gt;""),$AI$3:$AV$3),"Date: ","")))</t>
        </is>
      </c>
      <c r="AD177" s="39" t="inlineStr">
        <is>
          <t>IF(OR(F177="",COUNT(AI177:AV177)=0),"",TODAY()-LOOKUP(2,1/(AI177:AV177&lt;&gt;""),AI177:AV177))</t>
        </is>
      </c>
      <c r="AE177" s="39" t="inlineStr">
        <is>
          <t>IF(OR(F177="",COUNT(AI177:AV177)&lt;2),"",LOOKUP(2,1/(AI177:AV177&lt;&gt;""),AI177:AV177)-MIN(AI177:AV177))</t>
        </is>
      </c>
      <c r="AF177" s="39" t="inlineStr">
        <is>
          <t>IF(OR(AD177="",AC177="Not started",AC177=""),"",IFERROR(AD177-IF(VLOOKUP(AC177,'06_Status_Pipeline'!$B$3:$E$20,4,FALSE)="",0,VLOOKUP(AC177,'06_Status_Pipeline'!$B$3:$E$20,4,FALSE)),""))</t>
        </is>
      </c>
      <c r="AG177" s="3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39" t="inlineStr">
        <is>
          <t>IF(OR(F177="",AC177="Completed / Handover",AC177="Cancelled"),"",IF(O177="Not awarded",IF(U177&lt;&gt;"",U177-TODAY(),IF(X177="","",X177-TODAY())),IF(X177="","",X177-TODAY())))</t>
        </is>
      </c>
      <c r="AI177" s="66" t="n"/>
      <c r="AJ177" s="66" t="n"/>
      <c r="AK177" s="66" t="n"/>
      <c r="AL177" s="66" t="n"/>
      <c r="AM177" s="66" t="n"/>
      <c r="AN177" s="66" t="n"/>
      <c r="AO177" s="66" t="n"/>
      <c r="AP177" s="66" t="n"/>
      <c r="AQ177" s="66" t="n">
        <v>46022</v>
      </c>
      <c r="AR177" s="66" t="n">
        <v>46022</v>
      </c>
      <c r="AS177" s="66" t="n"/>
      <c r="AT177" s="40" t="n"/>
      <c r="AU177" s="40" t="n"/>
      <c r="AV177" s="40" t="n"/>
      <c r="AW177" s="39" t="inlineStr">
        <is>
          <t>IF(OR(F177="",AJ177=""),"",IF(COUNT(AI177:AI177)=0,"",AJ177-LOOKUP(2,1/(AI177:AI177&lt;&gt;""),AI177:AI177)))</t>
        </is>
      </c>
      <c r="AX177" s="39" t="inlineStr">
        <is>
          <t>IF(OR(F177="",AK177=""),"",IF(COUNT(AI177:AJ177)=0,"",AK177-LOOKUP(2,1/(AI177:AJ177&lt;&gt;""),AI177:AJ177)))</t>
        </is>
      </c>
      <c r="AY177" s="39" t="inlineStr">
        <is>
          <t>IF(OR(F177="",AL177=""),"",IF(COUNT(AI177:AK177)=0,"",AL177-LOOKUP(2,1/(AI177:AK177&lt;&gt;""),AI177:AK177)))</t>
        </is>
      </c>
      <c r="AZ177" s="39" t="inlineStr">
        <is>
          <t>IF(OR(F177="",AM177=""),"",IF(COUNT(AI177:AL177)=0,"",AM177-LOOKUP(2,1/(AI177:AL177&lt;&gt;""),AI177:AL177)))</t>
        </is>
      </c>
      <c r="BA177" s="39" t="inlineStr">
        <is>
          <t>IF(OR(F177="",AN177=""),"",IF(COUNT(AI177:AM177)=0,"",AN177-LOOKUP(2,1/(AI177:AM177&lt;&gt;""),AI177:AM177)))</t>
        </is>
      </c>
      <c r="BB177" s="39" t="inlineStr">
        <is>
          <t>IF(OR(F177="",AO177=""),"",IF(COUNT(AI177:AN177)=0,"",AO177-LOOKUP(2,1/(AI177:AN177&lt;&gt;""),AI177:AN177)))</t>
        </is>
      </c>
      <c r="BC177" s="39" t="inlineStr">
        <is>
          <t>IF(OR(F177="",AP177=""),"",IF(COUNT(AI177:AO177)=0,"",AP177-LOOKUP(2,1/(AI177:AO177&lt;&gt;""),AI177:AO177)))</t>
        </is>
      </c>
      <c r="BD177" s="39" t="inlineStr">
        <is>
          <t>IF(OR(F177="",AQ177=""),"",IF(COUNT(AI177:AP177)=0,"",AQ177-LOOKUP(2,1/(AI177:AP177&lt;&gt;""),AI177:AP177)))</t>
        </is>
      </c>
      <c r="BE177" s="39" t="inlineStr">
        <is>
          <t>IF(OR(F177="",AR177=""),"",IF(COUNT(AI177:AQ177)=0,"",AR177-LOOKUP(2,1/(AI177:AQ177&lt;&gt;""),AI177:AQ177)))</t>
        </is>
      </c>
      <c r="BF177" s="39" t="inlineStr">
        <is>
          <t>IF(OR(F177="",AS177=""),"",IF(COUNT(AI177:AR177)=0,"",AS177-LOOKUP(2,1/(AI177:AR177&lt;&gt;""),AI177:AR177)))</t>
        </is>
      </c>
      <c r="BG177" s="39" t="inlineStr">
        <is>
          <t>IF(OR(F177="",AT177=""),"",IF(COUNT(AI177:AS177)=0,"",AT177-LOOKUP(2,1/(AI177:AS177&lt;&gt;""),AI177:AS177)))</t>
        </is>
      </c>
      <c r="BH177" s="39" t="inlineStr">
        <is>
          <t>IF(OR(F177="",AU177=""),"",IF(COUNT(AI177:AT177)=0,"",AU177-LOOKUP(2,1/(AI177:AT177&lt;&gt;""),AI177:AT177)))</t>
        </is>
      </c>
      <c r="BI177" s="39" t="inlineStr">
        <is>
          <t>IF(OR(F177="",AV177=""),"",IF(COUNT(AI177:AU177)=0,"",AV177-LOOKUP(2,1/(AI177:AU177&lt;&gt;""),AI177:AU177)))</t>
        </is>
      </c>
      <c r="BJ177" s="41" t="inlineStr">
        <is>
          <t>IF(J177="","All_Provinces",IFERROR(VLOOKUP(J177,'09_Lookups'!$A$4:$B$20,2,FALSE),"All_Provinces"))</t>
        </is>
      </c>
      <c r="BK177" s="41" t="inlineStr">
        <is>
          <t>IF(K177="","All_Districts",IFERROR(VLOOKUP(K177,'09_Lookups'!$E$4:$F$42,2,FALSE),"All_Districts"))</t>
        </is>
      </c>
    </row>
    <row r="178" outlineLevel="1" ht="18" customHeight="1">
      <c r="A178" s="42" t="inlineStr">
        <is>
          <t>IF(F178="","",ROW()-3)</t>
        </is>
      </c>
      <c r="B178" s="43" t="inlineStr">
        <is>
          <t>AF2-IS-19</t>
        </is>
      </c>
      <c r="C178" s="43" t="inlineStr">
        <is>
          <t>Package #19-AF2 IS: Rehabilitation of Khwaja Angor canal and Qalai Wazir canal irrigation schemes located in Kharwar and Pol-i-Alam districts of Logar province.</t>
        </is>
      </c>
      <c r="D178" s="43" t="inlineStr">
        <is>
          <t>2 of 2</t>
        </is>
      </c>
      <c r="E178" s="52" t="inlineStr">
        <is>
          <t>AF2-IS-A-019</t>
        </is>
      </c>
      <c r="F178" s="52" t="inlineStr">
        <is>
          <t>Qalai Wazir Irrigation Scheme (OFWM Project)</t>
        </is>
      </c>
      <c r="G178" s="52" t="inlineStr">
        <is>
          <t>Irrigation Scheme</t>
        </is>
      </c>
      <c r="H178" s="52" t="inlineStr">
        <is>
          <t>Irrigation Canal</t>
        </is>
      </c>
      <c r="I178" s="52" t="inlineStr">
        <is>
          <t>Emergency Food Security Project (EFSP) – WBK/AF-2</t>
        </is>
      </c>
      <c r="J178" s="52" t="inlineStr">
        <is>
          <t>Southeast / Gardez</t>
        </is>
      </c>
      <c r="K178" s="52" t="inlineStr"/>
      <c r="L178" s="52" t="inlineStr">
        <is>
          <t>Pol-i-Alam</t>
        </is>
      </c>
      <c r="M178" s="52" t="inlineStr">
        <is>
          <t>Qalai Wazir</t>
        </is>
      </c>
      <c r="N178" s="52" t="inlineStr">
        <is>
          <t>World Bank (WBK/AF-2)</t>
        </is>
      </c>
      <c r="O178" s="52" t="inlineStr">
        <is>
          <t>Awarded</t>
        </is>
      </c>
      <c r="P178" s="52" t="inlineStr">
        <is>
          <t>1.Awarded contracts_On&amp;off-farm</t>
        </is>
      </c>
      <c r="Q178" s="52" t="inlineStr">
        <is>
          <t>Unique Wahaj Construction Company (UWCC)</t>
        </is>
      </c>
      <c r="R178" s="52" t="inlineStr">
        <is>
          <t>074/2026</t>
        </is>
      </c>
      <c r="S178" s="53" t="n">
        <v>239337.2</v>
      </c>
      <c r="T178" s="46" t="inlineStr">
        <is>
          <t>IF(AQ178="","",AQ178)</t>
        </is>
      </c>
      <c r="U178" s="54" t="n"/>
      <c r="V178" s="55" t="n">
        <v>12</v>
      </c>
      <c r="W178" s="54" t="n">
        <v>46386</v>
      </c>
      <c r="X178" s="46" t="inlineStr">
        <is>
          <t>IF(W178&lt;&gt;"",W178,IF(OR(T178="",V178=""),"",EDATE(T178,V178)))</t>
        </is>
      </c>
      <c r="Y178" s="54" t="n"/>
      <c r="Z178" s="55" t="n">
        <v>100</v>
      </c>
      <c r="AA178" s="52" t="inlineStr">
        <is>
          <t>Completed / Handover</t>
        </is>
      </c>
      <c r="AB178" s="52" t="inlineStr">
        <is>
          <t>Actual completion: Sep, 2026</t>
        </is>
      </c>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67" t="n"/>
      <c r="AJ178" s="67" t="n"/>
      <c r="AK178" s="67" t="n"/>
      <c r="AL178" s="67" t="n"/>
      <c r="AM178" s="67" t="n"/>
      <c r="AN178" s="67" t="n"/>
      <c r="AO178" s="67" t="n"/>
      <c r="AP178" s="67" t="n"/>
      <c r="AQ178" s="67" t="n">
        <v>46022</v>
      </c>
      <c r="AR178" s="67" t="n">
        <v>46022</v>
      </c>
      <c r="AS178" s="67" t="n">
        <v>46386</v>
      </c>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32" t="inlineStr">
        <is>
          <t>IF(F179="","",ROW()-3)</t>
        </is>
      </c>
      <c r="B179" s="56" t="inlineStr">
        <is>
          <t>AF2-IS-20</t>
        </is>
      </c>
      <c r="C179" s="56" t="inlineStr">
        <is>
          <t>Package #20-AF2 IS: Rehabilitation of Welgai irrigation system, located in Matoon district of Khost province.</t>
        </is>
      </c>
      <c r="D179" s="56" t="inlineStr">
        <is>
          <t>1 of 1</t>
        </is>
      </c>
      <c r="E179" s="57" t="inlineStr">
        <is>
          <t>AF2-IS-A-020</t>
        </is>
      </c>
      <c r="F179" s="57" t="inlineStr">
        <is>
          <t>Welgai (Off-Farm &amp; On-Farm Project)</t>
        </is>
      </c>
      <c r="G179" s="57" t="inlineStr">
        <is>
          <t>Irrigation Scheme</t>
        </is>
      </c>
      <c r="H179" s="57" t="inlineStr">
        <is>
          <t>Irrigation Canal</t>
        </is>
      </c>
      <c r="I179" s="57" t="inlineStr">
        <is>
          <t>Emergency Food Security Project (EFSP) – WBK/AF-2</t>
        </is>
      </c>
      <c r="J179" s="57" t="inlineStr">
        <is>
          <t>Southeast / Gardez</t>
        </is>
      </c>
      <c r="K179" s="57" t="inlineStr">
        <is>
          <t>Khost</t>
        </is>
      </c>
      <c r="L179" s="57" t="inlineStr">
        <is>
          <t>Matoon</t>
        </is>
      </c>
      <c r="M179" s="57" t="inlineStr">
        <is>
          <t>Shamal Piran</t>
        </is>
      </c>
      <c r="N179" s="57" t="inlineStr">
        <is>
          <t>World Bank (WBK/AF-2)</t>
        </is>
      </c>
      <c r="O179" s="57" t="inlineStr">
        <is>
          <t>Awarded</t>
        </is>
      </c>
      <c r="P179" s="57" t="inlineStr">
        <is>
          <t>1.Awarded contracts_On&amp;off-farm</t>
        </is>
      </c>
      <c r="Q179" s="57" t="inlineStr">
        <is>
          <t>Mahmood Raqi Nawin Construction &amp; Road Building Company (MRCC)</t>
        </is>
      </c>
      <c r="R179" s="57" t="inlineStr">
        <is>
          <t>053/2025</t>
        </is>
      </c>
      <c r="S179" s="58" t="n">
        <v>229783.31</v>
      </c>
      <c r="T179" s="36" t="inlineStr">
        <is>
          <t>IF(AQ179="","",AQ179)</t>
        </is>
      </c>
      <c r="U179" s="59" t="n"/>
      <c r="V179" s="60" t="n">
        <v>12</v>
      </c>
      <c r="W179" s="59" t="n">
        <v>46306</v>
      </c>
      <c r="X179" s="36" t="inlineStr">
        <is>
          <t>IF(W179&lt;&gt;"",W179,IF(OR(T179="",V179=""),"",EDATE(T179,V179)))</t>
        </is>
      </c>
      <c r="Y179" s="59" t="n"/>
      <c r="Z179" s="60" t="n">
        <v>100</v>
      </c>
      <c r="AA179" s="57" t="inlineStr">
        <is>
          <t>Completed / Handover</t>
        </is>
      </c>
      <c r="AB179" s="57" t="inlineStr">
        <is>
          <t>Completed in June 2026. | Actual completion: June, 2026</t>
        </is>
      </c>
      <c r="AC179" s="32" t="inlineStr">
        <is>
          <t>IF(F179="","",IF(COUNT(AI179:AV179)=0,IF(AA179="","Not started",AA179),SUBSTITUTE(LOOKUP(2,1/(AI179:AV179&lt;&gt;""),$AI$3:$AV$3),"Date: ","")))</t>
        </is>
      </c>
      <c r="AD179" s="39" t="inlineStr">
        <is>
          <t>IF(OR(F179="",COUNT(AI179:AV179)=0),"",TODAY()-LOOKUP(2,1/(AI179:AV179&lt;&gt;""),AI179:AV179))</t>
        </is>
      </c>
      <c r="AE179" s="39" t="inlineStr">
        <is>
          <t>IF(OR(F179="",COUNT(AI179:AV179)&lt;2),"",LOOKUP(2,1/(AI179:AV179&lt;&gt;""),AI179:AV179)-MIN(AI179:AV179))</t>
        </is>
      </c>
      <c r="AF179" s="39" t="inlineStr">
        <is>
          <t>IF(OR(AD179="",AC179="Not started",AC179=""),"",IFERROR(AD179-IF(VLOOKUP(AC179,'06_Status_Pipeline'!$B$3:$E$20,4,FALSE)="",0,VLOOKUP(AC179,'06_Status_Pipeline'!$B$3:$E$20,4,FALSE)),""))</t>
        </is>
      </c>
      <c r="AG179" s="3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39" t="inlineStr">
        <is>
          <t>IF(OR(F179="",AC179="Completed / Handover",AC179="Cancelled"),"",IF(O179="Not awarded",IF(U179&lt;&gt;"",U179-TODAY(),IF(X179="","",X179-TODAY())),IF(X179="","",X179-TODAY())))</t>
        </is>
      </c>
      <c r="AI179" s="66" t="n"/>
      <c r="AJ179" s="66" t="n"/>
      <c r="AK179" s="66" t="n"/>
      <c r="AL179" s="66" t="n"/>
      <c r="AM179" s="66" t="n"/>
      <c r="AN179" s="66" t="n"/>
      <c r="AO179" s="66" t="n"/>
      <c r="AP179" s="66" t="n"/>
      <c r="AQ179" s="66" t="n">
        <v>45942</v>
      </c>
      <c r="AR179" s="66" t="n">
        <v>45942</v>
      </c>
      <c r="AS179" s="66" t="n">
        <v>46306</v>
      </c>
      <c r="AT179" s="40" t="n"/>
      <c r="AU179" s="40" t="n"/>
      <c r="AV179" s="40" t="n"/>
      <c r="AW179" s="39" t="inlineStr">
        <is>
          <t>IF(OR(F179="",AJ179=""),"",IF(COUNT(AI179:AI179)=0,"",AJ179-LOOKUP(2,1/(AI179:AI179&lt;&gt;""),AI179:AI179)))</t>
        </is>
      </c>
      <c r="AX179" s="39" t="inlineStr">
        <is>
          <t>IF(OR(F179="",AK179=""),"",IF(COUNT(AI179:AJ179)=0,"",AK179-LOOKUP(2,1/(AI179:AJ179&lt;&gt;""),AI179:AJ179)))</t>
        </is>
      </c>
      <c r="AY179" s="39" t="inlineStr">
        <is>
          <t>IF(OR(F179="",AL179=""),"",IF(COUNT(AI179:AK179)=0,"",AL179-LOOKUP(2,1/(AI179:AK179&lt;&gt;""),AI179:AK179)))</t>
        </is>
      </c>
      <c r="AZ179" s="39" t="inlineStr">
        <is>
          <t>IF(OR(F179="",AM179=""),"",IF(COUNT(AI179:AL179)=0,"",AM179-LOOKUP(2,1/(AI179:AL179&lt;&gt;""),AI179:AL179)))</t>
        </is>
      </c>
      <c r="BA179" s="39" t="inlineStr">
        <is>
          <t>IF(OR(F179="",AN179=""),"",IF(COUNT(AI179:AM179)=0,"",AN179-LOOKUP(2,1/(AI179:AM179&lt;&gt;""),AI179:AM179)))</t>
        </is>
      </c>
      <c r="BB179" s="39" t="inlineStr">
        <is>
          <t>IF(OR(F179="",AO179=""),"",IF(COUNT(AI179:AN179)=0,"",AO179-LOOKUP(2,1/(AI179:AN179&lt;&gt;""),AI179:AN179)))</t>
        </is>
      </c>
      <c r="BC179" s="39" t="inlineStr">
        <is>
          <t>IF(OR(F179="",AP179=""),"",IF(COUNT(AI179:AO179)=0,"",AP179-LOOKUP(2,1/(AI179:AO179&lt;&gt;""),AI179:AO179)))</t>
        </is>
      </c>
      <c r="BD179" s="39" t="inlineStr">
        <is>
          <t>IF(OR(F179="",AQ179=""),"",IF(COUNT(AI179:AP179)=0,"",AQ179-LOOKUP(2,1/(AI179:AP179&lt;&gt;""),AI179:AP179)))</t>
        </is>
      </c>
      <c r="BE179" s="39" t="inlineStr">
        <is>
          <t>IF(OR(F179="",AR179=""),"",IF(COUNT(AI179:AQ179)=0,"",AR179-LOOKUP(2,1/(AI179:AQ179&lt;&gt;""),AI179:AQ179)))</t>
        </is>
      </c>
      <c r="BF179" s="39" t="inlineStr">
        <is>
          <t>IF(OR(F179="",AS179=""),"",IF(COUNT(AI179:AR179)=0,"",AS179-LOOKUP(2,1/(AI179:AR179&lt;&gt;""),AI179:AR179)))</t>
        </is>
      </c>
      <c r="BG179" s="39" t="inlineStr">
        <is>
          <t>IF(OR(F179="",AT179=""),"",IF(COUNT(AI179:AS179)=0,"",AT179-LOOKUP(2,1/(AI179:AS179&lt;&gt;""),AI179:AS179)))</t>
        </is>
      </c>
      <c r="BH179" s="39" t="inlineStr">
        <is>
          <t>IF(OR(F179="",AU179=""),"",IF(COUNT(AI179:AT179)=0,"",AU179-LOOKUP(2,1/(AI179:AT179&lt;&gt;""),AI179:AT179)))</t>
        </is>
      </c>
      <c r="BI179" s="39" t="inlineStr">
        <is>
          <t>IF(OR(F179="",AV179=""),"",IF(COUNT(AI179:AU179)=0,"",AV179-LOOKUP(2,1/(AI179:AU179&lt;&gt;""),AI179:AU179)))</t>
        </is>
      </c>
      <c r="BJ179" s="41" t="inlineStr">
        <is>
          <t>IF(J179="","All_Provinces",IFERROR(VLOOKUP(J179,'09_Lookups'!$A$4:$B$20,2,FALSE),"All_Provinces"))</t>
        </is>
      </c>
      <c r="BK179" s="41" t="inlineStr">
        <is>
          <t>IF(K179="","All_Districts",IFERROR(VLOOKUP(K179,'09_Lookups'!$E$4:$F$42,2,FALSE),"All_Districts"))</t>
        </is>
      </c>
    </row>
    <row r="180" ht="18" customHeight="1">
      <c r="A180" s="32" t="inlineStr">
        <is>
          <t>IF(F180="","",ROW()-3)</t>
        </is>
      </c>
      <c r="B180" s="62" t="inlineStr">
        <is>
          <t>AF2-IS-21</t>
        </is>
      </c>
      <c r="C180" s="62" t="inlineStr">
        <is>
          <t>Package # 21-AF2 IS: Rehabilitation of Markazi Ziruk and Mulakh canal irrigation schemes, located in Ziruk and Yousaf Khil districts of Pakteka province.</t>
        </is>
      </c>
      <c r="D180" s="62" t="inlineStr">
        <is>
          <t>1 of 2</t>
        </is>
      </c>
      <c r="E180" s="34" t="inlineStr">
        <is>
          <t>AF2-IS-A-021</t>
        </is>
      </c>
      <c r="F180" s="34" t="inlineStr">
        <is>
          <t>Markazi Ziruk Irrigation Scheme (Off &amp; On-Farm Project)</t>
        </is>
      </c>
      <c r="G180" s="34" t="inlineStr">
        <is>
          <t>Irrigation Scheme</t>
        </is>
      </c>
      <c r="H180" s="34" t="inlineStr">
        <is>
          <t>Irrigation Canal</t>
        </is>
      </c>
      <c r="I180" s="34" t="inlineStr">
        <is>
          <t>Emergency Food Security Project (EFSP) – WBK/AF-2</t>
        </is>
      </c>
      <c r="J180" s="34" t="inlineStr">
        <is>
          <t>Southeast / Gardez</t>
        </is>
      </c>
      <c r="K180" s="34" t="inlineStr">
        <is>
          <t>Pakteka</t>
        </is>
      </c>
      <c r="L180" s="34" t="inlineStr">
        <is>
          <t>Ziruk</t>
        </is>
      </c>
      <c r="M180" s="34" t="inlineStr">
        <is>
          <t>Markazi Ziruk</t>
        </is>
      </c>
      <c r="N180" s="34" t="inlineStr">
        <is>
          <t>World Bank (WBK/AF-2)</t>
        </is>
      </c>
      <c r="O180" s="34" t="inlineStr">
        <is>
          <t>Awarded</t>
        </is>
      </c>
      <c r="P180" s="34" t="inlineStr">
        <is>
          <t>1.Awarded contracts_On&amp;off-farm</t>
        </is>
      </c>
      <c r="Q180" s="34" t="inlineStr">
        <is>
          <t>Farhad Matoonyar Construction Company (FMCC)</t>
        </is>
      </c>
      <c r="R180" s="34" t="inlineStr">
        <is>
          <t>038/2026</t>
        </is>
      </c>
      <c r="S180" s="35" t="n">
        <v>94650.11</v>
      </c>
      <c r="T180" s="36" t="inlineStr">
        <is>
          <t>IF(AQ180="","",AQ180)</t>
        </is>
      </c>
      <c r="U180" s="37" t="n"/>
      <c r="V180" s="38" t="n">
        <v>12</v>
      </c>
      <c r="W180" s="37" t="n">
        <v>46543</v>
      </c>
      <c r="X180" s="36" t="inlineStr">
        <is>
          <t>IF(W180&lt;&gt;"",W180,IF(OR(T180="",V180=""),"",EDATE(T180,V180)))</t>
        </is>
      </c>
      <c r="Y180" s="37" t="n"/>
      <c r="Z180" s="38" t="n">
        <v>20</v>
      </c>
      <c r="AA180" s="34" t="inlineStr">
        <is>
          <t>Under Construction</t>
        </is>
      </c>
      <c r="AB180" s="34" t="inlineStr">
        <is>
          <t>on track and will be completed by June 2027</t>
        </is>
      </c>
      <c r="AC180" s="32" t="inlineStr">
        <is>
          <t>IF(F180="","",IF(COUNT(AI180:AV180)=0,IF(AA180="","Not started",AA180),SUBSTITUTE(LOOKUP(2,1/(AI180:AV180&lt;&gt;""),$AI$3:$AV$3),"Date: ","")))</t>
        </is>
      </c>
      <c r="AD180" s="39" t="inlineStr">
        <is>
          <t>IF(OR(F180="",COUNT(AI180:AV180)=0),"",TODAY()-LOOKUP(2,1/(AI180:AV180&lt;&gt;""),AI180:AV180))</t>
        </is>
      </c>
      <c r="AE180" s="39" t="inlineStr">
        <is>
          <t>IF(OR(F180="",COUNT(AI180:AV180)&lt;2),"",LOOKUP(2,1/(AI180:AV180&lt;&gt;""),AI180:AV180)-MIN(AI180:AV180))</t>
        </is>
      </c>
      <c r="AF180" s="39" t="inlineStr">
        <is>
          <t>IF(OR(AD180="",AC180="Not started",AC180=""),"",IFERROR(AD180-IF(VLOOKUP(AC180,'06_Status_Pipeline'!$B$3:$E$20,4,FALSE)="",0,VLOOKUP(AC180,'06_Status_Pipeline'!$B$3:$E$20,4,FALSE)),""))</t>
        </is>
      </c>
      <c r="AG180" s="3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39" t="inlineStr">
        <is>
          <t>IF(OR(F180="",AC180="Completed / Handover",AC180="Cancelled"),"",IF(O180="Not awarded",IF(U180&lt;&gt;"",U180-TODAY(),IF(X180="","",X180-TODAY())),IF(X180="","",X180-TODAY())))</t>
        </is>
      </c>
      <c r="AI180" s="66" t="n"/>
      <c r="AJ180" s="66" t="n"/>
      <c r="AK180" s="66" t="n"/>
      <c r="AL180" s="66" t="n"/>
      <c r="AM180" s="66" t="n"/>
      <c r="AN180" s="66" t="n"/>
      <c r="AO180" s="66" t="n"/>
      <c r="AP180" s="66" t="n"/>
      <c r="AQ180" s="66" t="n">
        <v>46179</v>
      </c>
      <c r="AR180" s="66" t="n">
        <v>46179</v>
      </c>
      <c r="AS180" s="66" t="n"/>
      <c r="AT180" s="40" t="n"/>
      <c r="AU180" s="40" t="n"/>
      <c r="AV180" s="40" t="n"/>
      <c r="AW180" s="39" t="inlineStr">
        <is>
          <t>IF(OR(F180="",AJ180=""),"",IF(COUNT(AI180:AI180)=0,"",AJ180-LOOKUP(2,1/(AI180:AI180&lt;&gt;""),AI180:AI180)))</t>
        </is>
      </c>
      <c r="AX180" s="39" t="inlineStr">
        <is>
          <t>IF(OR(F180="",AK180=""),"",IF(COUNT(AI180:AJ180)=0,"",AK180-LOOKUP(2,1/(AI180:AJ180&lt;&gt;""),AI180:AJ180)))</t>
        </is>
      </c>
      <c r="AY180" s="39" t="inlineStr">
        <is>
          <t>IF(OR(F180="",AL180=""),"",IF(COUNT(AI180:AK180)=0,"",AL180-LOOKUP(2,1/(AI180:AK180&lt;&gt;""),AI180:AK180)))</t>
        </is>
      </c>
      <c r="AZ180" s="39" t="inlineStr">
        <is>
          <t>IF(OR(F180="",AM180=""),"",IF(COUNT(AI180:AL180)=0,"",AM180-LOOKUP(2,1/(AI180:AL180&lt;&gt;""),AI180:AL180)))</t>
        </is>
      </c>
      <c r="BA180" s="39" t="inlineStr">
        <is>
          <t>IF(OR(F180="",AN180=""),"",IF(COUNT(AI180:AM180)=0,"",AN180-LOOKUP(2,1/(AI180:AM180&lt;&gt;""),AI180:AM180)))</t>
        </is>
      </c>
      <c r="BB180" s="39" t="inlineStr">
        <is>
          <t>IF(OR(F180="",AO180=""),"",IF(COUNT(AI180:AN180)=0,"",AO180-LOOKUP(2,1/(AI180:AN180&lt;&gt;""),AI180:AN180)))</t>
        </is>
      </c>
      <c r="BC180" s="39" t="inlineStr">
        <is>
          <t>IF(OR(F180="",AP180=""),"",IF(COUNT(AI180:AO180)=0,"",AP180-LOOKUP(2,1/(AI180:AO180&lt;&gt;""),AI180:AO180)))</t>
        </is>
      </c>
      <c r="BD180" s="39" t="inlineStr">
        <is>
          <t>IF(OR(F180="",AQ180=""),"",IF(COUNT(AI180:AP180)=0,"",AQ180-LOOKUP(2,1/(AI180:AP180&lt;&gt;""),AI180:AP180)))</t>
        </is>
      </c>
      <c r="BE180" s="39" t="inlineStr">
        <is>
          <t>IF(OR(F180="",AR180=""),"",IF(COUNT(AI180:AQ180)=0,"",AR180-LOOKUP(2,1/(AI180:AQ180&lt;&gt;""),AI180:AQ180)))</t>
        </is>
      </c>
      <c r="BF180" s="39" t="inlineStr">
        <is>
          <t>IF(OR(F180="",AS180=""),"",IF(COUNT(AI180:AR180)=0,"",AS180-LOOKUP(2,1/(AI180:AR180&lt;&gt;""),AI180:AR180)))</t>
        </is>
      </c>
      <c r="BG180" s="39" t="inlineStr">
        <is>
          <t>IF(OR(F180="",AT180=""),"",IF(COUNT(AI180:AS180)=0,"",AT180-LOOKUP(2,1/(AI180:AS180&lt;&gt;""),AI180:AS180)))</t>
        </is>
      </c>
      <c r="BH180" s="39" t="inlineStr">
        <is>
          <t>IF(OR(F180="",AU180=""),"",IF(COUNT(AI180:AT180)=0,"",AU180-LOOKUP(2,1/(AI180:AT180&lt;&gt;""),AI180:AT180)))</t>
        </is>
      </c>
      <c r="BI180" s="39" t="inlineStr">
        <is>
          <t>IF(OR(F180="",AV180=""),"",IF(COUNT(AI180:AU180)=0,"",AV180-LOOKUP(2,1/(AI180:AU180&lt;&gt;""),AI180:AU180)))</t>
        </is>
      </c>
      <c r="BJ180" s="41" t="inlineStr">
        <is>
          <t>IF(J180="","All_Provinces",IFERROR(VLOOKUP(J180,'09_Lookups'!$A$4:$B$20,2,FALSE),"All_Provinces"))</t>
        </is>
      </c>
      <c r="BK180" s="41" t="inlineStr">
        <is>
          <t>IF(K180="","All_Districts",IFERROR(VLOOKUP(K180,'09_Lookups'!$E$4:$F$42,2,FALSE),"All_Districts"))</t>
        </is>
      </c>
    </row>
    <row r="181" outlineLevel="1" ht="18" customHeight="1">
      <c r="A181" s="42" t="inlineStr">
        <is>
          <t>IF(F181="","",ROW()-3)</t>
        </is>
      </c>
      <c r="B181" s="63" t="inlineStr">
        <is>
          <t>AF2-IS-21</t>
        </is>
      </c>
      <c r="C181" s="63" t="inlineStr">
        <is>
          <t>Package # 21-AF2 IS: Rehabilitation of Markazi Ziruk and Mulakh canal irrigation schemes, located in Ziruk and Yousaf Khil districts of Pakteka province.</t>
        </is>
      </c>
      <c r="D181" s="63" t="inlineStr">
        <is>
          <t>2 of 2</t>
        </is>
      </c>
      <c r="E181" s="44" t="inlineStr">
        <is>
          <t>AF2-IS-A-022</t>
        </is>
      </c>
      <c r="F181" s="44" t="inlineStr">
        <is>
          <t>Mulakh Irrigation Scheme (On- Farm Project)</t>
        </is>
      </c>
      <c r="G181" s="44" t="inlineStr">
        <is>
          <t>Irrigation Scheme</t>
        </is>
      </c>
      <c r="H181" s="44" t="inlineStr">
        <is>
          <t>Irrigation Canal</t>
        </is>
      </c>
      <c r="I181" s="44" t="inlineStr">
        <is>
          <t>Emergency Food Security Project (EFSP) – WBK/AF-2</t>
        </is>
      </c>
      <c r="J181" s="44" t="inlineStr">
        <is>
          <t>Southeast / Gardez</t>
        </is>
      </c>
      <c r="K181" s="44" t="inlineStr"/>
      <c r="L181" s="44" t="inlineStr">
        <is>
          <t>Yousaf Khil</t>
        </is>
      </c>
      <c r="M181" s="44" t="inlineStr">
        <is>
          <t>Mest</t>
        </is>
      </c>
      <c r="N181" s="44" t="inlineStr">
        <is>
          <t>World Bank (WBK/AF-2)</t>
        </is>
      </c>
      <c r="O181" s="44" t="inlineStr">
        <is>
          <t>Awarded</t>
        </is>
      </c>
      <c r="P181" s="44" t="inlineStr">
        <is>
          <t>1.Awarded contracts_On&amp;off-farm</t>
        </is>
      </c>
      <c r="Q181" s="44" t="inlineStr">
        <is>
          <t>Farhad Matoonyar Construction Company (FMCC)</t>
        </is>
      </c>
      <c r="R181" s="44" t="inlineStr">
        <is>
          <t>038/2026</t>
        </is>
      </c>
      <c r="S181" s="45" t="n">
        <v>239482.14</v>
      </c>
      <c r="T181" s="46" t="inlineStr">
        <is>
          <t>IF(AQ181="","",AQ181)</t>
        </is>
      </c>
      <c r="U181" s="47" t="n"/>
      <c r="V181" s="48" t="n">
        <v>12</v>
      </c>
      <c r="W181" s="47" t="n">
        <v>46543</v>
      </c>
      <c r="X181" s="46" t="inlineStr">
        <is>
          <t>IF(W181&lt;&gt;"",W181,IF(OR(T181="",V181=""),"",EDATE(T181,V181)))</t>
        </is>
      </c>
      <c r="Y181" s="47" t="n"/>
      <c r="Z181" s="48" t="n">
        <v>30</v>
      </c>
      <c r="AA181" s="44" t="inlineStr">
        <is>
          <t>Under Construction</t>
        </is>
      </c>
      <c r="AB181" s="44" t="inlineStr">
        <is>
          <t>on track and will be completed by June 2027</t>
        </is>
      </c>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67" t="n"/>
      <c r="AJ181" s="67" t="n"/>
      <c r="AK181" s="67" t="n"/>
      <c r="AL181" s="67" t="n"/>
      <c r="AM181" s="67" t="n"/>
      <c r="AN181" s="67" t="n"/>
      <c r="AO181" s="67" t="n"/>
      <c r="AP181" s="67" t="n"/>
      <c r="AQ181" s="67" t="n">
        <v>46179</v>
      </c>
      <c r="AR181" s="67" t="n">
        <v>46179</v>
      </c>
      <c r="AS181" s="6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32" t="inlineStr">
        <is>
          <t>IF(F182="","",ROW()-3)</t>
        </is>
      </c>
      <c r="B182" s="64" t="inlineStr">
        <is>
          <t>AF2-IS-22</t>
        </is>
      </c>
      <c r="C182" s="64" t="inlineStr">
        <is>
          <t>Package # 22-AF2 IS: Rehabilitation of Gero canal irrigation scheme, located in Center and Qarabagh districts of Ghazni province.</t>
        </is>
      </c>
      <c r="D182" s="64" t="inlineStr">
        <is>
          <t>1 of 1</t>
        </is>
      </c>
      <c r="E182" s="34" t="inlineStr">
        <is>
          <t>AF2-IS-N-018</t>
        </is>
      </c>
      <c r="F182" s="34" t="inlineStr">
        <is>
          <t>Gero Irrigation Scheme (Off &amp; On-Farm Project) Gero&amp;Qarabagh</t>
        </is>
      </c>
      <c r="G182" s="34" t="inlineStr">
        <is>
          <t>Irrigation Scheme</t>
        </is>
      </c>
      <c r="H182" s="34" t="inlineStr">
        <is>
          <t>Irrigation Canal</t>
        </is>
      </c>
      <c r="I182" s="34" t="inlineStr">
        <is>
          <t>Emergency Food Security Project (EFSP) – WBK/AF-2</t>
        </is>
      </c>
      <c r="J182" s="34" t="inlineStr">
        <is>
          <t>Central Highland / Bamyan</t>
        </is>
      </c>
      <c r="K182" s="34" t="inlineStr">
        <is>
          <t>Ghazni</t>
        </is>
      </c>
      <c r="L182" s="34" t="inlineStr">
        <is>
          <t>Center</t>
        </is>
      </c>
      <c r="M182" s="34" t="inlineStr">
        <is>
          <t>Gero</t>
        </is>
      </c>
      <c r="N182" s="34" t="inlineStr">
        <is>
          <t>World Bank (WBK/AF-2)</t>
        </is>
      </c>
      <c r="O182" s="34" t="inlineStr">
        <is>
          <t>Not awarded</t>
        </is>
      </c>
      <c r="P182" s="34" t="inlineStr">
        <is>
          <t>2.Remain contracts_On&amp;off-farm</t>
        </is>
      </c>
      <c r="Q182" s="34" t="inlineStr"/>
      <c r="R182" s="34" t="inlineStr"/>
      <c r="S182" s="35" t="n">
        <v>290000</v>
      </c>
      <c r="T182" s="36" t="inlineStr">
        <is>
          <t>IF(AQ182="","",AQ182)</t>
        </is>
      </c>
      <c r="U182" s="37" t="n">
        <v>46384</v>
      </c>
      <c r="V182" s="38" t="n">
        <v>9.9</v>
      </c>
      <c r="W182" s="37" t="n">
        <v>46684</v>
      </c>
      <c r="X182" s="36" t="inlineStr">
        <is>
          <t>IF(W182&lt;&gt;"",W182,IF(OR(T182="",V182=""),"",EDATE(T182,V182)))</t>
        </is>
      </c>
      <c r="Y182" s="37" t="n"/>
      <c r="Z182" s="38" t="n"/>
      <c r="AA182" s="34" t="inlineStr">
        <is>
          <t>Under LTO Review</t>
        </is>
      </c>
      <c r="AB182" s="34" t="inlineStr">
        <is>
          <t>Three months slack period Jan-Mar during winter. Seven months construction period required for two canals in two districts</t>
        </is>
      </c>
      <c r="AC182" s="32" t="inlineStr">
        <is>
          <t>IF(F182="","",IF(COUNT(AI182:AV182)=0,IF(AA182="","Not started",AA182),SUBSTITUTE(LOOKUP(2,1/(AI182:AV182&lt;&gt;""),$AI$3:$AV$3),"Date: ","")))</t>
        </is>
      </c>
      <c r="AD182" s="39" t="inlineStr">
        <is>
          <t>IF(OR(F182="",COUNT(AI182:AV182)=0),"",TODAY()-LOOKUP(2,1/(AI182:AV182&lt;&gt;""),AI182:AV182))</t>
        </is>
      </c>
      <c r="AE182" s="39" t="inlineStr">
        <is>
          <t>IF(OR(F182="",COUNT(AI182:AV182)&lt;2),"",LOOKUP(2,1/(AI182:AV182&lt;&gt;""),AI182:AV182)-MIN(AI182:AV182))</t>
        </is>
      </c>
      <c r="AF182" s="39" t="inlineStr">
        <is>
          <t>IF(OR(AD182="",AC182="Not started",AC182=""),"",IFERROR(AD182-IF(VLOOKUP(AC182,'06_Status_Pipeline'!$B$3:$E$20,4,FALSE)="",0,VLOOKUP(AC182,'06_Status_Pipeline'!$B$3:$E$20,4,FALSE)),""))</t>
        </is>
      </c>
      <c r="AG182" s="3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39" t="inlineStr">
        <is>
          <t>IF(OR(F182="",AC182="Completed / Handover",AC182="Cancelled"),"",IF(O182="Not awarded",IF(U182&lt;&gt;"",U182-TODAY(),IF(X182="","",X182-TODAY())),IF(X182="","",X182-TODAY())))</t>
        </is>
      </c>
      <c r="AI182" s="37" t="n"/>
      <c r="AJ182" s="37" t="n"/>
      <c r="AK182" s="37" t="n"/>
      <c r="AL182" s="37" t="n"/>
      <c r="AM182" s="37" t="n"/>
      <c r="AN182" s="37" t="n"/>
      <c r="AO182" s="37" t="n"/>
      <c r="AP182" s="37" t="n"/>
      <c r="AQ182" s="37" t="n"/>
      <c r="AR182" s="37" t="n"/>
      <c r="AS182" s="37" t="n"/>
      <c r="AT182" s="40" t="n"/>
      <c r="AU182" s="40" t="n"/>
      <c r="AV182" s="40" t="n"/>
      <c r="AW182" s="39" t="inlineStr">
        <is>
          <t>IF(OR(F182="",AJ182=""),"",IF(COUNT(AI182:AI182)=0,"",AJ182-LOOKUP(2,1/(AI182:AI182&lt;&gt;""),AI182:AI182)))</t>
        </is>
      </c>
      <c r="AX182" s="39" t="inlineStr">
        <is>
          <t>IF(OR(F182="",AK182=""),"",IF(COUNT(AI182:AJ182)=0,"",AK182-LOOKUP(2,1/(AI182:AJ182&lt;&gt;""),AI182:AJ182)))</t>
        </is>
      </c>
      <c r="AY182" s="39" t="inlineStr">
        <is>
          <t>IF(OR(F182="",AL182=""),"",IF(COUNT(AI182:AK182)=0,"",AL182-LOOKUP(2,1/(AI182:AK182&lt;&gt;""),AI182:AK182)))</t>
        </is>
      </c>
      <c r="AZ182" s="39" t="inlineStr">
        <is>
          <t>IF(OR(F182="",AM182=""),"",IF(COUNT(AI182:AL182)=0,"",AM182-LOOKUP(2,1/(AI182:AL182&lt;&gt;""),AI182:AL182)))</t>
        </is>
      </c>
      <c r="BA182" s="39" t="inlineStr">
        <is>
          <t>IF(OR(F182="",AN182=""),"",IF(COUNT(AI182:AM182)=0,"",AN182-LOOKUP(2,1/(AI182:AM182&lt;&gt;""),AI182:AM182)))</t>
        </is>
      </c>
      <c r="BB182" s="39" t="inlineStr">
        <is>
          <t>IF(OR(F182="",AO182=""),"",IF(COUNT(AI182:AN182)=0,"",AO182-LOOKUP(2,1/(AI182:AN182&lt;&gt;""),AI182:AN182)))</t>
        </is>
      </c>
      <c r="BC182" s="39" t="inlineStr">
        <is>
          <t>IF(OR(F182="",AP182=""),"",IF(COUNT(AI182:AO182)=0,"",AP182-LOOKUP(2,1/(AI182:AO182&lt;&gt;""),AI182:AO182)))</t>
        </is>
      </c>
      <c r="BD182" s="39" t="inlineStr">
        <is>
          <t>IF(OR(F182="",AQ182=""),"",IF(COUNT(AI182:AP182)=0,"",AQ182-LOOKUP(2,1/(AI182:AP182&lt;&gt;""),AI182:AP182)))</t>
        </is>
      </c>
      <c r="BE182" s="39" t="inlineStr">
        <is>
          <t>IF(OR(F182="",AR182=""),"",IF(COUNT(AI182:AQ182)=0,"",AR182-LOOKUP(2,1/(AI182:AQ182&lt;&gt;""),AI182:AQ182)))</t>
        </is>
      </c>
      <c r="BF182" s="39" t="inlineStr">
        <is>
          <t>IF(OR(F182="",AS182=""),"",IF(COUNT(AI182:AR182)=0,"",AS182-LOOKUP(2,1/(AI182:AR182&lt;&gt;""),AI182:AR182)))</t>
        </is>
      </c>
      <c r="BG182" s="39" t="inlineStr">
        <is>
          <t>IF(OR(F182="",AT182=""),"",IF(COUNT(AI182:AS182)=0,"",AT182-LOOKUP(2,1/(AI182:AS182&lt;&gt;""),AI182:AS182)))</t>
        </is>
      </c>
      <c r="BH182" s="39" t="inlineStr">
        <is>
          <t>IF(OR(F182="",AU182=""),"",IF(COUNT(AI182:AT182)=0,"",AU182-LOOKUP(2,1/(AI182:AT182&lt;&gt;""),AI182:AT182)))</t>
        </is>
      </c>
      <c r="BI182" s="39" t="inlineStr">
        <is>
          <t>IF(OR(F182="",AV182=""),"",IF(COUNT(AI182:AU182)=0,"",AV182-LOOKUP(2,1/(AI182:AU182&lt;&gt;""),AI182:AU182)))</t>
        </is>
      </c>
      <c r="BJ182" s="41" t="inlineStr">
        <is>
          <t>IF(J182="","All_Provinces",IFERROR(VLOOKUP(J182,'09_Lookups'!$A$4:$B$20,2,FALSE),"All_Provinces"))</t>
        </is>
      </c>
      <c r="BK182" s="41" t="inlineStr">
        <is>
          <t>IF(K182="","All_Districts",IFERROR(VLOOKUP(K182,'09_Lookups'!$E$4:$F$42,2,FALSE),"All_Districts"))</t>
        </is>
      </c>
    </row>
    <row r="183" ht="18" customHeight="1">
      <c r="A183" s="32" t="inlineStr">
        <is>
          <t>IF(F183="","",ROW()-3)</t>
        </is>
      </c>
      <c r="B183" s="33" t="inlineStr">
        <is>
          <t>AF2-IS-23</t>
        </is>
      </c>
      <c r="C183" s="33" t="inlineStr">
        <is>
          <t>Package #23-AF2 IS: Rehabilitation of Patab canal irrigation schemes, located in Khas Urozgan of Urozgan province.</t>
        </is>
      </c>
      <c r="D183" s="33" t="inlineStr">
        <is>
          <t>1 of 1</t>
        </is>
      </c>
      <c r="E183" s="57" t="inlineStr">
        <is>
          <t>AF2-IS-N-019</t>
        </is>
      </c>
      <c r="F183" s="57" t="inlineStr">
        <is>
          <t>Patab Irrigation Schem</t>
        </is>
      </c>
      <c r="G183" s="57" t="inlineStr">
        <is>
          <t>Irrigation Scheme</t>
        </is>
      </c>
      <c r="H183" s="57" t="inlineStr">
        <is>
          <t>Irrigation Canal</t>
        </is>
      </c>
      <c r="I183" s="57" t="inlineStr">
        <is>
          <t>Emergency Food Security Project (EFSP) – WBK/AF-2</t>
        </is>
      </c>
      <c r="J183" s="57" t="inlineStr">
        <is>
          <t>Central Highland / Bamyan</t>
        </is>
      </c>
      <c r="K183" s="57" t="inlineStr">
        <is>
          <t>Urozgan</t>
        </is>
      </c>
      <c r="L183" s="57" t="inlineStr">
        <is>
          <t>Khas Urozgan</t>
        </is>
      </c>
      <c r="M183" s="57" t="inlineStr">
        <is>
          <t>Patab</t>
        </is>
      </c>
      <c r="N183" s="57" t="inlineStr">
        <is>
          <t>World Bank (WBK/AF-2)</t>
        </is>
      </c>
      <c r="O183" s="57" t="inlineStr">
        <is>
          <t>Not awarded</t>
        </is>
      </c>
      <c r="P183" s="57" t="inlineStr">
        <is>
          <t>2.Remain contracts_On&amp;off-farm</t>
        </is>
      </c>
      <c r="Q183" s="57" t="inlineStr"/>
      <c r="R183" s="57" t="inlineStr"/>
      <c r="S183" s="58" t="n">
        <v>290442.55</v>
      </c>
      <c r="T183" s="36" t="inlineStr">
        <is>
          <t>IF(AQ183="","",AQ183)</t>
        </is>
      </c>
      <c r="U183" s="59" t="n">
        <v>46371</v>
      </c>
      <c r="V183" s="60" t="n">
        <v>8.9</v>
      </c>
      <c r="W183" s="59" t="n">
        <v>46641</v>
      </c>
      <c r="X183" s="36" t="inlineStr">
        <is>
          <t>IF(W183&lt;&gt;"",W183,IF(OR(T183="",V183=""),"",EDATE(T183,V183)))</t>
        </is>
      </c>
      <c r="Y183" s="59" t="n"/>
      <c r="Z183" s="60" t="n"/>
      <c r="AA183" s="57" t="inlineStr">
        <is>
          <t>Retendered (Re-ITB)</t>
        </is>
      </c>
      <c r="AB183" s="57" t="inlineStr">
        <is>
          <t>The submitted work plan to be revised</t>
        </is>
      </c>
      <c r="AC183" s="32" t="inlineStr">
        <is>
          <t>IF(F183="","",IF(COUNT(AI183:AV183)=0,IF(AA183="","Not started",AA183),SUBSTITUTE(LOOKUP(2,1/(AI183:AV183&lt;&gt;""),$AI$3:$AV$3),"Date: ","")))</t>
        </is>
      </c>
      <c r="AD183" s="39" t="inlineStr">
        <is>
          <t>IF(OR(F183="",COUNT(AI183:AV183)=0),"",TODAY()-LOOKUP(2,1/(AI183:AV183&lt;&gt;""),AI183:AV183))</t>
        </is>
      </c>
      <c r="AE183" s="39" t="inlineStr">
        <is>
          <t>IF(OR(F183="",COUNT(AI183:AV183)&lt;2),"",LOOKUP(2,1/(AI183:AV183&lt;&gt;""),AI183:AV183)-MIN(AI183:AV183))</t>
        </is>
      </c>
      <c r="AF183" s="39" t="inlineStr">
        <is>
          <t>IF(OR(AD183="",AC183="Not started",AC183=""),"",IFERROR(AD183-IF(VLOOKUP(AC183,'06_Status_Pipeline'!$B$3:$E$20,4,FALSE)="",0,VLOOKUP(AC183,'06_Status_Pipeline'!$B$3:$E$20,4,FALSE)),""))</t>
        </is>
      </c>
      <c r="AG183" s="3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39" t="inlineStr">
        <is>
          <t>IF(OR(F183="",AC183="Completed / Handover",AC183="Cancelled"),"",IF(O183="Not awarded",IF(U183&lt;&gt;"",U183-TODAY(),IF(X183="","",X183-TODAY())),IF(X183="","",X183-TODAY())))</t>
        </is>
      </c>
      <c r="AI183" s="59" t="n"/>
      <c r="AJ183" s="59" t="n"/>
      <c r="AK183" s="59" t="n"/>
      <c r="AL183" s="59" t="n"/>
      <c r="AM183" s="59" t="n"/>
      <c r="AN183" s="59" t="n"/>
      <c r="AO183" s="59" t="n"/>
      <c r="AP183" s="59" t="n"/>
      <c r="AQ183" s="59" t="n"/>
      <c r="AR183" s="59" t="n"/>
      <c r="AS183" s="59" t="n"/>
      <c r="AT183" s="40" t="n"/>
      <c r="AU183" s="40" t="n"/>
      <c r="AV183" s="40" t="n"/>
      <c r="AW183" s="39" t="inlineStr">
        <is>
          <t>IF(OR(F183="",AJ183=""),"",IF(COUNT(AI183:AI183)=0,"",AJ183-LOOKUP(2,1/(AI183:AI183&lt;&gt;""),AI183:AI183)))</t>
        </is>
      </c>
      <c r="AX183" s="39" t="inlineStr">
        <is>
          <t>IF(OR(F183="",AK183=""),"",IF(COUNT(AI183:AJ183)=0,"",AK183-LOOKUP(2,1/(AI183:AJ183&lt;&gt;""),AI183:AJ183)))</t>
        </is>
      </c>
      <c r="AY183" s="39" t="inlineStr">
        <is>
          <t>IF(OR(F183="",AL183=""),"",IF(COUNT(AI183:AK183)=0,"",AL183-LOOKUP(2,1/(AI183:AK183&lt;&gt;""),AI183:AK183)))</t>
        </is>
      </c>
      <c r="AZ183" s="39" t="inlineStr">
        <is>
          <t>IF(OR(F183="",AM183=""),"",IF(COUNT(AI183:AL183)=0,"",AM183-LOOKUP(2,1/(AI183:AL183&lt;&gt;""),AI183:AL183)))</t>
        </is>
      </c>
      <c r="BA183" s="39" t="inlineStr">
        <is>
          <t>IF(OR(F183="",AN183=""),"",IF(COUNT(AI183:AM183)=0,"",AN183-LOOKUP(2,1/(AI183:AM183&lt;&gt;""),AI183:AM183)))</t>
        </is>
      </c>
      <c r="BB183" s="39" t="inlineStr">
        <is>
          <t>IF(OR(F183="",AO183=""),"",IF(COUNT(AI183:AN183)=0,"",AO183-LOOKUP(2,1/(AI183:AN183&lt;&gt;""),AI183:AN183)))</t>
        </is>
      </c>
      <c r="BC183" s="39" t="inlineStr">
        <is>
          <t>IF(OR(F183="",AP183=""),"",IF(COUNT(AI183:AO183)=0,"",AP183-LOOKUP(2,1/(AI183:AO183&lt;&gt;""),AI183:AO183)))</t>
        </is>
      </c>
      <c r="BD183" s="39" t="inlineStr">
        <is>
          <t>IF(OR(F183="",AQ183=""),"",IF(COUNT(AI183:AP183)=0,"",AQ183-LOOKUP(2,1/(AI183:AP183&lt;&gt;""),AI183:AP183)))</t>
        </is>
      </c>
      <c r="BE183" s="39" t="inlineStr">
        <is>
          <t>IF(OR(F183="",AR183=""),"",IF(COUNT(AI183:AQ183)=0,"",AR183-LOOKUP(2,1/(AI183:AQ183&lt;&gt;""),AI183:AQ183)))</t>
        </is>
      </c>
      <c r="BF183" s="39" t="inlineStr">
        <is>
          <t>IF(OR(F183="",AS183=""),"",IF(COUNT(AI183:AR183)=0,"",AS183-LOOKUP(2,1/(AI183:AR183&lt;&gt;""),AI183:AR183)))</t>
        </is>
      </c>
      <c r="BG183" s="39" t="inlineStr">
        <is>
          <t>IF(OR(F183="",AT183=""),"",IF(COUNT(AI183:AS183)=0,"",AT183-LOOKUP(2,1/(AI183:AS183&lt;&gt;""),AI183:AS183)))</t>
        </is>
      </c>
      <c r="BH183" s="39" t="inlineStr">
        <is>
          <t>IF(OR(F183="",AU183=""),"",IF(COUNT(AI183:AT183)=0,"",AU183-LOOKUP(2,1/(AI183:AT183&lt;&gt;""),AI183:AT183)))</t>
        </is>
      </c>
      <c r="BI183" s="39" t="inlineStr">
        <is>
          <t>IF(OR(F183="",AV183=""),"",IF(COUNT(AI183:AU183)=0,"",AV183-LOOKUP(2,1/(AI183:AU183&lt;&gt;""),AI183:AU183)))</t>
        </is>
      </c>
      <c r="BJ183" s="41" t="inlineStr">
        <is>
          <t>IF(J183="","All_Provinces",IFERROR(VLOOKUP(J183,'09_Lookups'!$A$4:$B$20,2,FALSE),"All_Provinces"))</t>
        </is>
      </c>
      <c r="BK183" s="41" t="inlineStr">
        <is>
          <t>IF(K183="","All_Districts",IFERROR(VLOOKUP(K183,'09_Lookups'!$E$4:$F$42,2,FALSE),"All_Districts"))</t>
        </is>
      </c>
    </row>
    <row r="184" ht="18" customHeight="1">
      <c r="A184" s="32" t="inlineStr">
        <is>
          <t>IF(F184="","",ROW()-3)</t>
        </is>
      </c>
      <c r="B184" s="56" t="inlineStr">
        <is>
          <t>AF2-IS-24</t>
        </is>
      </c>
      <c r="C184" s="56" t="inlineStr">
        <is>
          <t>Package #24-AF2 IS: Rehabilitation of Shajoy canal and Sar Nary canal irrigation schemes, located in Dayee Chopan and Arghandab districts of Zabul province.</t>
        </is>
      </c>
      <c r="D184" s="56" t="inlineStr">
        <is>
          <t>1 of 2</t>
        </is>
      </c>
      <c r="E184" s="34" t="inlineStr">
        <is>
          <t>AF2-IS-N-020</t>
        </is>
      </c>
      <c r="F184" s="34" t="inlineStr">
        <is>
          <t>Sar Nary Canals Irrigation Scheme</t>
        </is>
      </c>
      <c r="G184" s="34" t="inlineStr">
        <is>
          <t>Irrigation Scheme</t>
        </is>
      </c>
      <c r="H184" s="34" t="inlineStr">
        <is>
          <t>Irrigation Canal</t>
        </is>
      </c>
      <c r="I184" s="34" t="inlineStr">
        <is>
          <t>Emergency Food Security Project (EFSP) – WBK/AF-2</t>
        </is>
      </c>
      <c r="J184" s="34" t="inlineStr">
        <is>
          <t>Central Highland / Bamyan</t>
        </is>
      </c>
      <c r="K184" s="34" t="inlineStr">
        <is>
          <t>Zabul</t>
        </is>
      </c>
      <c r="L184" s="34" t="inlineStr">
        <is>
          <t>Arghandab</t>
        </is>
      </c>
      <c r="M184" s="34" t="inlineStr">
        <is>
          <t>-</t>
        </is>
      </c>
      <c r="N184" s="34" t="inlineStr">
        <is>
          <t>World Bank (WBK/AF-2)</t>
        </is>
      </c>
      <c r="O184" s="34" t="inlineStr">
        <is>
          <t>Not awarded</t>
        </is>
      </c>
      <c r="P184" s="34" t="inlineStr">
        <is>
          <t>2.Remain contracts_On&amp;off-farm</t>
        </is>
      </c>
      <c r="Q184" s="34" t="inlineStr"/>
      <c r="R184" s="34" t="inlineStr"/>
      <c r="S184" s="35" t="n">
        <v>295000</v>
      </c>
      <c r="T184" s="36" t="inlineStr">
        <is>
          <t>IF(AQ184="","",AQ184)</t>
        </is>
      </c>
      <c r="U184" s="37" t="n">
        <v>46376</v>
      </c>
      <c r="V184" s="38" t="n">
        <v>8.9</v>
      </c>
      <c r="W184" s="37" t="n">
        <v>46646</v>
      </c>
      <c r="X184" s="36" t="inlineStr">
        <is>
          <t>IF(W184&lt;&gt;"",W184,IF(OR(T184="",V184=""),"",EDATE(T184,V184)))</t>
        </is>
      </c>
      <c r="Y184" s="37" t="n"/>
      <c r="Z184" s="38" t="n"/>
      <c r="AA184" s="34" t="inlineStr">
        <is>
          <t>Under Design</t>
        </is>
      </c>
      <c r="AB184" s="34" t="inlineStr">
        <is>
          <t>Three months slack period Jan-Mar during winter. Six months construction period required for two canals in two districts. Explore splitting into two lots and if one lot ready then raise PR.</t>
        </is>
      </c>
      <c r="AC184" s="32" t="inlineStr">
        <is>
          <t>IF(F184="","",IF(COUNT(AI184:AV184)=0,IF(AA184="","Not started",AA184),SUBSTITUTE(LOOKUP(2,1/(AI184:AV184&lt;&gt;""),$AI$3:$AV$3),"Date: ","")))</t>
        </is>
      </c>
      <c r="AD184" s="39" t="inlineStr">
        <is>
          <t>IF(OR(F184="",COUNT(AI184:AV184)=0),"",TODAY()-LOOKUP(2,1/(AI184:AV184&lt;&gt;""),AI184:AV184))</t>
        </is>
      </c>
      <c r="AE184" s="39" t="inlineStr">
        <is>
          <t>IF(OR(F184="",COUNT(AI184:AV184)&lt;2),"",LOOKUP(2,1/(AI184:AV184&lt;&gt;""),AI184:AV184)-MIN(AI184:AV184))</t>
        </is>
      </c>
      <c r="AF184" s="39" t="inlineStr">
        <is>
          <t>IF(OR(AD184="",AC184="Not started",AC184=""),"",IFERROR(AD184-IF(VLOOKUP(AC184,'06_Status_Pipeline'!$B$3:$E$20,4,FALSE)="",0,VLOOKUP(AC184,'06_Status_Pipeline'!$B$3:$E$20,4,FALSE)),""))</t>
        </is>
      </c>
      <c r="AG184" s="3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39" t="inlineStr">
        <is>
          <t>IF(OR(F184="",AC184="Completed / Handover",AC184="Cancelled"),"",IF(O184="Not awarded",IF(U184&lt;&gt;"",U184-TODAY(),IF(X184="","",X184-TODAY())),IF(X184="","",X184-TODAY())))</t>
        </is>
      </c>
      <c r="AI184" s="37" t="n"/>
      <c r="AJ184" s="37" t="n"/>
      <c r="AK184" s="37" t="n"/>
      <c r="AL184" s="37" t="n"/>
      <c r="AM184" s="37" t="n"/>
      <c r="AN184" s="37" t="n"/>
      <c r="AO184" s="37" t="n"/>
      <c r="AP184" s="37" t="n"/>
      <c r="AQ184" s="37" t="n"/>
      <c r="AR184" s="37" t="n"/>
      <c r="AS184" s="37" t="n"/>
      <c r="AT184" s="40" t="n"/>
      <c r="AU184" s="40" t="n"/>
      <c r="AV184" s="40" t="n"/>
      <c r="AW184" s="39" t="inlineStr">
        <is>
          <t>IF(OR(F184="",AJ184=""),"",IF(COUNT(AI184:AI184)=0,"",AJ184-LOOKUP(2,1/(AI184:AI184&lt;&gt;""),AI184:AI184)))</t>
        </is>
      </c>
      <c r="AX184" s="39" t="inlineStr">
        <is>
          <t>IF(OR(F184="",AK184=""),"",IF(COUNT(AI184:AJ184)=0,"",AK184-LOOKUP(2,1/(AI184:AJ184&lt;&gt;""),AI184:AJ184)))</t>
        </is>
      </c>
      <c r="AY184" s="39" t="inlineStr">
        <is>
          <t>IF(OR(F184="",AL184=""),"",IF(COUNT(AI184:AK184)=0,"",AL184-LOOKUP(2,1/(AI184:AK184&lt;&gt;""),AI184:AK184)))</t>
        </is>
      </c>
      <c r="AZ184" s="39" t="inlineStr">
        <is>
          <t>IF(OR(F184="",AM184=""),"",IF(COUNT(AI184:AL184)=0,"",AM184-LOOKUP(2,1/(AI184:AL184&lt;&gt;""),AI184:AL184)))</t>
        </is>
      </c>
      <c r="BA184" s="39" t="inlineStr">
        <is>
          <t>IF(OR(F184="",AN184=""),"",IF(COUNT(AI184:AM184)=0,"",AN184-LOOKUP(2,1/(AI184:AM184&lt;&gt;""),AI184:AM184)))</t>
        </is>
      </c>
      <c r="BB184" s="39" t="inlineStr">
        <is>
          <t>IF(OR(F184="",AO184=""),"",IF(COUNT(AI184:AN184)=0,"",AO184-LOOKUP(2,1/(AI184:AN184&lt;&gt;""),AI184:AN184)))</t>
        </is>
      </c>
      <c r="BC184" s="39" t="inlineStr">
        <is>
          <t>IF(OR(F184="",AP184=""),"",IF(COUNT(AI184:AO184)=0,"",AP184-LOOKUP(2,1/(AI184:AO184&lt;&gt;""),AI184:AO184)))</t>
        </is>
      </c>
      <c r="BD184" s="39" t="inlineStr">
        <is>
          <t>IF(OR(F184="",AQ184=""),"",IF(COUNT(AI184:AP184)=0,"",AQ184-LOOKUP(2,1/(AI184:AP184&lt;&gt;""),AI184:AP184)))</t>
        </is>
      </c>
      <c r="BE184" s="39" t="inlineStr">
        <is>
          <t>IF(OR(F184="",AR184=""),"",IF(COUNT(AI184:AQ184)=0,"",AR184-LOOKUP(2,1/(AI184:AQ184&lt;&gt;""),AI184:AQ184)))</t>
        </is>
      </c>
      <c r="BF184" s="39" t="inlineStr">
        <is>
          <t>IF(OR(F184="",AS184=""),"",IF(COUNT(AI184:AR184)=0,"",AS184-LOOKUP(2,1/(AI184:AR184&lt;&gt;""),AI184:AR184)))</t>
        </is>
      </c>
      <c r="BG184" s="39" t="inlineStr">
        <is>
          <t>IF(OR(F184="",AT184=""),"",IF(COUNT(AI184:AS184)=0,"",AT184-LOOKUP(2,1/(AI184:AS184&lt;&gt;""),AI184:AS184)))</t>
        </is>
      </c>
      <c r="BH184" s="39" t="inlineStr">
        <is>
          <t>IF(OR(F184="",AU184=""),"",IF(COUNT(AI184:AT184)=0,"",AU184-LOOKUP(2,1/(AI184:AT184&lt;&gt;""),AI184:AT184)))</t>
        </is>
      </c>
      <c r="BI184" s="39" t="inlineStr">
        <is>
          <t>IF(OR(F184="",AV184=""),"",IF(COUNT(AI184:AU184)=0,"",AV184-LOOKUP(2,1/(AI184:AU184&lt;&gt;""),AI184:AU184)))</t>
        </is>
      </c>
      <c r="BJ184" s="41" t="inlineStr">
        <is>
          <t>IF(J184="","All_Provinces",IFERROR(VLOOKUP(J184,'09_Lookups'!$A$4:$B$20,2,FALSE),"All_Provinces"))</t>
        </is>
      </c>
      <c r="BK184" s="41" t="inlineStr">
        <is>
          <t>IF(K184="","All_Districts",IFERROR(VLOOKUP(K184,'09_Lookups'!$E$4:$F$42,2,FALSE),"All_Districts"))</t>
        </is>
      </c>
    </row>
    <row r="185" outlineLevel="1" ht="18" customHeight="1">
      <c r="A185" s="42" t="inlineStr">
        <is>
          <t>IF(F185="","",ROW()-3)</t>
        </is>
      </c>
      <c r="B185" s="61" t="inlineStr">
        <is>
          <t>AF2-IS-24</t>
        </is>
      </c>
      <c r="C185" s="61" t="inlineStr">
        <is>
          <t>Package #24-AF2 IS: Rehabilitation of Shajoy canal and Sar Nary canal irrigation schemes, located in Dayee Chopan and Arghandab districts of Zabul province.</t>
        </is>
      </c>
      <c r="D185" s="61" t="inlineStr">
        <is>
          <t>2 of 2</t>
        </is>
      </c>
      <c r="E185" s="44" t="inlineStr">
        <is>
          <t>AF2-IS-N-021</t>
        </is>
      </c>
      <c r="F185" s="44" t="inlineStr">
        <is>
          <t>Shajoy Canal Irrigation Scheme</t>
        </is>
      </c>
      <c r="G185" s="44" t="inlineStr">
        <is>
          <t>Irrigation Scheme</t>
        </is>
      </c>
      <c r="H185" s="44" t="inlineStr">
        <is>
          <t>Irrigation Canal</t>
        </is>
      </c>
      <c r="I185" s="44" t="inlineStr">
        <is>
          <t>Emergency Food Security Project (EFSP) – WBK/AF-2</t>
        </is>
      </c>
      <c r="J185" s="44" t="inlineStr">
        <is>
          <t>Central Highland / Bamyan</t>
        </is>
      </c>
      <c r="K185" s="44" t="inlineStr">
        <is>
          <t>Zabul</t>
        </is>
      </c>
      <c r="L185" s="44" t="inlineStr">
        <is>
          <t>Dayee Chopan</t>
        </is>
      </c>
      <c r="M185" s="44" t="inlineStr">
        <is>
          <t>-</t>
        </is>
      </c>
      <c r="N185" s="44" t="inlineStr">
        <is>
          <t>World Bank (WBK/AF-2)</t>
        </is>
      </c>
      <c r="O185" s="44" t="inlineStr">
        <is>
          <t>Not awarded</t>
        </is>
      </c>
      <c r="P185" s="44" t="inlineStr">
        <is>
          <t>2.Remain contracts_On&amp;off-farm</t>
        </is>
      </c>
      <c r="Q185" s="44" t="inlineStr"/>
      <c r="R185" s="44" t="inlineStr"/>
      <c r="S185" s="45" t="n">
        <v>295000</v>
      </c>
      <c r="T185" s="46" t="inlineStr">
        <is>
          <t>IF(AQ185="","",AQ185)</t>
        </is>
      </c>
      <c r="U185" s="47" t="n">
        <v>46376</v>
      </c>
      <c r="V185" s="48" t="n">
        <v>8.9</v>
      </c>
      <c r="W185" s="47" t="n">
        <v>46646</v>
      </c>
      <c r="X185" s="46" t="inlineStr">
        <is>
          <t>IF(W185&lt;&gt;"",W185,IF(OR(T185="",V185=""),"",EDATE(T185,V185)))</t>
        </is>
      </c>
      <c r="Y185" s="47" t="n"/>
      <c r="Z185" s="48" t="n"/>
      <c r="AA185" s="44" t="inlineStr">
        <is>
          <t>Under Design</t>
        </is>
      </c>
      <c r="AB185" s="44" t="inlineStr">
        <is>
          <t>Three months slack period Jan-Mar during winter. Six months construction period required for two canals in two districts. Explore splitting into two lots and if one lot ready then raise PR.</t>
        </is>
      </c>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32" t="inlineStr">
        <is>
          <t>IF(F186="","",ROW()-3)</t>
        </is>
      </c>
      <c r="B186" s="62" t="inlineStr">
        <is>
          <t>AF2-IS-25</t>
        </is>
      </c>
      <c r="C186" s="62" t="inlineStr">
        <is>
          <t>Package #25-AF2 IS: Rehabilitation of Urdo Kas canal and Sarkay Lazhey canal irrigation schemes, located in Sha Wali Kot and Boldak districts of Kandahar province.</t>
        </is>
      </c>
      <c r="D186" s="62" t="inlineStr">
        <is>
          <t>1 of 2</t>
        </is>
      </c>
      <c r="E186" s="34" t="inlineStr">
        <is>
          <t>AF2-IS-A-023</t>
        </is>
      </c>
      <c r="F186" s="34" t="inlineStr">
        <is>
          <t>Sarkay Lazhey Canal Irrigation Scheme</t>
        </is>
      </c>
      <c r="G186" s="34" t="inlineStr">
        <is>
          <t>Irrigation Scheme</t>
        </is>
      </c>
      <c r="H186" s="34" t="inlineStr">
        <is>
          <t>Irrigation Canal</t>
        </is>
      </c>
      <c r="I186" s="34" t="inlineStr">
        <is>
          <t>Emergency Food Security Project (EFSP) – WBK/AF-2</t>
        </is>
      </c>
      <c r="J186" s="34" t="inlineStr">
        <is>
          <t>South / Kandahar</t>
        </is>
      </c>
      <c r="K186" s="34" t="inlineStr">
        <is>
          <t>Kandahar</t>
        </is>
      </c>
      <c r="L186" s="34" t="inlineStr">
        <is>
          <t>Boldak</t>
        </is>
      </c>
      <c r="M186" s="34" t="inlineStr">
        <is>
          <t>Sarkay Lazhey</t>
        </is>
      </c>
      <c r="N186" s="34" t="inlineStr">
        <is>
          <t>World Bank (WBK/AF-2)</t>
        </is>
      </c>
      <c r="O186" s="34" t="inlineStr">
        <is>
          <t>Awarded</t>
        </is>
      </c>
      <c r="P186" s="34" t="inlineStr">
        <is>
          <t>1.Awarded contracts_On&amp;off-farm</t>
        </is>
      </c>
      <c r="Q186" s="34" t="inlineStr">
        <is>
          <t>Wasif Construction Company</t>
        </is>
      </c>
      <c r="R186" s="34" t="inlineStr">
        <is>
          <t>012/2026</t>
        </is>
      </c>
      <c r="S186" s="35" t="n">
        <v>235424.79</v>
      </c>
      <c r="T186" s="36" t="inlineStr">
        <is>
          <t>IF(AQ186="","",AQ186)</t>
        </is>
      </c>
      <c r="U186" s="37" t="n"/>
      <c r="V186" s="38" t="n">
        <v>9.9</v>
      </c>
      <c r="W186" s="37" t="n">
        <v>46364</v>
      </c>
      <c r="X186" s="36" t="inlineStr">
        <is>
          <t>IF(W186&lt;&gt;"",W186,IF(OR(T186="",V186=""),"",EDATE(T186,V186)))</t>
        </is>
      </c>
      <c r="Y186" s="37" t="n"/>
      <c r="Z186" s="38" t="n">
        <v>10</v>
      </c>
      <c r="AA186" s="34" t="inlineStr">
        <is>
          <t>Under Construction</t>
        </is>
      </c>
      <c r="AB186" s="34" t="inlineStr">
        <is>
          <t>Needs NCE and work will be completed by June 2027</t>
        </is>
      </c>
      <c r="AC186" s="32" t="inlineStr">
        <is>
          <t>IF(F186="","",IF(COUNT(AI186:AV186)=0,IF(AA186="","Not started",AA186),SUBSTITUTE(LOOKUP(2,1/(AI186:AV186&lt;&gt;""),$AI$3:$AV$3),"Date: ","")))</t>
        </is>
      </c>
      <c r="AD186" s="39" t="inlineStr">
        <is>
          <t>IF(OR(F186="",COUNT(AI186:AV186)=0),"",TODAY()-LOOKUP(2,1/(AI186:AV186&lt;&gt;""),AI186:AV186))</t>
        </is>
      </c>
      <c r="AE186" s="39" t="inlineStr">
        <is>
          <t>IF(OR(F186="",COUNT(AI186:AV186)&lt;2),"",LOOKUP(2,1/(AI186:AV186&lt;&gt;""),AI186:AV186)-MIN(AI186:AV186))</t>
        </is>
      </c>
      <c r="AF186" s="39" t="inlineStr">
        <is>
          <t>IF(OR(AD186="",AC186="Not started",AC186=""),"",IFERROR(AD186-IF(VLOOKUP(AC186,'06_Status_Pipeline'!$B$3:$E$20,4,FALSE)="",0,VLOOKUP(AC186,'06_Status_Pipeline'!$B$3:$E$20,4,FALSE)),""))</t>
        </is>
      </c>
      <c r="AG186" s="3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39" t="inlineStr">
        <is>
          <t>IF(OR(F186="",AC186="Completed / Handover",AC186="Cancelled"),"",IF(O186="Not awarded",IF(U186&lt;&gt;"",U186-TODAY(),IF(X186="","",X186-TODAY())),IF(X186="","",X186-TODAY())))</t>
        </is>
      </c>
      <c r="AI186" s="66" t="n"/>
      <c r="AJ186" s="66" t="n"/>
      <c r="AK186" s="66" t="n"/>
      <c r="AL186" s="66" t="n"/>
      <c r="AM186" s="66" t="n"/>
      <c r="AN186" s="66" t="n"/>
      <c r="AO186" s="66" t="n"/>
      <c r="AP186" s="66" t="n"/>
      <c r="AQ186" s="66" t="n">
        <v>46062</v>
      </c>
      <c r="AR186" s="66" t="n">
        <v>46062</v>
      </c>
      <c r="AS186" s="66" t="n"/>
      <c r="AT186" s="40" t="n"/>
      <c r="AU186" s="40" t="n"/>
      <c r="AV186" s="40" t="n"/>
      <c r="AW186" s="39" t="inlineStr">
        <is>
          <t>IF(OR(F186="",AJ186=""),"",IF(COUNT(AI186:AI186)=0,"",AJ186-LOOKUP(2,1/(AI186:AI186&lt;&gt;""),AI186:AI186)))</t>
        </is>
      </c>
      <c r="AX186" s="39" t="inlineStr">
        <is>
          <t>IF(OR(F186="",AK186=""),"",IF(COUNT(AI186:AJ186)=0,"",AK186-LOOKUP(2,1/(AI186:AJ186&lt;&gt;""),AI186:AJ186)))</t>
        </is>
      </c>
      <c r="AY186" s="39" t="inlineStr">
        <is>
          <t>IF(OR(F186="",AL186=""),"",IF(COUNT(AI186:AK186)=0,"",AL186-LOOKUP(2,1/(AI186:AK186&lt;&gt;""),AI186:AK186)))</t>
        </is>
      </c>
      <c r="AZ186" s="39" t="inlineStr">
        <is>
          <t>IF(OR(F186="",AM186=""),"",IF(COUNT(AI186:AL186)=0,"",AM186-LOOKUP(2,1/(AI186:AL186&lt;&gt;""),AI186:AL186)))</t>
        </is>
      </c>
      <c r="BA186" s="39" t="inlineStr">
        <is>
          <t>IF(OR(F186="",AN186=""),"",IF(COUNT(AI186:AM186)=0,"",AN186-LOOKUP(2,1/(AI186:AM186&lt;&gt;""),AI186:AM186)))</t>
        </is>
      </c>
      <c r="BB186" s="39" t="inlineStr">
        <is>
          <t>IF(OR(F186="",AO186=""),"",IF(COUNT(AI186:AN186)=0,"",AO186-LOOKUP(2,1/(AI186:AN186&lt;&gt;""),AI186:AN186)))</t>
        </is>
      </c>
      <c r="BC186" s="39" t="inlineStr">
        <is>
          <t>IF(OR(F186="",AP186=""),"",IF(COUNT(AI186:AO186)=0,"",AP186-LOOKUP(2,1/(AI186:AO186&lt;&gt;""),AI186:AO186)))</t>
        </is>
      </c>
      <c r="BD186" s="39" t="inlineStr">
        <is>
          <t>IF(OR(F186="",AQ186=""),"",IF(COUNT(AI186:AP186)=0,"",AQ186-LOOKUP(2,1/(AI186:AP186&lt;&gt;""),AI186:AP186)))</t>
        </is>
      </c>
      <c r="BE186" s="39" t="inlineStr">
        <is>
          <t>IF(OR(F186="",AR186=""),"",IF(COUNT(AI186:AQ186)=0,"",AR186-LOOKUP(2,1/(AI186:AQ186&lt;&gt;""),AI186:AQ186)))</t>
        </is>
      </c>
      <c r="BF186" s="39" t="inlineStr">
        <is>
          <t>IF(OR(F186="",AS186=""),"",IF(COUNT(AI186:AR186)=0,"",AS186-LOOKUP(2,1/(AI186:AR186&lt;&gt;""),AI186:AR186)))</t>
        </is>
      </c>
      <c r="BG186" s="39" t="inlineStr">
        <is>
          <t>IF(OR(F186="",AT186=""),"",IF(COUNT(AI186:AS186)=0,"",AT186-LOOKUP(2,1/(AI186:AS186&lt;&gt;""),AI186:AS186)))</t>
        </is>
      </c>
      <c r="BH186" s="39" t="inlineStr">
        <is>
          <t>IF(OR(F186="",AU186=""),"",IF(COUNT(AI186:AT186)=0,"",AU186-LOOKUP(2,1/(AI186:AT186&lt;&gt;""),AI186:AT186)))</t>
        </is>
      </c>
      <c r="BI186" s="39" t="inlineStr">
        <is>
          <t>IF(OR(F186="",AV186=""),"",IF(COUNT(AI186:AU186)=0,"",AV186-LOOKUP(2,1/(AI186:AU186&lt;&gt;""),AI186:AU186)))</t>
        </is>
      </c>
      <c r="BJ186" s="41" t="inlineStr">
        <is>
          <t>IF(J186="","All_Provinces",IFERROR(VLOOKUP(J186,'09_Lookups'!$A$4:$B$20,2,FALSE),"All_Provinces"))</t>
        </is>
      </c>
      <c r="BK186" s="41" t="inlineStr">
        <is>
          <t>IF(K186="","All_Districts",IFERROR(VLOOKUP(K186,'09_Lookups'!$E$4:$F$42,2,FALSE),"All_Districts"))</t>
        </is>
      </c>
    </row>
    <row r="187" outlineLevel="1" ht="18" customHeight="1">
      <c r="A187" s="42" t="inlineStr">
        <is>
          <t>IF(F187="","",ROW()-3)</t>
        </is>
      </c>
      <c r="B187" s="63" t="inlineStr">
        <is>
          <t>AF2-IS-25</t>
        </is>
      </c>
      <c r="C187" s="63" t="inlineStr">
        <is>
          <t>Package #25-AF2 IS: Rehabilitation of Urdo Kas canal and Sarkay Lazhey canal irrigation schemes, located in Sha Wali Kot and Boldak districts of Kandahar province.</t>
        </is>
      </c>
      <c r="D187" s="63" t="inlineStr">
        <is>
          <t>2 of 2</t>
        </is>
      </c>
      <c r="E187" s="44" t="inlineStr">
        <is>
          <t>AF2-IS-A-024</t>
        </is>
      </c>
      <c r="F187" s="44" t="inlineStr">
        <is>
          <t>Urdo Kas Irrigation Scheme</t>
        </is>
      </c>
      <c r="G187" s="44" t="inlineStr">
        <is>
          <t>Irrigation Scheme</t>
        </is>
      </c>
      <c r="H187" s="44" t="inlineStr">
        <is>
          <t>Irrigation Canal</t>
        </is>
      </c>
      <c r="I187" s="44" t="inlineStr">
        <is>
          <t>Emergency Food Security Project (EFSP) – WBK/AF-2</t>
        </is>
      </c>
      <c r="J187" s="44" t="inlineStr">
        <is>
          <t>South / Kandahar</t>
        </is>
      </c>
      <c r="K187" s="44" t="inlineStr">
        <is>
          <t>Kandahar</t>
        </is>
      </c>
      <c r="L187" s="44" t="inlineStr">
        <is>
          <t>Sha Wali Kot</t>
        </is>
      </c>
      <c r="M187" s="44" t="inlineStr">
        <is>
          <t>Urdo Kas</t>
        </is>
      </c>
      <c r="N187" s="44" t="inlineStr">
        <is>
          <t>World Bank (WBK/AF-2)</t>
        </is>
      </c>
      <c r="O187" s="44" t="inlineStr">
        <is>
          <t>Awarded</t>
        </is>
      </c>
      <c r="P187" s="44" t="inlineStr">
        <is>
          <t>1.Awarded contracts_On&amp;off-farm</t>
        </is>
      </c>
      <c r="Q187" s="44" t="inlineStr">
        <is>
          <t>Wasif Construction Company</t>
        </is>
      </c>
      <c r="R187" s="44" t="inlineStr">
        <is>
          <t>012/2026</t>
        </is>
      </c>
      <c r="S187" s="45" t="n">
        <v>90157.45</v>
      </c>
      <c r="T187" s="46" t="inlineStr">
        <is>
          <t>IF(AQ187="","",AQ187)</t>
        </is>
      </c>
      <c r="U187" s="47" t="n"/>
      <c r="V187" s="48" t="n">
        <v>9.9</v>
      </c>
      <c r="W187" s="47" t="n">
        <v>46364</v>
      </c>
      <c r="X187" s="46" t="inlineStr">
        <is>
          <t>IF(W187&lt;&gt;"",W187,IF(OR(T187="",V187=""),"",EDATE(T187,V187)))</t>
        </is>
      </c>
      <c r="Y187" s="47" t="n"/>
      <c r="Z187" s="48" t="n">
        <v>15</v>
      </c>
      <c r="AA187" s="44" t="inlineStr">
        <is>
          <t>Under Construction</t>
        </is>
      </c>
      <c r="AB187" s="44" t="inlineStr">
        <is>
          <t>Needs NCE and work will be completed by June 2027</t>
        </is>
      </c>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67" t="n"/>
      <c r="AJ187" s="67" t="n"/>
      <c r="AK187" s="67" t="n"/>
      <c r="AL187" s="67" t="n"/>
      <c r="AM187" s="67" t="n"/>
      <c r="AN187" s="67" t="n"/>
      <c r="AO187" s="67" t="n"/>
      <c r="AP187" s="67" t="n"/>
      <c r="AQ187" s="67" t="n">
        <v>46062</v>
      </c>
      <c r="AR187" s="67" t="n">
        <v>46062</v>
      </c>
      <c r="AS187" s="6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32" t="inlineStr">
        <is>
          <t>IF(F188="","",ROW()-3)</t>
        </is>
      </c>
      <c r="B188" s="64" t="inlineStr">
        <is>
          <t>AF2-IS-26</t>
        </is>
      </c>
      <c r="C188" s="64" t="inlineStr">
        <is>
          <t>Package #26-AF2 IS: Rehabilitation of Sarwan Qala canal irrigation schemes, located in Sangin district of Kandahar province.</t>
        </is>
      </c>
      <c r="D188" s="64" t="inlineStr">
        <is>
          <t>1 of 1</t>
        </is>
      </c>
      <c r="E188" s="34" t="inlineStr">
        <is>
          <t>AF2-IS-A-025</t>
        </is>
      </c>
      <c r="F188" s="34" t="inlineStr">
        <is>
          <t>Sarwan Qala Canal Irrigation Scheme</t>
        </is>
      </c>
      <c r="G188" s="34" t="inlineStr">
        <is>
          <t>Irrigation Scheme</t>
        </is>
      </c>
      <c r="H188" s="34" t="inlineStr">
        <is>
          <t>Irrigation Canal</t>
        </is>
      </c>
      <c r="I188" s="34" t="inlineStr">
        <is>
          <t>Emergency Food Security Project (EFSP) – WBK/AF-2</t>
        </is>
      </c>
      <c r="J188" s="34" t="inlineStr">
        <is>
          <t>South / Kandahar</t>
        </is>
      </c>
      <c r="K188" s="34" t="inlineStr">
        <is>
          <t>Helmand</t>
        </is>
      </c>
      <c r="L188" s="34" t="inlineStr">
        <is>
          <t>Sangin</t>
        </is>
      </c>
      <c r="M188" s="34" t="inlineStr">
        <is>
          <t>Sarwan Qala</t>
        </is>
      </c>
      <c r="N188" s="34" t="inlineStr">
        <is>
          <t>World Bank (WBK/AF-2)</t>
        </is>
      </c>
      <c r="O188" s="34" t="inlineStr">
        <is>
          <t>Awarded</t>
        </is>
      </c>
      <c r="P188" s="34" t="inlineStr">
        <is>
          <t>1.Awarded contracts_On&amp;off-farm</t>
        </is>
      </c>
      <c r="Q188" s="34" t="inlineStr">
        <is>
          <t>New Safi Zada Construction &amp; Road Building Company JV with Elyas Aryoubi Constructin Road building and Logistic Company (NSZ&amp;EACC)</t>
        </is>
      </c>
      <c r="R188" s="34" t="inlineStr">
        <is>
          <t>019/2026</t>
        </is>
      </c>
      <c r="S188" s="35" t="n">
        <v>351552.71</v>
      </c>
      <c r="T188" s="36" t="inlineStr">
        <is>
          <t>IF(AQ188="","",AQ188)</t>
        </is>
      </c>
      <c r="U188" s="37" t="n"/>
      <c r="V188" s="38" t="n">
        <v>12</v>
      </c>
      <c r="W188" s="37" t="n">
        <v>46448</v>
      </c>
      <c r="X188" s="36" t="inlineStr">
        <is>
          <t>IF(W188&lt;&gt;"",W188,IF(OR(T188="",V188=""),"",EDATE(T188,V188)))</t>
        </is>
      </c>
      <c r="Y188" s="37" t="n"/>
      <c r="Z188" s="38" t="n">
        <v>0</v>
      </c>
      <c r="AA188" s="34" t="inlineStr">
        <is>
          <t>Cancelled</t>
        </is>
      </c>
      <c r="AB188" s="34" t="inlineStr">
        <is>
          <t>package / contract cancelled</t>
        </is>
      </c>
      <c r="AC188" s="32" t="inlineStr">
        <is>
          <t>IF(F188="","",IF(COUNT(AI188:AV188)=0,IF(AA188="","Not started",AA188),SUBSTITUTE(LOOKUP(2,1/(AI188:AV188&lt;&gt;""),$AI$3:$AV$3),"Date: ","")))</t>
        </is>
      </c>
      <c r="AD188" s="39" t="inlineStr">
        <is>
          <t>IF(OR(F188="",COUNT(AI188:AV188)=0),"",TODAY()-LOOKUP(2,1/(AI188:AV188&lt;&gt;""),AI188:AV188))</t>
        </is>
      </c>
      <c r="AE188" s="39" t="inlineStr">
        <is>
          <t>IF(OR(F188="",COUNT(AI188:AV188)&lt;2),"",LOOKUP(2,1/(AI188:AV188&lt;&gt;""),AI188:AV188)-MIN(AI188:AV188))</t>
        </is>
      </c>
      <c r="AF188" s="39" t="inlineStr">
        <is>
          <t>IF(OR(AD188="",AC188="Not started",AC188=""),"",IFERROR(AD188-IF(VLOOKUP(AC188,'06_Status_Pipeline'!$B$3:$E$20,4,FALSE)="",0,VLOOKUP(AC188,'06_Status_Pipeline'!$B$3:$E$20,4,FALSE)),""))</t>
        </is>
      </c>
      <c r="AG188" s="3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39" t="inlineStr">
        <is>
          <t>IF(OR(F188="",AC188="Completed / Handover",AC188="Cancelled"),"",IF(O188="Not awarded",IF(U188&lt;&gt;"",U188-TODAY(),IF(X188="","",X188-TODAY())),IF(X188="","",X188-TODAY())))</t>
        </is>
      </c>
      <c r="AI188" s="66" t="n"/>
      <c r="AJ188" s="66" t="n"/>
      <c r="AK188" s="66" t="n"/>
      <c r="AL188" s="66" t="n"/>
      <c r="AM188" s="66" t="n"/>
      <c r="AN188" s="66" t="n"/>
      <c r="AO188" s="66" t="n"/>
      <c r="AP188" s="66" t="n"/>
      <c r="AQ188" s="66" t="n">
        <v>46084</v>
      </c>
      <c r="AR188" s="66" t="n"/>
      <c r="AS188" s="66" t="n"/>
      <c r="AT188" s="40" t="n"/>
      <c r="AU188" s="40" t="n"/>
      <c r="AV188" s="40" t="n"/>
      <c r="AW188" s="39" t="inlineStr">
        <is>
          <t>IF(OR(F188="",AJ188=""),"",IF(COUNT(AI188:AI188)=0,"",AJ188-LOOKUP(2,1/(AI188:AI188&lt;&gt;""),AI188:AI188)))</t>
        </is>
      </c>
      <c r="AX188" s="39" t="inlineStr">
        <is>
          <t>IF(OR(F188="",AK188=""),"",IF(COUNT(AI188:AJ188)=0,"",AK188-LOOKUP(2,1/(AI188:AJ188&lt;&gt;""),AI188:AJ188)))</t>
        </is>
      </c>
      <c r="AY188" s="39" t="inlineStr">
        <is>
          <t>IF(OR(F188="",AL188=""),"",IF(COUNT(AI188:AK188)=0,"",AL188-LOOKUP(2,1/(AI188:AK188&lt;&gt;""),AI188:AK188)))</t>
        </is>
      </c>
      <c r="AZ188" s="39" t="inlineStr">
        <is>
          <t>IF(OR(F188="",AM188=""),"",IF(COUNT(AI188:AL188)=0,"",AM188-LOOKUP(2,1/(AI188:AL188&lt;&gt;""),AI188:AL188)))</t>
        </is>
      </c>
      <c r="BA188" s="39" t="inlineStr">
        <is>
          <t>IF(OR(F188="",AN188=""),"",IF(COUNT(AI188:AM188)=0,"",AN188-LOOKUP(2,1/(AI188:AM188&lt;&gt;""),AI188:AM188)))</t>
        </is>
      </c>
      <c r="BB188" s="39" t="inlineStr">
        <is>
          <t>IF(OR(F188="",AO188=""),"",IF(COUNT(AI188:AN188)=0,"",AO188-LOOKUP(2,1/(AI188:AN188&lt;&gt;""),AI188:AN188)))</t>
        </is>
      </c>
      <c r="BC188" s="39" t="inlineStr">
        <is>
          <t>IF(OR(F188="",AP188=""),"",IF(COUNT(AI188:AO188)=0,"",AP188-LOOKUP(2,1/(AI188:AO188&lt;&gt;""),AI188:AO188)))</t>
        </is>
      </c>
      <c r="BD188" s="39" t="inlineStr">
        <is>
          <t>IF(OR(F188="",AQ188=""),"",IF(COUNT(AI188:AP188)=0,"",AQ188-LOOKUP(2,1/(AI188:AP188&lt;&gt;""),AI188:AP188)))</t>
        </is>
      </c>
      <c r="BE188" s="39" t="inlineStr">
        <is>
          <t>IF(OR(F188="",AR188=""),"",IF(COUNT(AI188:AQ188)=0,"",AR188-LOOKUP(2,1/(AI188:AQ188&lt;&gt;""),AI188:AQ188)))</t>
        </is>
      </c>
      <c r="BF188" s="39" t="inlineStr">
        <is>
          <t>IF(OR(F188="",AS188=""),"",IF(COUNT(AI188:AR188)=0,"",AS188-LOOKUP(2,1/(AI188:AR188&lt;&gt;""),AI188:AR188)))</t>
        </is>
      </c>
      <c r="BG188" s="39" t="inlineStr">
        <is>
          <t>IF(OR(F188="",AT188=""),"",IF(COUNT(AI188:AS188)=0,"",AT188-LOOKUP(2,1/(AI188:AS188&lt;&gt;""),AI188:AS188)))</t>
        </is>
      </c>
      <c r="BH188" s="39" t="inlineStr">
        <is>
          <t>IF(OR(F188="",AU188=""),"",IF(COUNT(AI188:AT188)=0,"",AU188-LOOKUP(2,1/(AI188:AT188&lt;&gt;""),AI188:AT188)))</t>
        </is>
      </c>
      <c r="BI188" s="39" t="inlineStr">
        <is>
          <t>IF(OR(F188="",AV188=""),"",IF(COUNT(AI188:AU188)=0,"",AV188-LOOKUP(2,1/(AI188:AU188&lt;&gt;""),AI188:AU188)))</t>
        </is>
      </c>
      <c r="BJ188" s="41" t="inlineStr">
        <is>
          <t>IF(J188="","All_Provinces",IFERROR(VLOOKUP(J188,'09_Lookups'!$A$4:$B$20,2,FALSE),"All_Provinces"))</t>
        </is>
      </c>
      <c r="BK188" s="41" t="inlineStr">
        <is>
          <t>IF(K188="","All_Districts",IFERROR(VLOOKUP(K188,'09_Lookups'!$E$4:$F$42,2,FALSE),"All_Districts"))</t>
        </is>
      </c>
    </row>
    <row r="189" ht="18" customHeight="1">
      <c r="A189" s="32" t="inlineStr">
        <is>
          <t>IF(F189="","",ROW()-3)</t>
        </is>
      </c>
      <c r="B189" s="33" t="inlineStr">
        <is>
          <t>AF2-IS-27</t>
        </is>
      </c>
      <c r="C189" s="33" t="inlineStr">
        <is>
          <t>Package # 27-AF2 IS: Rehabilitation of Firozi canal irrigation scheme, located in Delaram districts of Nimroz province.</t>
        </is>
      </c>
      <c r="D189" s="33" t="inlineStr">
        <is>
          <t>1 of 1</t>
        </is>
      </c>
      <c r="E189" s="57" t="inlineStr">
        <is>
          <t>AF2-IS-N-022</t>
        </is>
      </c>
      <c r="F189" s="57" t="inlineStr">
        <is>
          <t>Firozi Canal Irrigation Schem</t>
        </is>
      </c>
      <c r="G189" s="57" t="inlineStr">
        <is>
          <t>Irrigation Scheme</t>
        </is>
      </c>
      <c r="H189" s="57" t="inlineStr">
        <is>
          <t>Irrigation Canal</t>
        </is>
      </c>
      <c r="I189" s="57" t="inlineStr">
        <is>
          <t>Emergency Food Security Project (EFSP) – WBK/AF-2</t>
        </is>
      </c>
      <c r="J189" s="57" t="inlineStr">
        <is>
          <t>Central Highland / Bamyan</t>
        </is>
      </c>
      <c r="K189" s="57" t="inlineStr">
        <is>
          <t>Nimruz</t>
        </is>
      </c>
      <c r="L189" s="57" t="inlineStr">
        <is>
          <t>Delaram</t>
        </is>
      </c>
      <c r="M189" s="57" t="inlineStr">
        <is>
          <t>-</t>
        </is>
      </c>
      <c r="N189" s="57" t="inlineStr">
        <is>
          <t>World Bank (WBK/AF-2)</t>
        </is>
      </c>
      <c r="O189" s="57" t="inlineStr">
        <is>
          <t>Not awarded</t>
        </is>
      </c>
      <c r="P189" s="57" t="inlineStr">
        <is>
          <t>2.Remain contracts_On&amp;off-farm</t>
        </is>
      </c>
      <c r="Q189" s="57" t="inlineStr"/>
      <c r="R189" s="57" t="inlineStr"/>
      <c r="S189" s="58" t="n">
        <v>195000</v>
      </c>
      <c r="T189" s="36" t="inlineStr">
        <is>
          <t>IF(AQ189="","",AQ189)</t>
        </is>
      </c>
      <c r="U189" s="59" t="n">
        <v>46381</v>
      </c>
      <c r="V189" s="60" t="n">
        <v>8.9</v>
      </c>
      <c r="W189" s="59" t="n">
        <v>46651</v>
      </c>
      <c r="X189" s="36" t="inlineStr">
        <is>
          <t>IF(W189&lt;&gt;"",W189,IF(OR(T189="",V189=""),"",EDATE(T189,V189)))</t>
        </is>
      </c>
      <c r="Y189" s="59" t="n"/>
      <c r="Z189" s="60" t="n"/>
      <c r="AA189" s="57" t="inlineStr">
        <is>
          <t>Under Review of WRI</t>
        </is>
      </c>
      <c r="AB189" s="57" t="inlineStr">
        <is>
          <t>Nine months construction period required for the canal</t>
        </is>
      </c>
      <c r="AC189" s="32" t="inlineStr">
        <is>
          <t>IF(F189="","",IF(COUNT(AI189:AV189)=0,IF(AA189="","Not started",AA189),SUBSTITUTE(LOOKUP(2,1/(AI189:AV189&lt;&gt;""),$AI$3:$AV$3),"Date: ","")))</t>
        </is>
      </c>
      <c r="AD189" s="39" t="inlineStr">
        <is>
          <t>IF(OR(F189="",COUNT(AI189:AV189)=0),"",TODAY()-LOOKUP(2,1/(AI189:AV189&lt;&gt;""),AI189:AV189))</t>
        </is>
      </c>
      <c r="AE189" s="39" t="inlineStr">
        <is>
          <t>IF(OR(F189="",COUNT(AI189:AV189)&lt;2),"",LOOKUP(2,1/(AI189:AV189&lt;&gt;""),AI189:AV189)-MIN(AI189:AV189))</t>
        </is>
      </c>
      <c r="AF189" s="39" t="inlineStr">
        <is>
          <t>IF(OR(AD189="",AC189="Not started",AC189=""),"",IFERROR(AD189-IF(VLOOKUP(AC189,'06_Status_Pipeline'!$B$3:$E$20,4,FALSE)="",0,VLOOKUP(AC189,'06_Status_Pipeline'!$B$3:$E$20,4,FALSE)),""))</t>
        </is>
      </c>
      <c r="AG189" s="3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39" t="inlineStr">
        <is>
          <t>IF(OR(F189="",AC189="Completed / Handover",AC189="Cancelled"),"",IF(O189="Not awarded",IF(U189&lt;&gt;"",U189-TODAY(),IF(X189="","",X189-TODAY())),IF(X189="","",X189-TODAY())))</t>
        </is>
      </c>
      <c r="AI189" s="59" t="n"/>
      <c r="AJ189" s="59" t="n"/>
      <c r="AK189" s="59" t="n"/>
      <c r="AL189" s="59" t="n"/>
      <c r="AM189" s="59" t="n"/>
      <c r="AN189" s="59" t="n"/>
      <c r="AO189" s="59" t="n"/>
      <c r="AP189" s="59" t="n"/>
      <c r="AQ189" s="59" t="n"/>
      <c r="AR189" s="59" t="n"/>
      <c r="AS189" s="59" t="n"/>
      <c r="AT189" s="40" t="n"/>
      <c r="AU189" s="40" t="n"/>
      <c r="AV189" s="40" t="n"/>
      <c r="AW189" s="39" t="inlineStr">
        <is>
          <t>IF(OR(F189="",AJ189=""),"",IF(COUNT(AI189:AI189)=0,"",AJ189-LOOKUP(2,1/(AI189:AI189&lt;&gt;""),AI189:AI189)))</t>
        </is>
      </c>
      <c r="AX189" s="39" t="inlineStr">
        <is>
          <t>IF(OR(F189="",AK189=""),"",IF(COUNT(AI189:AJ189)=0,"",AK189-LOOKUP(2,1/(AI189:AJ189&lt;&gt;""),AI189:AJ189)))</t>
        </is>
      </c>
      <c r="AY189" s="39" t="inlineStr">
        <is>
          <t>IF(OR(F189="",AL189=""),"",IF(COUNT(AI189:AK189)=0,"",AL189-LOOKUP(2,1/(AI189:AK189&lt;&gt;""),AI189:AK189)))</t>
        </is>
      </c>
      <c r="AZ189" s="39" t="inlineStr">
        <is>
          <t>IF(OR(F189="",AM189=""),"",IF(COUNT(AI189:AL189)=0,"",AM189-LOOKUP(2,1/(AI189:AL189&lt;&gt;""),AI189:AL189)))</t>
        </is>
      </c>
      <c r="BA189" s="39" t="inlineStr">
        <is>
          <t>IF(OR(F189="",AN189=""),"",IF(COUNT(AI189:AM189)=0,"",AN189-LOOKUP(2,1/(AI189:AM189&lt;&gt;""),AI189:AM189)))</t>
        </is>
      </c>
      <c r="BB189" s="39" t="inlineStr">
        <is>
          <t>IF(OR(F189="",AO189=""),"",IF(COUNT(AI189:AN189)=0,"",AO189-LOOKUP(2,1/(AI189:AN189&lt;&gt;""),AI189:AN189)))</t>
        </is>
      </c>
      <c r="BC189" s="39" t="inlineStr">
        <is>
          <t>IF(OR(F189="",AP189=""),"",IF(COUNT(AI189:AO189)=0,"",AP189-LOOKUP(2,1/(AI189:AO189&lt;&gt;""),AI189:AO189)))</t>
        </is>
      </c>
      <c r="BD189" s="39" t="inlineStr">
        <is>
          <t>IF(OR(F189="",AQ189=""),"",IF(COUNT(AI189:AP189)=0,"",AQ189-LOOKUP(2,1/(AI189:AP189&lt;&gt;""),AI189:AP189)))</t>
        </is>
      </c>
      <c r="BE189" s="39" t="inlineStr">
        <is>
          <t>IF(OR(F189="",AR189=""),"",IF(COUNT(AI189:AQ189)=0,"",AR189-LOOKUP(2,1/(AI189:AQ189&lt;&gt;""),AI189:AQ189)))</t>
        </is>
      </c>
      <c r="BF189" s="39" t="inlineStr">
        <is>
          <t>IF(OR(F189="",AS189=""),"",IF(COUNT(AI189:AR189)=0,"",AS189-LOOKUP(2,1/(AI189:AR189&lt;&gt;""),AI189:AR189)))</t>
        </is>
      </c>
      <c r="BG189" s="39" t="inlineStr">
        <is>
          <t>IF(OR(F189="",AT189=""),"",IF(COUNT(AI189:AS189)=0,"",AT189-LOOKUP(2,1/(AI189:AS189&lt;&gt;""),AI189:AS189)))</t>
        </is>
      </c>
      <c r="BH189" s="39" t="inlineStr">
        <is>
          <t>IF(OR(F189="",AU189=""),"",IF(COUNT(AI189:AT189)=0,"",AU189-LOOKUP(2,1/(AI189:AT189&lt;&gt;""),AI189:AT189)))</t>
        </is>
      </c>
      <c r="BI189" s="39" t="inlineStr">
        <is>
          <t>IF(OR(F189="",AV189=""),"",IF(COUNT(AI189:AU189)=0,"",AV189-LOOKUP(2,1/(AI189:AU189&lt;&gt;""),AI189:AU189)))</t>
        </is>
      </c>
      <c r="BJ189" s="41" t="inlineStr">
        <is>
          <t>IF(J189="","All_Provinces",IFERROR(VLOOKUP(J189,'09_Lookups'!$A$4:$B$20,2,FALSE),"All_Provinces"))</t>
        </is>
      </c>
      <c r="BK189" s="41" t="inlineStr">
        <is>
          <t>IF(K189="","All_Districts",IFERROR(VLOOKUP(K189,'09_Lookups'!$E$4:$F$42,2,FALSE),"All_Districts"))</t>
        </is>
      </c>
    </row>
    <row r="190" ht="18" customHeight="1">
      <c r="A190" s="32" t="inlineStr">
        <is>
          <t>IF(F190="","",ROW()-3)</t>
        </is>
      </c>
      <c r="B190" s="56" t="inlineStr">
        <is>
          <t>AF2-IS-28</t>
        </is>
      </c>
      <c r="C190" s="56" t="inlineStr">
        <is>
          <t>Package # 28 – AF2 IS: Rehabilitation of Irrigation Schemes of 1. Abil Aroq (Qanjogha), 2. Shaitan Aroq Cluster Canals in Khwaja Ghar District and 3. Kalta Aroq, 4. Pacha Khail, and 5. Sayed Miran (Khar Kar) Cluster Canals in Eshkamish District of Takhar Province</t>
        </is>
      </c>
      <c r="D190" s="56" t="inlineStr">
        <is>
          <t>1 of 2</t>
        </is>
      </c>
      <c r="E190" s="34" t="inlineStr">
        <is>
          <t>AF2-IS-A-026</t>
        </is>
      </c>
      <c r="F190" s="34" t="inlineStr">
        <is>
          <t>Abil Aroq (Qanjugh) and Shaitan Aroq Cluster Canal Irrigation Schemes</t>
        </is>
      </c>
      <c r="G190" s="34" t="inlineStr">
        <is>
          <t>Irrigation Scheme</t>
        </is>
      </c>
      <c r="H190" s="34" t="inlineStr">
        <is>
          <t>Irrigation Canal</t>
        </is>
      </c>
      <c r="I190" s="34" t="inlineStr">
        <is>
          <t>Emergency Food Security Project (EFSP) – WBK/AF-2</t>
        </is>
      </c>
      <c r="J190" s="34" t="inlineStr">
        <is>
          <t>Northeast / Kunduz</t>
        </is>
      </c>
      <c r="K190" s="34" t="inlineStr">
        <is>
          <t>Takhar</t>
        </is>
      </c>
      <c r="L190" s="34" t="inlineStr">
        <is>
          <t>Khwaja Ghar</t>
        </is>
      </c>
      <c r="M190" s="34" t="inlineStr">
        <is>
          <t>Qanjogha</t>
        </is>
      </c>
      <c r="N190" s="34" t="inlineStr">
        <is>
          <t>World Bank (WBK/AF-2)</t>
        </is>
      </c>
      <c r="O190" s="34" t="inlineStr">
        <is>
          <t>Awarded</t>
        </is>
      </c>
      <c r="P190" s="34" t="inlineStr">
        <is>
          <t>1.Awarded contracts_On&amp;off-farm</t>
        </is>
      </c>
      <c r="Q190" s="34" t="inlineStr">
        <is>
          <t>SHAMAL KARDAN ROAD CONSTRUCTION AND LOGISTIC SERVICES COMPANY LTD (SKRCC)</t>
        </is>
      </c>
      <c r="R190" s="34" t="inlineStr">
        <is>
          <t>067/2025</t>
        </is>
      </c>
      <c r="S190" s="35" t="n">
        <v>159788.8</v>
      </c>
      <c r="T190" s="36" t="inlineStr">
        <is>
          <t>IF(AQ190="","",AQ190)</t>
        </is>
      </c>
      <c r="U190" s="37" t="n"/>
      <c r="V190" s="38" t="n">
        <v>12</v>
      </c>
      <c r="W190" s="37" t="n">
        <v>46377</v>
      </c>
      <c r="X190" s="36" t="inlineStr">
        <is>
          <t>IF(W190&lt;&gt;"",W190,IF(OR(T190="",V190=""),"",EDATE(T190,V190)))</t>
        </is>
      </c>
      <c r="Y190" s="37" t="n"/>
      <c r="Z190" s="38" t="n">
        <v>0</v>
      </c>
      <c r="AA190" s="34" t="inlineStr">
        <is>
          <t>Awarded</t>
        </is>
      </c>
      <c r="AB190" s="34" t="inlineStr">
        <is>
          <t>off track and close follow up to ensure completion by June 2027 after potential NCE</t>
        </is>
      </c>
      <c r="AC190" s="32" t="inlineStr">
        <is>
          <t>IF(F190="","",IF(COUNT(AI190:AV190)=0,IF(AA190="","Not started",AA190),SUBSTITUTE(LOOKUP(2,1/(AI190:AV190&lt;&gt;""),$AI$3:$AV$3),"Date: ","")))</t>
        </is>
      </c>
      <c r="AD190" s="39" t="inlineStr">
        <is>
          <t>IF(OR(F190="",COUNT(AI190:AV190)=0),"",TODAY()-LOOKUP(2,1/(AI190:AV190&lt;&gt;""),AI190:AV190))</t>
        </is>
      </c>
      <c r="AE190" s="39" t="inlineStr">
        <is>
          <t>IF(OR(F190="",COUNT(AI190:AV190)&lt;2),"",LOOKUP(2,1/(AI190:AV190&lt;&gt;""),AI190:AV190)-MIN(AI190:AV190))</t>
        </is>
      </c>
      <c r="AF190" s="39" t="inlineStr">
        <is>
          <t>IF(OR(AD190="",AC190="Not started",AC190=""),"",IFERROR(AD190-IF(VLOOKUP(AC190,'06_Status_Pipeline'!$B$3:$E$20,4,FALSE)="",0,VLOOKUP(AC190,'06_Status_Pipeline'!$B$3:$E$20,4,FALSE)),""))</t>
        </is>
      </c>
      <c r="AG190" s="3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39" t="inlineStr">
        <is>
          <t>IF(OR(F190="",AC190="Completed / Handover",AC190="Cancelled"),"",IF(O190="Not awarded",IF(U190&lt;&gt;"",U190-TODAY(),IF(X190="","",X190-TODAY())),IF(X190="","",X190-TODAY())))</t>
        </is>
      </c>
      <c r="AI190" s="66" t="n"/>
      <c r="AJ190" s="66" t="n"/>
      <c r="AK190" s="66" t="n"/>
      <c r="AL190" s="66" t="n"/>
      <c r="AM190" s="66" t="n"/>
      <c r="AN190" s="66" t="n"/>
      <c r="AO190" s="66" t="n"/>
      <c r="AP190" s="66" t="n"/>
      <c r="AQ190" s="66" t="n">
        <v>46013</v>
      </c>
      <c r="AR190" s="66" t="n"/>
      <c r="AS190" s="66" t="n"/>
      <c r="AT190" s="40" t="n"/>
      <c r="AU190" s="40" t="n"/>
      <c r="AV190" s="40" t="n"/>
      <c r="AW190" s="39" t="inlineStr">
        <is>
          <t>IF(OR(F190="",AJ190=""),"",IF(COUNT(AI190:AI190)=0,"",AJ190-LOOKUP(2,1/(AI190:AI190&lt;&gt;""),AI190:AI190)))</t>
        </is>
      </c>
      <c r="AX190" s="39" t="inlineStr">
        <is>
          <t>IF(OR(F190="",AK190=""),"",IF(COUNT(AI190:AJ190)=0,"",AK190-LOOKUP(2,1/(AI190:AJ190&lt;&gt;""),AI190:AJ190)))</t>
        </is>
      </c>
      <c r="AY190" s="39" t="inlineStr">
        <is>
          <t>IF(OR(F190="",AL190=""),"",IF(COUNT(AI190:AK190)=0,"",AL190-LOOKUP(2,1/(AI190:AK190&lt;&gt;""),AI190:AK190)))</t>
        </is>
      </c>
      <c r="AZ190" s="39" t="inlineStr">
        <is>
          <t>IF(OR(F190="",AM190=""),"",IF(COUNT(AI190:AL190)=0,"",AM190-LOOKUP(2,1/(AI190:AL190&lt;&gt;""),AI190:AL190)))</t>
        </is>
      </c>
      <c r="BA190" s="39" t="inlineStr">
        <is>
          <t>IF(OR(F190="",AN190=""),"",IF(COUNT(AI190:AM190)=0,"",AN190-LOOKUP(2,1/(AI190:AM190&lt;&gt;""),AI190:AM190)))</t>
        </is>
      </c>
      <c r="BB190" s="39" t="inlineStr">
        <is>
          <t>IF(OR(F190="",AO190=""),"",IF(COUNT(AI190:AN190)=0,"",AO190-LOOKUP(2,1/(AI190:AN190&lt;&gt;""),AI190:AN190)))</t>
        </is>
      </c>
      <c r="BC190" s="39" t="inlineStr">
        <is>
          <t>IF(OR(F190="",AP190=""),"",IF(COUNT(AI190:AO190)=0,"",AP190-LOOKUP(2,1/(AI190:AO190&lt;&gt;""),AI190:AO190)))</t>
        </is>
      </c>
      <c r="BD190" s="39" t="inlineStr">
        <is>
          <t>IF(OR(F190="",AQ190=""),"",IF(COUNT(AI190:AP190)=0,"",AQ190-LOOKUP(2,1/(AI190:AP190&lt;&gt;""),AI190:AP190)))</t>
        </is>
      </c>
      <c r="BE190" s="39" t="inlineStr">
        <is>
          <t>IF(OR(F190="",AR190=""),"",IF(COUNT(AI190:AQ190)=0,"",AR190-LOOKUP(2,1/(AI190:AQ190&lt;&gt;""),AI190:AQ190)))</t>
        </is>
      </c>
      <c r="BF190" s="39" t="inlineStr">
        <is>
          <t>IF(OR(F190="",AS190=""),"",IF(COUNT(AI190:AR190)=0,"",AS190-LOOKUP(2,1/(AI190:AR190&lt;&gt;""),AI190:AR190)))</t>
        </is>
      </c>
      <c r="BG190" s="39" t="inlineStr">
        <is>
          <t>IF(OR(F190="",AT190=""),"",IF(COUNT(AI190:AS190)=0,"",AT190-LOOKUP(2,1/(AI190:AS190&lt;&gt;""),AI190:AS190)))</t>
        </is>
      </c>
      <c r="BH190" s="39" t="inlineStr">
        <is>
          <t>IF(OR(F190="",AU190=""),"",IF(COUNT(AI190:AT190)=0,"",AU190-LOOKUP(2,1/(AI190:AT190&lt;&gt;""),AI190:AT190)))</t>
        </is>
      </c>
      <c r="BI190" s="39" t="inlineStr">
        <is>
          <t>IF(OR(F190="",AV190=""),"",IF(COUNT(AI190:AU190)=0,"",AV190-LOOKUP(2,1/(AI190:AU190&lt;&gt;""),AI190:AU190)))</t>
        </is>
      </c>
      <c r="BJ190" s="41" t="inlineStr">
        <is>
          <t>IF(J190="","All_Provinces",IFERROR(VLOOKUP(J190,'09_Lookups'!$A$4:$B$20,2,FALSE),"All_Provinces"))</t>
        </is>
      </c>
      <c r="BK190" s="41" t="inlineStr">
        <is>
          <t>IF(K190="","All_Districts",IFERROR(VLOOKUP(K190,'09_Lookups'!$E$4:$F$42,2,FALSE),"All_Districts"))</t>
        </is>
      </c>
    </row>
    <row r="191" outlineLevel="1" ht="18" customHeight="1">
      <c r="A191" s="42" t="inlineStr">
        <is>
          <t>IF(F191="","",ROW()-3)</t>
        </is>
      </c>
      <c r="B191" s="61" t="inlineStr">
        <is>
          <t>AF2-IS-28</t>
        </is>
      </c>
      <c r="C191" s="61" t="inlineStr">
        <is>
          <t>Package # 28 – AF2 IS: Rehabilitation of Irrigation Schemes of 1. Abil Aroq (Qanjogha), 2. Shaitan Aroq Cluster Canals in Khwaja Ghar District and 3. Kalta Aroq, 4. Pacha Khail, and 5. Sayed Miran (Khar Kar) Cluster Canals in Eshkamish District of Takhar Province</t>
        </is>
      </c>
      <c r="D191" s="61" t="inlineStr">
        <is>
          <t>2 of 2</t>
        </is>
      </c>
      <c r="E191" s="44" t="inlineStr">
        <is>
          <t>AF2-IS-A-027</t>
        </is>
      </c>
      <c r="F191" s="44" t="inlineStr">
        <is>
          <t>Khar Kar (Kalta Aroq, Pacha Khail and Sayed Miran) Cluster Canal Irrigation Schemes</t>
        </is>
      </c>
      <c r="G191" s="44" t="inlineStr">
        <is>
          <t>Irrigation Scheme</t>
        </is>
      </c>
      <c r="H191" s="44" t="inlineStr">
        <is>
          <t>Irrigation Canal</t>
        </is>
      </c>
      <c r="I191" s="44" t="inlineStr">
        <is>
          <t>Emergency Food Security Project (EFSP) – WBK/AF-2</t>
        </is>
      </c>
      <c r="J191" s="44" t="inlineStr">
        <is>
          <t>Northeast / Kunduz</t>
        </is>
      </c>
      <c r="K191" s="44" t="inlineStr">
        <is>
          <t>Takhar</t>
        </is>
      </c>
      <c r="L191" s="44" t="inlineStr">
        <is>
          <t>Eshkamish</t>
        </is>
      </c>
      <c r="M191" s="44" t="inlineStr">
        <is>
          <t>Kat Qurugh</t>
        </is>
      </c>
      <c r="N191" s="44" t="inlineStr">
        <is>
          <t>World Bank (WBK/AF-2)</t>
        </is>
      </c>
      <c r="O191" s="44" t="inlineStr">
        <is>
          <t>Awarded</t>
        </is>
      </c>
      <c r="P191" s="44" t="inlineStr">
        <is>
          <t>1.Awarded contracts_On&amp;off-farm</t>
        </is>
      </c>
      <c r="Q191" s="44" t="inlineStr">
        <is>
          <t>SHAMAL KARDAN ROAD CONSTRUCTION AND LOGISTIC SERVICES COMPANY LTD (SKRCC)</t>
        </is>
      </c>
      <c r="R191" s="44" t="inlineStr">
        <is>
          <t>067/2025</t>
        </is>
      </c>
      <c r="S191" s="45" t="n">
        <v>89881.2</v>
      </c>
      <c r="T191" s="46" t="inlineStr">
        <is>
          <t>IF(AQ191="","",AQ191)</t>
        </is>
      </c>
      <c r="U191" s="47" t="n"/>
      <c r="V191" s="48" t="n">
        <v>12</v>
      </c>
      <c r="W191" s="47" t="n">
        <v>46377</v>
      </c>
      <c r="X191" s="46" t="inlineStr">
        <is>
          <t>IF(W191&lt;&gt;"",W191,IF(OR(T191="",V191=""),"",EDATE(T191,V191)))</t>
        </is>
      </c>
      <c r="Y191" s="47" t="n"/>
      <c r="Z191" s="48" t="n">
        <v>80</v>
      </c>
      <c r="AA191" s="44" t="inlineStr">
        <is>
          <t>Under Construction</t>
        </is>
      </c>
      <c r="AB191" s="44" t="inlineStr">
        <is>
          <t>on track and will be completed by Dec. 2026</t>
        </is>
      </c>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67" t="n"/>
      <c r="AJ191" s="67" t="n"/>
      <c r="AK191" s="67" t="n"/>
      <c r="AL191" s="67" t="n"/>
      <c r="AM191" s="67" t="n"/>
      <c r="AN191" s="67" t="n"/>
      <c r="AO191" s="67" t="n"/>
      <c r="AP191" s="67" t="n"/>
      <c r="AQ191" s="67" t="n">
        <v>46013</v>
      </c>
      <c r="AR191" s="67" t="n">
        <v>46013</v>
      </c>
      <c r="AS191" s="6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32" t="inlineStr">
        <is>
          <t>IF(F192="","",ROW()-3)</t>
        </is>
      </c>
      <c r="B192" s="62" t="inlineStr">
        <is>
          <t>AF2-IS-29</t>
        </is>
      </c>
      <c r="C192" s="62" t="inlineStr">
        <is>
          <t>Package #29-AF2 IS: Rehabilitation of Dagh Aruq canal and Boghoz Qum canal irrigation schemes, located in Chahar Dara district of Kunduz province.</t>
        </is>
      </c>
      <c r="D192" s="62" t="inlineStr">
        <is>
          <t>1 of 2</t>
        </is>
      </c>
      <c r="E192" s="34" t="inlineStr">
        <is>
          <t>AF2-IS-N-023</t>
        </is>
      </c>
      <c r="F192" s="34" t="inlineStr">
        <is>
          <t>Boghoz Qum Irrigation scheme</t>
        </is>
      </c>
      <c r="G192" s="34" t="inlineStr">
        <is>
          <t>Irrigation Scheme</t>
        </is>
      </c>
      <c r="H192" s="34" t="inlineStr">
        <is>
          <t>Irrigation Canal</t>
        </is>
      </c>
      <c r="I192" s="34" t="inlineStr">
        <is>
          <t>Emergency Food Security Project (EFSP) – WBK/AF-2</t>
        </is>
      </c>
      <c r="J192" s="34" t="inlineStr">
        <is>
          <t>Central Highland / Bamyan</t>
        </is>
      </c>
      <c r="K192" s="34" t="inlineStr">
        <is>
          <t>Kunduz</t>
        </is>
      </c>
      <c r="L192" s="34" t="inlineStr">
        <is>
          <t>Chahar Dara</t>
        </is>
      </c>
      <c r="M192" s="34" t="inlineStr">
        <is>
          <t>Boghoz Qum</t>
        </is>
      </c>
      <c r="N192" s="34" t="inlineStr">
        <is>
          <t>World Bank (WBK/AF-2)</t>
        </is>
      </c>
      <c r="O192" s="34" t="inlineStr">
        <is>
          <t>Not awarded</t>
        </is>
      </c>
      <c r="P192" s="34" t="inlineStr">
        <is>
          <t>2.Remain contracts_On&amp;off-farm</t>
        </is>
      </c>
      <c r="Q192" s="34" t="inlineStr"/>
      <c r="R192" s="34" t="inlineStr"/>
      <c r="S192" s="35" t="n">
        <v>295000</v>
      </c>
      <c r="T192" s="36" t="inlineStr">
        <is>
          <t>IF(AQ192="","",AQ192)</t>
        </is>
      </c>
      <c r="U192" s="37" t="n">
        <v>46351</v>
      </c>
      <c r="V192" s="38" t="n">
        <v>9.9</v>
      </c>
      <c r="W192" s="37" t="n">
        <v>46651</v>
      </c>
      <c r="X192" s="36" t="inlineStr">
        <is>
          <t>IF(W192&lt;&gt;"",W192,IF(OR(T192="",V192=""),"",EDATE(T192,V192)))</t>
        </is>
      </c>
      <c r="Y192" s="37" t="n"/>
      <c r="Z192" s="38" t="n"/>
      <c r="AA192" s="34" t="inlineStr">
        <is>
          <t>PR to be Raised</t>
        </is>
      </c>
      <c r="AB192" s="34" t="inlineStr">
        <is>
          <t>Three months slack period Jan-Mar during winter. Seven months construction period required for two canals. Split into 2 lots and make 2 PRs</t>
        </is>
      </c>
      <c r="AC192" s="32" t="inlineStr">
        <is>
          <t>IF(F192="","",IF(COUNT(AI192:AV192)=0,IF(AA192="","Not started",AA192),SUBSTITUTE(LOOKUP(2,1/(AI192:AV192&lt;&gt;""),$AI$3:$AV$3),"Date: ","")))</t>
        </is>
      </c>
      <c r="AD192" s="39" t="inlineStr">
        <is>
          <t>IF(OR(F192="",COUNT(AI192:AV192)=0),"",TODAY()-LOOKUP(2,1/(AI192:AV192&lt;&gt;""),AI192:AV192))</t>
        </is>
      </c>
      <c r="AE192" s="39" t="inlineStr">
        <is>
          <t>IF(OR(F192="",COUNT(AI192:AV192)&lt;2),"",LOOKUP(2,1/(AI192:AV192&lt;&gt;""),AI192:AV192)-MIN(AI192:AV192))</t>
        </is>
      </c>
      <c r="AF192" s="39" t="inlineStr">
        <is>
          <t>IF(OR(AD192="",AC192="Not started",AC192=""),"",IFERROR(AD192-IF(VLOOKUP(AC192,'06_Status_Pipeline'!$B$3:$E$20,4,FALSE)="",0,VLOOKUP(AC192,'06_Status_Pipeline'!$B$3:$E$20,4,FALSE)),""))</t>
        </is>
      </c>
      <c r="AG192" s="3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39" t="inlineStr">
        <is>
          <t>IF(OR(F192="",AC192="Completed / Handover",AC192="Cancelled"),"",IF(O192="Not awarded",IF(U192&lt;&gt;"",U192-TODAY(),IF(X192="","",X192-TODAY())),IF(X192="","",X192-TODAY())))</t>
        </is>
      </c>
      <c r="AI192" s="37" t="n"/>
      <c r="AJ192" s="37" t="n"/>
      <c r="AK192" s="37" t="n"/>
      <c r="AL192" s="37" t="n"/>
      <c r="AM192" s="37" t="n"/>
      <c r="AN192" s="37" t="n"/>
      <c r="AO192" s="37" t="n"/>
      <c r="AP192" s="37" t="n"/>
      <c r="AQ192" s="37" t="n"/>
      <c r="AR192" s="37" t="n"/>
      <c r="AS192" s="37" t="n"/>
      <c r="AT192" s="40" t="n"/>
      <c r="AU192" s="40" t="n"/>
      <c r="AV192" s="40" t="n"/>
      <c r="AW192" s="39" t="inlineStr">
        <is>
          <t>IF(OR(F192="",AJ192=""),"",IF(COUNT(AI192:AI192)=0,"",AJ192-LOOKUP(2,1/(AI192:AI192&lt;&gt;""),AI192:AI192)))</t>
        </is>
      </c>
      <c r="AX192" s="39" t="inlineStr">
        <is>
          <t>IF(OR(F192="",AK192=""),"",IF(COUNT(AI192:AJ192)=0,"",AK192-LOOKUP(2,1/(AI192:AJ192&lt;&gt;""),AI192:AJ192)))</t>
        </is>
      </c>
      <c r="AY192" s="39" t="inlineStr">
        <is>
          <t>IF(OR(F192="",AL192=""),"",IF(COUNT(AI192:AK192)=0,"",AL192-LOOKUP(2,1/(AI192:AK192&lt;&gt;""),AI192:AK192)))</t>
        </is>
      </c>
      <c r="AZ192" s="39" t="inlineStr">
        <is>
          <t>IF(OR(F192="",AM192=""),"",IF(COUNT(AI192:AL192)=0,"",AM192-LOOKUP(2,1/(AI192:AL192&lt;&gt;""),AI192:AL192)))</t>
        </is>
      </c>
      <c r="BA192" s="39" t="inlineStr">
        <is>
          <t>IF(OR(F192="",AN192=""),"",IF(COUNT(AI192:AM192)=0,"",AN192-LOOKUP(2,1/(AI192:AM192&lt;&gt;""),AI192:AM192)))</t>
        </is>
      </c>
      <c r="BB192" s="39" t="inlineStr">
        <is>
          <t>IF(OR(F192="",AO192=""),"",IF(COUNT(AI192:AN192)=0,"",AO192-LOOKUP(2,1/(AI192:AN192&lt;&gt;""),AI192:AN192)))</t>
        </is>
      </c>
      <c r="BC192" s="39" t="inlineStr">
        <is>
          <t>IF(OR(F192="",AP192=""),"",IF(COUNT(AI192:AO192)=0,"",AP192-LOOKUP(2,1/(AI192:AO192&lt;&gt;""),AI192:AO192)))</t>
        </is>
      </c>
      <c r="BD192" s="39" t="inlineStr">
        <is>
          <t>IF(OR(F192="",AQ192=""),"",IF(COUNT(AI192:AP192)=0,"",AQ192-LOOKUP(2,1/(AI192:AP192&lt;&gt;""),AI192:AP192)))</t>
        </is>
      </c>
      <c r="BE192" s="39" t="inlineStr">
        <is>
          <t>IF(OR(F192="",AR192=""),"",IF(COUNT(AI192:AQ192)=0,"",AR192-LOOKUP(2,1/(AI192:AQ192&lt;&gt;""),AI192:AQ192)))</t>
        </is>
      </c>
      <c r="BF192" s="39" t="inlineStr">
        <is>
          <t>IF(OR(F192="",AS192=""),"",IF(COUNT(AI192:AR192)=0,"",AS192-LOOKUP(2,1/(AI192:AR192&lt;&gt;""),AI192:AR192)))</t>
        </is>
      </c>
      <c r="BG192" s="39" t="inlineStr">
        <is>
          <t>IF(OR(F192="",AT192=""),"",IF(COUNT(AI192:AS192)=0,"",AT192-LOOKUP(2,1/(AI192:AS192&lt;&gt;""),AI192:AS192)))</t>
        </is>
      </c>
      <c r="BH192" s="39" t="inlineStr">
        <is>
          <t>IF(OR(F192="",AU192=""),"",IF(COUNT(AI192:AT192)=0,"",AU192-LOOKUP(2,1/(AI192:AT192&lt;&gt;""),AI192:AT192)))</t>
        </is>
      </c>
      <c r="BI192" s="39" t="inlineStr">
        <is>
          <t>IF(OR(F192="",AV192=""),"",IF(COUNT(AI192:AU192)=0,"",AV192-LOOKUP(2,1/(AI192:AU192&lt;&gt;""),AI192:AU192)))</t>
        </is>
      </c>
      <c r="BJ192" s="41" t="inlineStr">
        <is>
          <t>IF(J192="","All_Provinces",IFERROR(VLOOKUP(J192,'09_Lookups'!$A$4:$B$20,2,FALSE),"All_Provinces"))</t>
        </is>
      </c>
      <c r="BK192" s="41" t="inlineStr">
        <is>
          <t>IF(K192="","All_Districts",IFERROR(VLOOKUP(K192,'09_Lookups'!$E$4:$F$42,2,FALSE),"All_Districts"))</t>
        </is>
      </c>
    </row>
    <row r="193" outlineLevel="1" ht="18" customHeight="1">
      <c r="A193" s="42" t="inlineStr">
        <is>
          <t>IF(F193="","",ROW()-3)</t>
        </is>
      </c>
      <c r="B193" s="63" t="inlineStr">
        <is>
          <t>AF2-IS-29</t>
        </is>
      </c>
      <c r="C193" s="63" t="inlineStr">
        <is>
          <t>Package #29-AF2 IS: Rehabilitation of Dagh Aruq canal and Boghoz Qum canal irrigation schemes, located in Chahar Dara district of Kunduz province.</t>
        </is>
      </c>
      <c r="D193" s="63" t="inlineStr">
        <is>
          <t>2 of 2</t>
        </is>
      </c>
      <c r="E193" s="44" t="inlineStr">
        <is>
          <t>AF2-IS-N-024</t>
        </is>
      </c>
      <c r="F193" s="44" t="inlineStr">
        <is>
          <t>Dagh Aruq Canal Irrigation Scheme</t>
        </is>
      </c>
      <c r="G193" s="44" t="inlineStr">
        <is>
          <t>Irrigation Scheme</t>
        </is>
      </c>
      <c r="H193" s="44" t="inlineStr">
        <is>
          <t>Irrigation Canal</t>
        </is>
      </c>
      <c r="I193" s="44" t="inlineStr">
        <is>
          <t>Emergency Food Security Project (EFSP) – WBK/AF-2</t>
        </is>
      </c>
      <c r="J193" s="44" t="inlineStr">
        <is>
          <t>Central Highland / Bamyan</t>
        </is>
      </c>
      <c r="K193" s="44" t="inlineStr">
        <is>
          <t>Kunduz</t>
        </is>
      </c>
      <c r="L193" s="44" t="inlineStr">
        <is>
          <t>Chahar Dara</t>
        </is>
      </c>
      <c r="M193" s="44" t="inlineStr">
        <is>
          <t>Dagh Aruq</t>
        </is>
      </c>
      <c r="N193" s="44" t="inlineStr">
        <is>
          <t>World Bank (WBK/AF-2)</t>
        </is>
      </c>
      <c r="O193" s="44" t="inlineStr">
        <is>
          <t>Not awarded</t>
        </is>
      </c>
      <c r="P193" s="44" t="inlineStr">
        <is>
          <t>2.Remain contracts_On&amp;off-farm</t>
        </is>
      </c>
      <c r="Q193" s="44" t="inlineStr"/>
      <c r="R193" s="44" t="inlineStr"/>
      <c r="S193" s="45" t="n">
        <v>295000</v>
      </c>
      <c r="T193" s="46" t="inlineStr">
        <is>
          <t>IF(AQ193="","",AQ193)</t>
        </is>
      </c>
      <c r="U193" s="47" t="n">
        <v>46351</v>
      </c>
      <c r="V193" s="48" t="n">
        <v>9.9</v>
      </c>
      <c r="W193" s="47" t="n">
        <v>46651</v>
      </c>
      <c r="X193" s="46" t="inlineStr">
        <is>
          <t>IF(W193&lt;&gt;"",W193,IF(OR(T193="",V193=""),"",EDATE(T193,V193)))</t>
        </is>
      </c>
      <c r="Y193" s="47" t="n"/>
      <c r="Z193" s="48" t="n"/>
      <c r="AA193" s="44" t="inlineStr">
        <is>
          <t>PR to be Raised</t>
        </is>
      </c>
      <c r="AB193" s="44" t="inlineStr">
        <is>
          <t>Three months slack period Jan-Mar during winter. Seven months construction period required for two canals. Split into 2 lots and make 2 PRs</t>
        </is>
      </c>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32" t="inlineStr">
        <is>
          <t>IF(F194="","",ROW()-3)</t>
        </is>
      </c>
      <c r="B194" s="64" t="inlineStr">
        <is>
          <t>AF2-IS-30</t>
        </is>
      </c>
      <c r="C194" s="64" t="inlineStr">
        <is>
          <t>Package # 30-AF2 IS: Rehabilitation of Teshkhan canal and Khushpak Markazi Canals irrigation schemes, located in Ishkashim districts of Badakhshan province.</t>
        </is>
      </c>
      <c r="D194" s="64" t="inlineStr">
        <is>
          <t>1 of 2</t>
        </is>
      </c>
      <c r="E194" s="34" t="inlineStr">
        <is>
          <t>AF2-IS-N-025</t>
        </is>
      </c>
      <c r="F194" s="34" t="inlineStr">
        <is>
          <t>Khushpak Markazi Canal Irrigation Scheme</t>
        </is>
      </c>
      <c r="G194" s="34" t="inlineStr">
        <is>
          <t>Irrigation Scheme</t>
        </is>
      </c>
      <c r="H194" s="34" t="inlineStr">
        <is>
          <t>Irrigation Canal</t>
        </is>
      </c>
      <c r="I194" s="34" t="inlineStr">
        <is>
          <t>Emergency Food Security Project (EFSP) – WBK/AF-2</t>
        </is>
      </c>
      <c r="J194" s="34" t="inlineStr">
        <is>
          <t>Central Highland / Bamyan</t>
        </is>
      </c>
      <c r="K194" s="34" t="inlineStr">
        <is>
          <t>Badakhshan</t>
        </is>
      </c>
      <c r="L194" s="34" t="inlineStr">
        <is>
          <t>Ishkashim</t>
        </is>
      </c>
      <c r="M194" s="34" t="inlineStr">
        <is>
          <t>Osas</t>
        </is>
      </c>
      <c r="N194" s="34" t="inlineStr">
        <is>
          <t>World Bank (WBK/AF-2)</t>
        </is>
      </c>
      <c r="O194" s="34" t="inlineStr">
        <is>
          <t>Not awarded</t>
        </is>
      </c>
      <c r="P194" s="34" t="inlineStr">
        <is>
          <t>2.Remain contracts_On&amp;off-farm</t>
        </is>
      </c>
      <c r="Q194" s="34" t="inlineStr"/>
      <c r="R194" s="34" t="inlineStr"/>
      <c r="S194" s="35" t="n">
        <v>220000</v>
      </c>
      <c r="T194" s="36" t="inlineStr">
        <is>
          <t>IF(AQ194="","",AQ194)</t>
        </is>
      </c>
      <c r="U194" s="37" t="n">
        <v>46399</v>
      </c>
      <c r="V194" s="38" t="n">
        <v>8.9</v>
      </c>
      <c r="W194" s="37" t="n">
        <v>46669</v>
      </c>
      <c r="X194" s="36" t="inlineStr">
        <is>
          <t>IF(W194&lt;&gt;"",W194,IF(OR(T194="",V194=""),"",EDATE(T194,V194)))</t>
        </is>
      </c>
      <c r="Y194" s="37" t="n"/>
      <c r="Z194" s="38" t="n"/>
      <c r="AA194" s="34" t="inlineStr">
        <is>
          <t>PR to be Raised</t>
        </is>
      </c>
      <c r="AB194" s="34" t="inlineStr">
        <is>
          <t>Three months slack period Jan-Mar during winter. Six months construction period required for two canals</t>
        </is>
      </c>
      <c r="AC194" s="32" t="inlineStr">
        <is>
          <t>IF(F194="","",IF(COUNT(AI194:AV194)=0,IF(AA194="","Not started",AA194),SUBSTITUTE(LOOKUP(2,1/(AI194:AV194&lt;&gt;""),$AI$3:$AV$3),"Date: ","")))</t>
        </is>
      </c>
      <c r="AD194" s="39" t="inlineStr">
        <is>
          <t>IF(OR(F194="",COUNT(AI194:AV194)=0),"",TODAY()-LOOKUP(2,1/(AI194:AV194&lt;&gt;""),AI194:AV194))</t>
        </is>
      </c>
      <c r="AE194" s="39" t="inlineStr">
        <is>
          <t>IF(OR(F194="",COUNT(AI194:AV194)&lt;2),"",LOOKUP(2,1/(AI194:AV194&lt;&gt;""),AI194:AV194)-MIN(AI194:AV194))</t>
        </is>
      </c>
      <c r="AF194" s="39" t="inlineStr">
        <is>
          <t>IF(OR(AD194="",AC194="Not started",AC194=""),"",IFERROR(AD194-IF(VLOOKUP(AC194,'06_Status_Pipeline'!$B$3:$E$20,4,FALSE)="",0,VLOOKUP(AC194,'06_Status_Pipeline'!$B$3:$E$20,4,FALSE)),""))</t>
        </is>
      </c>
      <c r="AG194" s="3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39" t="inlineStr">
        <is>
          <t>IF(OR(F194="",AC194="Completed / Handover",AC194="Cancelled"),"",IF(O194="Not awarded",IF(U194&lt;&gt;"",U194-TODAY(),IF(X194="","",X194-TODAY())),IF(X194="","",X194-TODAY())))</t>
        </is>
      </c>
      <c r="AI194" s="37" t="n"/>
      <c r="AJ194" s="37" t="n"/>
      <c r="AK194" s="37" t="n"/>
      <c r="AL194" s="37" t="n"/>
      <c r="AM194" s="37" t="n"/>
      <c r="AN194" s="37" t="n"/>
      <c r="AO194" s="37" t="n"/>
      <c r="AP194" s="37" t="n"/>
      <c r="AQ194" s="37" t="n"/>
      <c r="AR194" s="37" t="n"/>
      <c r="AS194" s="37" t="n"/>
      <c r="AT194" s="40" t="n"/>
      <c r="AU194" s="40" t="n"/>
      <c r="AV194" s="40" t="n"/>
      <c r="AW194" s="39" t="inlineStr">
        <is>
          <t>IF(OR(F194="",AJ194=""),"",IF(COUNT(AI194:AI194)=0,"",AJ194-LOOKUP(2,1/(AI194:AI194&lt;&gt;""),AI194:AI194)))</t>
        </is>
      </c>
      <c r="AX194" s="39" t="inlineStr">
        <is>
          <t>IF(OR(F194="",AK194=""),"",IF(COUNT(AI194:AJ194)=0,"",AK194-LOOKUP(2,1/(AI194:AJ194&lt;&gt;""),AI194:AJ194)))</t>
        </is>
      </c>
      <c r="AY194" s="39" t="inlineStr">
        <is>
          <t>IF(OR(F194="",AL194=""),"",IF(COUNT(AI194:AK194)=0,"",AL194-LOOKUP(2,1/(AI194:AK194&lt;&gt;""),AI194:AK194)))</t>
        </is>
      </c>
      <c r="AZ194" s="39" t="inlineStr">
        <is>
          <t>IF(OR(F194="",AM194=""),"",IF(COUNT(AI194:AL194)=0,"",AM194-LOOKUP(2,1/(AI194:AL194&lt;&gt;""),AI194:AL194)))</t>
        </is>
      </c>
      <c r="BA194" s="39" t="inlineStr">
        <is>
          <t>IF(OR(F194="",AN194=""),"",IF(COUNT(AI194:AM194)=0,"",AN194-LOOKUP(2,1/(AI194:AM194&lt;&gt;""),AI194:AM194)))</t>
        </is>
      </c>
      <c r="BB194" s="39" t="inlineStr">
        <is>
          <t>IF(OR(F194="",AO194=""),"",IF(COUNT(AI194:AN194)=0,"",AO194-LOOKUP(2,1/(AI194:AN194&lt;&gt;""),AI194:AN194)))</t>
        </is>
      </c>
      <c r="BC194" s="39" t="inlineStr">
        <is>
          <t>IF(OR(F194="",AP194=""),"",IF(COUNT(AI194:AO194)=0,"",AP194-LOOKUP(2,1/(AI194:AO194&lt;&gt;""),AI194:AO194)))</t>
        </is>
      </c>
      <c r="BD194" s="39" t="inlineStr">
        <is>
          <t>IF(OR(F194="",AQ194=""),"",IF(COUNT(AI194:AP194)=0,"",AQ194-LOOKUP(2,1/(AI194:AP194&lt;&gt;""),AI194:AP194)))</t>
        </is>
      </c>
      <c r="BE194" s="39" t="inlineStr">
        <is>
          <t>IF(OR(F194="",AR194=""),"",IF(COUNT(AI194:AQ194)=0,"",AR194-LOOKUP(2,1/(AI194:AQ194&lt;&gt;""),AI194:AQ194)))</t>
        </is>
      </c>
      <c r="BF194" s="39" t="inlineStr">
        <is>
          <t>IF(OR(F194="",AS194=""),"",IF(COUNT(AI194:AR194)=0,"",AS194-LOOKUP(2,1/(AI194:AR194&lt;&gt;""),AI194:AR194)))</t>
        </is>
      </c>
      <c r="BG194" s="39" t="inlineStr">
        <is>
          <t>IF(OR(F194="",AT194=""),"",IF(COUNT(AI194:AS194)=0,"",AT194-LOOKUP(2,1/(AI194:AS194&lt;&gt;""),AI194:AS194)))</t>
        </is>
      </c>
      <c r="BH194" s="39" t="inlineStr">
        <is>
          <t>IF(OR(F194="",AU194=""),"",IF(COUNT(AI194:AT194)=0,"",AU194-LOOKUP(2,1/(AI194:AT194&lt;&gt;""),AI194:AT194)))</t>
        </is>
      </c>
      <c r="BI194" s="39" t="inlineStr">
        <is>
          <t>IF(OR(F194="",AV194=""),"",IF(COUNT(AI194:AU194)=0,"",AV194-LOOKUP(2,1/(AI194:AU194&lt;&gt;""),AI194:AU194)))</t>
        </is>
      </c>
      <c r="BJ194" s="41" t="inlineStr">
        <is>
          <t>IF(J194="","All_Provinces",IFERROR(VLOOKUP(J194,'09_Lookups'!$A$4:$B$20,2,FALSE),"All_Provinces"))</t>
        </is>
      </c>
      <c r="BK194" s="41" t="inlineStr">
        <is>
          <t>IF(K194="","All_Districts",IFERROR(VLOOKUP(K194,'09_Lookups'!$E$4:$F$42,2,FALSE),"All_Districts"))</t>
        </is>
      </c>
    </row>
    <row r="195" outlineLevel="1" ht="18" customHeight="1">
      <c r="A195" s="42" t="inlineStr">
        <is>
          <t>IF(F195="","",ROW()-3)</t>
        </is>
      </c>
      <c r="B195" s="65" t="inlineStr">
        <is>
          <t>AF2-IS-30</t>
        </is>
      </c>
      <c r="C195" s="65" t="inlineStr">
        <is>
          <t>Package # 30-AF2 IS: Rehabilitation of Teshkhan canal and Khushpak Markazi Canals irrigation schemes, located in Ishkashim districts of Badakhshan province.</t>
        </is>
      </c>
      <c r="D195" s="65" t="inlineStr">
        <is>
          <t>2 of 2</t>
        </is>
      </c>
      <c r="E195" s="44" t="inlineStr">
        <is>
          <t>AF2-IS-N-026</t>
        </is>
      </c>
      <c r="F195" s="44" t="inlineStr">
        <is>
          <t>Teshkhan Canal Irrigation Scheme</t>
        </is>
      </c>
      <c r="G195" s="44" t="inlineStr">
        <is>
          <t>Irrigation Scheme</t>
        </is>
      </c>
      <c r="H195" s="44" t="inlineStr">
        <is>
          <t>Irrigation Canal</t>
        </is>
      </c>
      <c r="I195" s="44" t="inlineStr">
        <is>
          <t>Emergency Food Security Project (EFSP) – WBK/AF-2</t>
        </is>
      </c>
      <c r="J195" s="44" t="inlineStr">
        <is>
          <t>Central Highland / Bamyan</t>
        </is>
      </c>
      <c r="K195" s="44" t="inlineStr">
        <is>
          <t>Badakhshan</t>
        </is>
      </c>
      <c r="L195" s="44" t="inlineStr">
        <is>
          <t>Ishkashim</t>
        </is>
      </c>
      <c r="M195" s="44" t="inlineStr">
        <is>
          <t>Teshkhan</t>
        </is>
      </c>
      <c r="N195" s="44" t="inlineStr">
        <is>
          <t>World Bank (WBK/AF-2)</t>
        </is>
      </c>
      <c r="O195" s="44" t="inlineStr">
        <is>
          <t>Not awarded</t>
        </is>
      </c>
      <c r="P195" s="44" t="inlineStr">
        <is>
          <t>2.Remain contracts_On&amp;off-farm</t>
        </is>
      </c>
      <c r="Q195" s="44" t="inlineStr"/>
      <c r="R195" s="44" t="inlineStr"/>
      <c r="S195" s="45" t="n">
        <v>220000</v>
      </c>
      <c r="T195" s="46" t="inlineStr">
        <is>
          <t>IF(AQ195="","",AQ195)</t>
        </is>
      </c>
      <c r="U195" s="47" t="n">
        <v>46399</v>
      </c>
      <c r="V195" s="48" t="n">
        <v>8.9</v>
      </c>
      <c r="W195" s="47" t="n">
        <v>46669</v>
      </c>
      <c r="X195" s="46" t="inlineStr">
        <is>
          <t>IF(W195&lt;&gt;"",W195,IF(OR(T195="",V195=""),"",EDATE(T195,V195)))</t>
        </is>
      </c>
      <c r="Y195" s="47" t="n"/>
      <c r="Z195" s="48" t="n"/>
      <c r="AA195" s="44" t="inlineStr">
        <is>
          <t>PR to be Raised</t>
        </is>
      </c>
      <c r="AB195" s="44" t="inlineStr">
        <is>
          <t>Three months slack period Jan-Mar during winter. Six months construction period required for two canals</t>
        </is>
      </c>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32" t="inlineStr">
        <is>
          <t>IF(F196="","",ROW()-3)</t>
        </is>
      </c>
      <c r="B196" s="33" t="inlineStr">
        <is>
          <t>AF2-IS-31</t>
        </is>
      </c>
      <c r="C196" s="33" t="inlineStr">
        <is>
          <t>Package #31-AF2 IS: Rehabilitation of 1. Shahidan &amp;Dasht-e Lajam Canal schems in Tala wa barfak district, 2.Sardar Ha canal scheme in Deh Salah district, and 3. Kambilan cluster canal schemes in Fring districts of Baghlan province.</t>
        </is>
      </c>
      <c r="D196" s="33" t="inlineStr">
        <is>
          <t>1 of 3</t>
        </is>
      </c>
      <c r="E196" s="34" t="inlineStr">
        <is>
          <t>AF2-IS-A-028</t>
        </is>
      </c>
      <c r="F196" s="34" t="inlineStr">
        <is>
          <t>Juybar-e-Maidan (Payendakhail), Nahr-e-Salih, Khambilan, Dara-e-Bazar Irrigation Schemes</t>
        </is>
      </c>
      <c r="G196" s="34" t="inlineStr">
        <is>
          <t>Irrigation Scheme</t>
        </is>
      </c>
      <c r="H196" s="34" t="inlineStr">
        <is>
          <t>Irrigation Canal</t>
        </is>
      </c>
      <c r="I196" s="34" t="inlineStr">
        <is>
          <t>Emergency Food Security Project (EFSP) – WBK/AF-2</t>
        </is>
      </c>
      <c r="J196" s="34" t="inlineStr">
        <is>
          <t>Northeast / Kunduz</t>
        </is>
      </c>
      <c r="K196" s="34" t="inlineStr">
        <is>
          <t>Baghlan</t>
        </is>
      </c>
      <c r="L196" s="34" t="inlineStr">
        <is>
          <t>Fring</t>
        </is>
      </c>
      <c r="M196" s="34" t="inlineStr">
        <is>
          <t>Juybar-e-Maidan (Payendakhail), Salih, Khambilan, Dara-e-Bazar</t>
        </is>
      </c>
      <c r="N196" s="34" t="inlineStr">
        <is>
          <t>World Bank (WBK/AF-2)</t>
        </is>
      </c>
      <c r="O196" s="34" t="inlineStr">
        <is>
          <t>Awarded</t>
        </is>
      </c>
      <c r="P196" s="34" t="inlineStr">
        <is>
          <t>1.Awarded contracts_On&amp;off-farm</t>
        </is>
      </c>
      <c r="Q196" s="34" t="inlineStr">
        <is>
          <t>Afghan Eithad construction and Road Building company (AECC)</t>
        </is>
      </c>
      <c r="R196" s="34" t="inlineStr">
        <is>
          <t>009/2026</t>
        </is>
      </c>
      <c r="S196" s="35" t="n">
        <v>120795.68</v>
      </c>
      <c r="T196" s="36" t="inlineStr">
        <is>
          <t>IF(AQ196="","",AQ196)</t>
        </is>
      </c>
      <c r="U196" s="37" t="n"/>
      <c r="V196" s="38" t="n">
        <v>10</v>
      </c>
      <c r="W196" s="37" t="n">
        <v>46354</v>
      </c>
      <c r="X196" s="36" t="inlineStr">
        <is>
          <t>IF(W196&lt;&gt;"",W196,IF(OR(T196="",V196=""),"",EDATE(T196,V196)))</t>
        </is>
      </c>
      <c r="Y196" s="37" t="n"/>
      <c r="Z196" s="38" t="n">
        <v>100</v>
      </c>
      <c r="AA196" s="34" t="inlineStr">
        <is>
          <t>Completed / Handover</t>
        </is>
      </c>
      <c r="AB196" s="34" t="inlineStr">
        <is>
          <t>Actual completion: August, 2026</t>
        </is>
      </c>
      <c r="AC196" s="32" t="inlineStr">
        <is>
          <t>IF(F196="","",IF(COUNT(AI196:AV196)=0,IF(AA196="","Not started",AA196),SUBSTITUTE(LOOKUP(2,1/(AI196:AV196&lt;&gt;""),$AI$3:$AV$3),"Date: ","")))</t>
        </is>
      </c>
      <c r="AD196" s="39" t="inlineStr">
        <is>
          <t>IF(OR(F196="",COUNT(AI196:AV196)=0),"",TODAY()-LOOKUP(2,1/(AI196:AV196&lt;&gt;""),AI196:AV196))</t>
        </is>
      </c>
      <c r="AE196" s="39" t="inlineStr">
        <is>
          <t>IF(OR(F196="",COUNT(AI196:AV196)&lt;2),"",LOOKUP(2,1/(AI196:AV196&lt;&gt;""),AI196:AV196)-MIN(AI196:AV196))</t>
        </is>
      </c>
      <c r="AF196" s="39" t="inlineStr">
        <is>
          <t>IF(OR(AD196="",AC196="Not started",AC196=""),"",IFERROR(AD196-IF(VLOOKUP(AC196,'06_Status_Pipeline'!$B$3:$E$20,4,FALSE)="",0,VLOOKUP(AC196,'06_Status_Pipeline'!$B$3:$E$20,4,FALSE)),""))</t>
        </is>
      </c>
      <c r="AG196" s="3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39" t="inlineStr">
        <is>
          <t>IF(OR(F196="",AC196="Completed / Handover",AC196="Cancelled"),"",IF(O196="Not awarded",IF(U196&lt;&gt;"",U196-TODAY(),IF(X196="","",X196-TODAY())),IF(X196="","",X196-TODAY())))</t>
        </is>
      </c>
      <c r="AI196" s="66" t="n"/>
      <c r="AJ196" s="66" t="n"/>
      <c r="AK196" s="66" t="n"/>
      <c r="AL196" s="66" t="n"/>
      <c r="AM196" s="66" t="n"/>
      <c r="AN196" s="66" t="n"/>
      <c r="AO196" s="66" t="n"/>
      <c r="AP196" s="66" t="n"/>
      <c r="AQ196" s="66" t="n">
        <v>46051</v>
      </c>
      <c r="AR196" s="66" t="n">
        <v>46051</v>
      </c>
      <c r="AS196" s="66" t="n">
        <v>46354</v>
      </c>
      <c r="AT196" s="40" t="n"/>
      <c r="AU196" s="40" t="n"/>
      <c r="AV196" s="40" t="n"/>
      <c r="AW196" s="39" t="inlineStr">
        <is>
          <t>IF(OR(F196="",AJ196=""),"",IF(COUNT(AI196:AI196)=0,"",AJ196-LOOKUP(2,1/(AI196:AI196&lt;&gt;""),AI196:AI196)))</t>
        </is>
      </c>
      <c r="AX196" s="39" t="inlineStr">
        <is>
          <t>IF(OR(F196="",AK196=""),"",IF(COUNT(AI196:AJ196)=0,"",AK196-LOOKUP(2,1/(AI196:AJ196&lt;&gt;""),AI196:AJ196)))</t>
        </is>
      </c>
      <c r="AY196" s="39" t="inlineStr">
        <is>
          <t>IF(OR(F196="",AL196=""),"",IF(COUNT(AI196:AK196)=0,"",AL196-LOOKUP(2,1/(AI196:AK196&lt;&gt;""),AI196:AK196)))</t>
        </is>
      </c>
      <c r="AZ196" s="39" t="inlineStr">
        <is>
          <t>IF(OR(F196="",AM196=""),"",IF(COUNT(AI196:AL196)=0,"",AM196-LOOKUP(2,1/(AI196:AL196&lt;&gt;""),AI196:AL196)))</t>
        </is>
      </c>
      <c r="BA196" s="39" t="inlineStr">
        <is>
          <t>IF(OR(F196="",AN196=""),"",IF(COUNT(AI196:AM196)=0,"",AN196-LOOKUP(2,1/(AI196:AM196&lt;&gt;""),AI196:AM196)))</t>
        </is>
      </c>
      <c r="BB196" s="39" t="inlineStr">
        <is>
          <t>IF(OR(F196="",AO196=""),"",IF(COUNT(AI196:AN196)=0,"",AO196-LOOKUP(2,1/(AI196:AN196&lt;&gt;""),AI196:AN196)))</t>
        </is>
      </c>
      <c r="BC196" s="39" t="inlineStr">
        <is>
          <t>IF(OR(F196="",AP196=""),"",IF(COUNT(AI196:AO196)=0,"",AP196-LOOKUP(2,1/(AI196:AO196&lt;&gt;""),AI196:AO196)))</t>
        </is>
      </c>
      <c r="BD196" s="39" t="inlineStr">
        <is>
          <t>IF(OR(F196="",AQ196=""),"",IF(COUNT(AI196:AP196)=0,"",AQ196-LOOKUP(2,1/(AI196:AP196&lt;&gt;""),AI196:AP196)))</t>
        </is>
      </c>
      <c r="BE196" s="39" t="inlineStr">
        <is>
          <t>IF(OR(F196="",AR196=""),"",IF(COUNT(AI196:AQ196)=0,"",AR196-LOOKUP(2,1/(AI196:AQ196&lt;&gt;""),AI196:AQ196)))</t>
        </is>
      </c>
      <c r="BF196" s="39" t="inlineStr">
        <is>
          <t>IF(OR(F196="",AS196=""),"",IF(COUNT(AI196:AR196)=0,"",AS196-LOOKUP(2,1/(AI196:AR196&lt;&gt;""),AI196:AR196)))</t>
        </is>
      </c>
      <c r="BG196" s="39" t="inlineStr">
        <is>
          <t>IF(OR(F196="",AT196=""),"",IF(COUNT(AI196:AS196)=0,"",AT196-LOOKUP(2,1/(AI196:AS196&lt;&gt;""),AI196:AS196)))</t>
        </is>
      </c>
      <c r="BH196" s="39" t="inlineStr">
        <is>
          <t>IF(OR(F196="",AU196=""),"",IF(COUNT(AI196:AT196)=0,"",AU196-LOOKUP(2,1/(AI196:AT196&lt;&gt;""),AI196:AT196)))</t>
        </is>
      </c>
      <c r="BI196" s="39" t="inlineStr">
        <is>
          <t>IF(OR(F196="",AV196=""),"",IF(COUNT(AI196:AU196)=0,"",AV196-LOOKUP(2,1/(AI196:AU196&lt;&gt;""),AI196:AU196)))</t>
        </is>
      </c>
      <c r="BJ196" s="41" t="inlineStr">
        <is>
          <t>IF(J196="","All_Provinces",IFERROR(VLOOKUP(J196,'09_Lookups'!$A$4:$B$20,2,FALSE),"All_Provinces"))</t>
        </is>
      </c>
      <c r="BK196" s="41" t="inlineStr">
        <is>
          <t>IF(K196="","All_Districts",IFERROR(VLOOKUP(K196,'09_Lookups'!$E$4:$F$42,2,FALSE),"All_Districts"))</t>
        </is>
      </c>
    </row>
    <row r="197" outlineLevel="1" ht="18" customHeight="1">
      <c r="A197" s="42" t="inlineStr">
        <is>
          <t>IF(F197="","",ROW()-3)</t>
        </is>
      </c>
      <c r="B197" s="43" t="inlineStr">
        <is>
          <t>AF2-IS-31</t>
        </is>
      </c>
      <c r="C197" s="43" t="inlineStr">
        <is>
          <t>Package #31-AF2 IS: Rehabilitation of 1. Shahidan &amp;Dasht-e Lajam Canal schems in Tala wa barfak district, 2.Sardar Ha canal scheme in Deh Salah district, and 3. Kambilan cluster canal schemes in Fring districts of Baghlan province.</t>
        </is>
      </c>
      <c r="D197" s="43" t="inlineStr">
        <is>
          <t>2 of 3</t>
        </is>
      </c>
      <c r="E197" s="44" t="inlineStr">
        <is>
          <t>AF2-IS-A-029</t>
        </is>
      </c>
      <c r="F197" s="44" t="inlineStr">
        <is>
          <t>Sardara Canal Irrigation scheme</t>
        </is>
      </c>
      <c r="G197" s="44" t="inlineStr">
        <is>
          <t>Irrigation Scheme</t>
        </is>
      </c>
      <c r="H197" s="44" t="inlineStr">
        <is>
          <t>Irrigation Canal</t>
        </is>
      </c>
      <c r="I197" s="44" t="inlineStr">
        <is>
          <t>Emergency Food Security Project (EFSP) – WBK/AF-2</t>
        </is>
      </c>
      <c r="J197" s="44" t="inlineStr">
        <is>
          <t>Northeast / Kunduz</t>
        </is>
      </c>
      <c r="K197" s="44" t="inlineStr">
        <is>
          <t>Baghlan</t>
        </is>
      </c>
      <c r="L197" s="44" t="inlineStr">
        <is>
          <t>Deh Salah</t>
        </is>
      </c>
      <c r="M197" s="44" t="inlineStr">
        <is>
          <t>Sardara</t>
        </is>
      </c>
      <c r="N197" s="44" t="inlineStr">
        <is>
          <t>World Bank (WBK/AF-2)</t>
        </is>
      </c>
      <c r="O197" s="44" t="inlineStr">
        <is>
          <t>Awarded</t>
        </is>
      </c>
      <c r="P197" s="44" t="inlineStr">
        <is>
          <t>1.Awarded contracts_On&amp;off-farm</t>
        </is>
      </c>
      <c r="Q197" s="44" t="inlineStr">
        <is>
          <t>Afghan Eithad construction and Road Building company (AECC)</t>
        </is>
      </c>
      <c r="R197" s="44" t="inlineStr">
        <is>
          <t>009/2026</t>
        </is>
      </c>
      <c r="S197" s="45" t="n">
        <v>167265.54</v>
      </c>
      <c r="T197" s="46" t="inlineStr">
        <is>
          <t>IF(AQ197="","",AQ197)</t>
        </is>
      </c>
      <c r="U197" s="47" t="n"/>
      <c r="V197" s="48" t="n">
        <v>10</v>
      </c>
      <c r="W197" s="47" t="n">
        <v>46354</v>
      </c>
      <c r="X197" s="46" t="inlineStr">
        <is>
          <t>IF(W197&lt;&gt;"",W197,IF(OR(T197="",V197=""),"",EDATE(T197,V197)))</t>
        </is>
      </c>
      <c r="Y197" s="47" t="n"/>
      <c r="Z197" s="48" t="n">
        <v>90</v>
      </c>
      <c r="AA197" s="44" t="inlineStr">
        <is>
          <t>Under Construction</t>
        </is>
      </c>
      <c r="AB197" s="44" t="inlineStr">
        <is>
          <t>on track and will be completed by Nov. 2026 | Actual completion: July. 2025</t>
        </is>
      </c>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67" t="n"/>
      <c r="AJ197" s="67" t="n"/>
      <c r="AK197" s="67" t="n"/>
      <c r="AL197" s="67" t="n"/>
      <c r="AM197" s="67" t="n"/>
      <c r="AN197" s="67" t="n"/>
      <c r="AO197" s="67" t="n"/>
      <c r="AP197" s="67" t="n"/>
      <c r="AQ197" s="67" t="n">
        <v>46051</v>
      </c>
      <c r="AR197" s="67" t="n">
        <v>46051</v>
      </c>
      <c r="AS197" s="6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outlineLevel="1" ht="18" customHeight="1">
      <c r="A198" s="42" t="inlineStr">
        <is>
          <t>IF(F198="","",ROW()-3)</t>
        </is>
      </c>
      <c r="B198" s="43" t="inlineStr">
        <is>
          <t>AF2-IS-31</t>
        </is>
      </c>
      <c r="C198" s="43" t="inlineStr">
        <is>
          <t>Package #31-AF2 IS: Rehabilitation of 1. Shahidan &amp;Dasht-e Lajam Canal schems in Tala wa barfak district, 2.Sardar Ha canal scheme in Deh Salah district, and 3. Kambilan cluster canal schemes in Fring districts of Baghlan province.</t>
        </is>
      </c>
      <c r="D198" s="43" t="inlineStr">
        <is>
          <t>3 of 3</t>
        </is>
      </c>
      <c r="E198" s="52" t="inlineStr">
        <is>
          <t>AF2-IS-A-030</t>
        </is>
      </c>
      <c r="F198" s="52" t="inlineStr">
        <is>
          <t>Shahidan &amp; Dasht-e Lajam Canals</t>
        </is>
      </c>
      <c r="G198" s="52" t="inlineStr">
        <is>
          <t>Irrigation Scheme</t>
        </is>
      </c>
      <c r="H198" s="52" t="inlineStr">
        <is>
          <t>Irrigation Canal</t>
        </is>
      </c>
      <c r="I198" s="52" t="inlineStr">
        <is>
          <t>Emergency Food Security Project (EFSP) – WBK/AF-2</t>
        </is>
      </c>
      <c r="J198" s="52" t="inlineStr">
        <is>
          <t>Northeast / Kunduz</t>
        </is>
      </c>
      <c r="K198" s="52" t="inlineStr">
        <is>
          <t>Baghlan</t>
        </is>
      </c>
      <c r="L198" s="52" t="inlineStr">
        <is>
          <t>Tala wa barfak</t>
        </is>
      </c>
      <c r="M198" s="52" t="inlineStr">
        <is>
          <t>Shahidan &amp; Dast-e-Lajam</t>
        </is>
      </c>
      <c r="N198" s="52" t="inlineStr">
        <is>
          <t>World Bank (WBK/AF-2)</t>
        </is>
      </c>
      <c r="O198" s="52" t="inlineStr">
        <is>
          <t>Awarded</t>
        </is>
      </c>
      <c r="P198" s="52" t="inlineStr">
        <is>
          <t>1.Awarded contracts_On&amp;off-farm</t>
        </is>
      </c>
      <c r="Q198" s="52" t="inlineStr">
        <is>
          <t>Afghan Eithad construction and Road Building company (AECC)</t>
        </is>
      </c>
      <c r="R198" s="52" t="inlineStr">
        <is>
          <t>009/2026</t>
        </is>
      </c>
      <c r="S198" s="53" t="n">
        <v>190128.77</v>
      </c>
      <c r="T198" s="46" t="inlineStr">
        <is>
          <t>IF(AQ198="","",AQ198)</t>
        </is>
      </c>
      <c r="U198" s="54" t="n"/>
      <c r="V198" s="55" t="n">
        <v>10</v>
      </c>
      <c r="W198" s="54" t="n">
        <v>46354</v>
      </c>
      <c r="X198" s="46" t="inlineStr">
        <is>
          <t>IF(W198&lt;&gt;"",W198,IF(OR(T198="",V198=""),"",EDATE(T198,V198)))</t>
        </is>
      </c>
      <c r="Y198" s="54" t="n"/>
      <c r="Z198" s="55" t="n">
        <v>100</v>
      </c>
      <c r="AA198" s="52" t="inlineStr">
        <is>
          <t>Completed / Handover</t>
        </is>
      </c>
      <c r="AB198" s="52" t="inlineStr">
        <is>
          <t>on track and will be completed by Nov. 2026 | Actual completion: July. 2025</t>
        </is>
      </c>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67" t="n"/>
      <c r="AJ198" s="67" t="n"/>
      <c r="AK198" s="67" t="n"/>
      <c r="AL198" s="67" t="n"/>
      <c r="AM198" s="67" t="n"/>
      <c r="AN198" s="67" t="n"/>
      <c r="AO198" s="67" t="n"/>
      <c r="AP198" s="67" t="n"/>
      <c r="AQ198" s="67" t="n">
        <v>46051</v>
      </c>
      <c r="AR198" s="67" t="n">
        <v>46051</v>
      </c>
      <c r="AS198" s="67" t="n">
        <v>46354</v>
      </c>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32" t="inlineStr">
        <is>
          <t>IF(F199="","",ROW()-3)</t>
        </is>
      </c>
      <c r="B199" s="56" t="inlineStr">
        <is>
          <t>AF2-IS-32</t>
        </is>
      </c>
      <c r="C199" s="56" t="inlineStr">
        <is>
          <t>Package #32-AF2 IS: Rehabilitation of Abdul Baqi canal and Mulla Oma canal irrigation schemes, located in Chemtal districts of Balkh province.</t>
        </is>
      </c>
      <c r="D199" s="56" t="inlineStr">
        <is>
          <t>1 of 2</t>
        </is>
      </c>
      <c r="E199" s="57" t="inlineStr">
        <is>
          <t>AF2-IS-A-031</t>
        </is>
      </c>
      <c r="F199" s="57" t="inlineStr">
        <is>
          <t>Abdul Baqi Canal Irrigation scheme</t>
        </is>
      </c>
      <c r="G199" s="57" t="inlineStr">
        <is>
          <t>Irrigation Scheme</t>
        </is>
      </c>
      <c r="H199" s="57" t="inlineStr">
        <is>
          <t>Irrigation Canal</t>
        </is>
      </c>
      <c r="I199" s="57" t="inlineStr">
        <is>
          <t>Emergency Food Security Project (EFSP) – WBK/AF-2</t>
        </is>
      </c>
      <c r="J199" s="57" t="inlineStr">
        <is>
          <t>North / Mazar</t>
        </is>
      </c>
      <c r="K199" s="57" t="inlineStr">
        <is>
          <t>Balkh</t>
        </is>
      </c>
      <c r="L199" s="57" t="inlineStr">
        <is>
          <t>Chemtal</t>
        </is>
      </c>
      <c r="M199" s="57" t="inlineStr">
        <is>
          <t>Sari Asiab</t>
        </is>
      </c>
      <c r="N199" s="57" t="inlineStr">
        <is>
          <t>World Bank (WBK/AF-2)</t>
        </is>
      </c>
      <c r="O199" s="57" t="inlineStr">
        <is>
          <t>Awarded</t>
        </is>
      </c>
      <c r="P199" s="57" t="inlineStr">
        <is>
          <t>1.Awarded contracts_On&amp;off-farm</t>
        </is>
      </c>
      <c r="Q199" s="57" t="inlineStr">
        <is>
          <t>Trust Grow Construction and Engineering Company (TGCC)</t>
        </is>
      </c>
      <c r="R199" s="57" t="inlineStr">
        <is>
          <t>075/2025</t>
        </is>
      </c>
      <c r="S199" s="58" t="n">
        <v>141012.01</v>
      </c>
      <c r="T199" s="36" t="inlineStr">
        <is>
          <t>IF(AQ199="","",AQ199)</t>
        </is>
      </c>
      <c r="U199" s="59" t="n"/>
      <c r="V199" s="60" t="n">
        <v>11</v>
      </c>
      <c r="W199" s="59" t="n">
        <v>46355</v>
      </c>
      <c r="X199" s="36" t="inlineStr">
        <is>
          <t>IF(W199&lt;&gt;"",W199,IF(OR(T199="",V199=""),"",EDATE(T199,V199)))</t>
        </is>
      </c>
      <c r="Y199" s="59" t="n"/>
      <c r="Z199" s="60" t="n">
        <v>100</v>
      </c>
      <c r="AA199" s="57" t="inlineStr">
        <is>
          <t>Completed / Handover</t>
        </is>
      </c>
      <c r="AB199" s="57" t="inlineStr">
        <is>
          <t>Completed in July 2026. | Actual completion: July, 2026</t>
        </is>
      </c>
      <c r="AC199" s="32" t="inlineStr">
        <is>
          <t>IF(F199="","",IF(COUNT(AI199:AV199)=0,IF(AA199="","Not started",AA199),SUBSTITUTE(LOOKUP(2,1/(AI199:AV199&lt;&gt;""),$AI$3:$AV$3),"Date: ","")))</t>
        </is>
      </c>
      <c r="AD199" s="39" t="inlineStr">
        <is>
          <t>IF(OR(F199="",COUNT(AI199:AV199)=0),"",TODAY()-LOOKUP(2,1/(AI199:AV199&lt;&gt;""),AI199:AV199))</t>
        </is>
      </c>
      <c r="AE199" s="39" t="inlineStr">
        <is>
          <t>IF(OR(F199="",COUNT(AI199:AV199)&lt;2),"",LOOKUP(2,1/(AI199:AV199&lt;&gt;""),AI199:AV199)-MIN(AI199:AV199))</t>
        </is>
      </c>
      <c r="AF199" s="39" t="inlineStr">
        <is>
          <t>IF(OR(AD199="",AC199="Not started",AC199=""),"",IFERROR(AD199-IF(VLOOKUP(AC199,'06_Status_Pipeline'!$B$3:$E$20,4,FALSE)="",0,VLOOKUP(AC199,'06_Status_Pipeline'!$B$3:$E$20,4,FALSE)),""))</t>
        </is>
      </c>
      <c r="AG199" s="3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39" t="inlineStr">
        <is>
          <t>IF(OR(F199="",AC199="Completed / Handover",AC199="Cancelled"),"",IF(O199="Not awarded",IF(U199&lt;&gt;"",U199-TODAY(),IF(X199="","",X199-TODAY())),IF(X199="","",X199-TODAY())))</t>
        </is>
      </c>
      <c r="AI199" s="66" t="n"/>
      <c r="AJ199" s="66" t="n"/>
      <c r="AK199" s="66" t="n"/>
      <c r="AL199" s="66" t="n"/>
      <c r="AM199" s="66" t="n"/>
      <c r="AN199" s="66" t="n"/>
      <c r="AO199" s="66" t="n"/>
      <c r="AP199" s="66" t="n"/>
      <c r="AQ199" s="66" t="n">
        <v>46022</v>
      </c>
      <c r="AR199" s="66" t="n">
        <v>46022</v>
      </c>
      <c r="AS199" s="66" t="n">
        <v>46355</v>
      </c>
      <c r="AT199" s="40" t="n"/>
      <c r="AU199" s="40" t="n"/>
      <c r="AV199" s="40" t="n"/>
      <c r="AW199" s="39" t="inlineStr">
        <is>
          <t>IF(OR(F199="",AJ199=""),"",IF(COUNT(AI199:AI199)=0,"",AJ199-LOOKUP(2,1/(AI199:AI199&lt;&gt;""),AI199:AI199)))</t>
        </is>
      </c>
      <c r="AX199" s="39" t="inlineStr">
        <is>
          <t>IF(OR(F199="",AK199=""),"",IF(COUNT(AI199:AJ199)=0,"",AK199-LOOKUP(2,1/(AI199:AJ199&lt;&gt;""),AI199:AJ199)))</t>
        </is>
      </c>
      <c r="AY199" s="39" t="inlineStr">
        <is>
          <t>IF(OR(F199="",AL199=""),"",IF(COUNT(AI199:AK199)=0,"",AL199-LOOKUP(2,1/(AI199:AK199&lt;&gt;""),AI199:AK199)))</t>
        </is>
      </c>
      <c r="AZ199" s="39" t="inlineStr">
        <is>
          <t>IF(OR(F199="",AM199=""),"",IF(COUNT(AI199:AL199)=0,"",AM199-LOOKUP(2,1/(AI199:AL199&lt;&gt;""),AI199:AL199)))</t>
        </is>
      </c>
      <c r="BA199" s="39" t="inlineStr">
        <is>
          <t>IF(OR(F199="",AN199=""),"",IF(COUNT(AI199:AM199)=0,"",AN199-LOOKUP(2,1/(AI199:AM199&lt;&gt;""),AI199:AM199)))</t>
        </is>
      </c>
      <c r="BB199" s="39" t="inlineStr">
        <is>
          <t>IF(OR(F199="",AO199=""),"",IF(COUNT(AI199:AN199)=0,"",AO199-LOOKUP(2,1/(AI199:AN199&lt;&gt;""),AI199:AN199)))</t>
        </is>
      </c>
      <c r="BC199" s="39" t="inlineStr">
        <is>
          <t>IF(OR(F199="",AP199=""),"",IF(COUNT(AI199:AO199)=0,"",AP199-LOOKUP(2,1/(AI199:AO199&lt;&gt;""),AI199:AO199)))</t>
        </is>
      </c>
      <c r="BD199" s="39" t="inlineStr">
        <is>
          <t>IF(OR(F199="",AQ199=""),"",IF(COUNT(AI199:AP199)=0,"",AQ199-LOOKUP(2,1/(AI199:AP199&lt;&gt;""),AI199:AP199)))</t>
        </is>
      </c>
      <c r="BE199" s="39" t="inlineStr">
        <is>
          <t>IF(OR(F199="",AR199=""),"",IF(COUNT(AI199:AQ199)=0,"",AR199-LOOKUP(2,1/(AI199:AQ199&lt;&gt;""),AI199:AQ199)))</t>
        </is>
      </c>
      <c r="BF199" s="39" t="inlineStr">
        <is>
          <t>IF(OR(F199="",AS199=""),"",IF(COUNT(AI199:AR199)=0,"",AS199-LOOKUP(2,1/(AI199:AR199&lt;&gt;""),AI199:AR199)))</t>
        </is>
      </c>
      <c r="BG199" s="39" t="inlineStr">
        <is>
          <t>IF(OR(F199="",AT199=""),"",IF(COUNT(AI199:AS199)=0,"",AT199-LOOKUP(2,1/(AI199:AS199&lt;&gt;""),AI199:AS199)))</t>
        </is>
      </c>
      <c r="BH199" s="39" t="inlineStr">
        <is>
          <t>IF(OR(F199="",AU199=""),"",IF(COUNT(AI199:AT199)=0,"",AU199-LOOKUP(2,1/(AI199:AT199&lt;&gt;""),AI199:AT199)))</t>
        </is>
      </c>
      <c r="BI199" s="39" t="inlineStr">
        <is>
          <t>IF(OR(F199="",AV199=""),"",IF(COUNT(AI199:AU199)=0,"",AV199-LOOKUP(2,1/(AI199:AU199&lt;&gt;""),AI199:AU199)))</t>
        </is>
      </c>
      <c r="BJ199" s="41" t="inlineStr">
        <is>
          <t>IF(J199="","All_Provinces",IFERROR(VLOOKUP(J199,'09_Lookups'!$A$4:$B$20,2,FALSE),"All_Provinces"))</t>
        </is>
      </c>
      <c r="BK199" s="41" t="inlineStr">
        <is>
          <t>IF(K199="","All_Districts",IFERROR(VLOOKUP(K199,'09_Lookups'!$E$4:$F$42,2,FALSE),"All_Districts"))</t>
        </is>
      </c>
    </row>
    <row r="200" outlineLevel="1" ht="18" customHeight="1">
      <c r="A200" s="42" t="inlineStr">
        <is>
          <t>IF(F200="","",ROW()-3)</t>
        </is>
      </c>
      <c r="B200" s="61" t="inlineStr">
        <is>
          <t>AF2-IS-32</t>
        </is>
      </c>
      <c r="C200" s="61" t="inlineStr">
        <is>
          <t>Package #32-AF2 IS: Rehabilitation of Abdul Baqi canal and Mulla Oma canal irrigation schemes, located in Chemtal districts of Balkh province.</t>
        </is>
      </c>
      <c r="D200" s="61" t="inlineStr">
        <is>
          <t>2 of 2</t>
        </is>
      </c>
      <c r="E200" s="52" t="inlineStr">
        <is>
          <t>AF2-IS-A-032</t>
        </is>
      </c>
      <c r="F200" s="52" t="inlineStr">
        <is>
          <t>Mulla Omar Canal Irrigation scheme</t>
        </is>
      </c>
      <c r="G200" s="52" t="inlineStr">
        <is>
          <t>Irrigation Scheme</t>
        </is>
      </c>
      <c r="H200" s="52" t="inlineStr">
        <is>
          <t>Irrigation Canal</t>
        </is>
      </c>
      <c r="I200" s="52" t="inlineStr">
        <is>
          <t>Emergency Food Security Project (EFSP) – WBK/AF-2</t>
        </is>
      </c>
      <c r="J200" s="52" t="inlineStr">
        <is>
          <t>North / Mazar</t>
        </is>
      </c>
      <c r="K200" s="52" t="inlineStr">
        <is>
          <t>Balkh</t>
        </is>
      </c>
      <c r="L200" s="52" t="inlineStr">
        <is>
          <t>Chemtal</t>
        </is>
      </c>
      <c r="M200" s="52" t="inlineStr">
        <is>
          <t>Sarkar</t>
        </is>
      </c>
      <c r="N200" s="52" t="inlineStr">
        <is>
          <t>World Bank (WBK/AF-2)</t>
        </is>
      </c>
      <c r="O200" s="52" t="inlineStr">
        <is>
          <t>Awarded</t>
        </is>
      </c>
      <c r="P200" s="52" t="inlineStr">
        <is>
          <t>1.Awarded contracts_On&amp;off-farm</t>
        </is>
      </c>
      <c r="Q200" s="52" t="inlineStr">
        <is>
          <t>Trust Grow Construction and Engineering Company (TGCC)</t>
        </is>
      </c>
      <c r="R200" s="52" t="inlineStr">
        <is>
          <t>075/2025</t>
        </is>
      </c>
      <c r="S200" s="53" t="n">
        <v>159013.54</v>
      </c>
      <c r="T200" s="46" t="inlineStr">
        <is>
          <t>IF(AQ200="","",AQ200)</t>
        </is>
      </c>
      <c r="U200" s="54" t="n"/>
      <c r="V200" s="55" t="n">
        <v>11</v>
      </c>
      <c r="W200" s="54" t="n">
        <v>46355</v>
      </c>
      <c r="X200" s="46" t="inlineStr">
        <is>
          <t>IF(W200&lt;&gt;"",W200,IF(OR(T200="",V200=""),"",EDATE(T200,V200)))</t>
        </is>
      </c>
      <c r="Y200" s="54" t="n"/>
      <c r="Z200" s="55" t="n">
        <v>100</v>
      </c>
      <c r="AA200" s="52" t="inlineStr">
        <is>
          <t>Completed / Handover</t>
        </is>
      </c>
      <c r="AB200" s="52" t="inlineStr">
        <is>
          <t>Actual completion: July, 2026</t>
        </is>
      </c>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67" t="n"/>
      <c r="AJ200" s="67" t="n"/>
      <c r="AK200" s="67" t="n"/>
      <c r="AL200" s="67" t="n"/>
      <c r="AM200" s="67" t="n"/>
      <c r="AN200" s="67" t="n"/>
      <c r="AO200" s="67" t="n"/>
      <c r="AP200" s="67" t="n"/>
      <c r="AQ200" s="67" t="n">
        <v>46022</v>
      </c>
      <c r="AR200" s="67" t="n">
        <v>46022</v>
      </c>
      <c r="AS200" s="67" t="n">
        <v>46355</v>
      </c>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32" t="inlineStr">
        <is>
          <t>IF(F201="","",ROW()-3)</t>
        </is>
      </c>
      <c r="B201" s="62" t="inlineStr">
        <is>
          <t>AF2-IS-33</t>
        </is>
      </c>
      <c r="C201" s="62" t="inlineStr">
        <is>
          <t>Package #33-AF2 IS: Rehabilitation of Chela Mazar canal and Kushkak canal irrigation schemes, located in Dara-e- Suf-e-Bala and Dara-e-Suf-e-Payeen districts of Samangan province.</t>
        </is>
      </c>
      <c r="D201" s="62" t="inlineStr">
        <is>
          <t>1 of 2</t>
        </is>
      </c>
      <c r="E201" s="57" t="inlineStr">
        <is>
          <t>AF2-IS-A-033</t>
        </is>
      </c>
      <c r="F201" s="57" t="inlineStr">
        <is>
          <t>Chela Mazar Canal Irrigation scheme</t>
        </is>
      </c>
      <c r="G201" s="57" t="inlineStr">
        <is>
          <t>Irrigation Scheme</t>
        </is>
      </c>
      <c r="H201" s="57" t="inlineStr">
        <is>
          <t>Irrigation Canal</t>
        </is>
      </c>
      <c r="I201" s="57" t="inlineStr">
        <is>
          <t>Emergency Food Security Project (EFSP) – WBK/AF-2</t>
        </is>
      </c>
      <c r="J201" s="57" t="inlineStr">
        <is>
          <t>North / Mazar</t>
        </is>
      </c>
      <c r="K201" s="57" t="inlineStr">
        <is>
          <t>Samangan</t>
        </is>
      </c>
      <c r="L201" s="57" t="inlineStr">
        <is>
          <t>Dara-e- Suf-e-Payeen</t>
        </is>
      </c>
      <c r="M201" s="57" t="inlineStr">
        <is>
          <t>Chela Mazar</t>
        </is>
      </c>
      <c r="N201" s="57" t="inlineStr">
        <is>
          <t>World Bank (WBK/AF-2)</t>
        </is>
      </c>
      <c r="O201" s="57" t="inlineStr">
        <is>
          <t>Awarded</t>
        </is>
      </c>
      <c r="P201" s="57" t="inlineStr">
        <is>
          <t>1.Awarded contracts_On&amp;off-farm</t>
        </is>
      </c>
      <c r="Q201" s="57" t="inlineStr">
        <is>
          <t>AFGHAN LUCKY CONSTRUCTION COMPANY (ALCC)</t>
        </is>
      </c>
      <c r="R201" s="57" t="inlineStr">
        <is>
          <t>003/2026</t>
        </is>
      </c>
      <c r="S201" s="58" t="n">
        <v>143685.36</v>
      </c>
      <c r="T201" s="36" t="inlineStr">
        <is>
          <t>IF(AQ201="","",AQ201)</t>
        </is>
      </c>
      <c r="U201" s="59" t="n"/>
      <c r="V201" s="60" t="n">
        <v>11</v>
      </c>
      <c r="W201" s="59" t="n">
        <v>46370</v>
      </c>
      <c r="X201" s="36" t="inlineStr">
        <is>
          <t>IF(W201&lt;&gt;"",W201,IF(OR(T201="",V201=""),"",EDATE(T201,V201)))</t>
        </is>
      </c>
      <c r="Y201" s="59" t="n"/>
      <c r="Z201" s="60" t="n">
        <v>25</v>
      </c>
      <c r="AA201" s="57" t="inlineStr">
        <is>
          <t>Under Construction</t>
        </is>
      </c>
      <c r="AB201" s="57" t="inlineStr">
        <is>
          <t>one scheme will be completed by Dec. 2026 and other scheme to be completed by June 2027 after NCE</t>
        </is>
      </c>
      <c r="AC201" s="32" t="inlineStr">
        <is>
          <t>IF(F201="","",IF(COUNT(AI201:AV201)=0,IF(AA201="","Not started",AA201),SUBSTITUTE(LOOKUP(2,1/(AI201:AV201&lt;&gt;""),$AI$3:$AV$3),"Date: ","")))</t>
        </is>
      </c>
      <c r="AD201" s="39" t="inlineStr">
        <is>
          <t>IF(OR(F201="",COUNT(AI201:AV201)=0),"",TODAY()-LOOKUP(2,1/(AI201:AV201&lt;&gt;""),AI201:AV201))</t>
        </is>
      </c>
      <c r="AE201" s="39" t="inlineStr">
        <is>
          <t>IF(OR(F201="",COUNT(AI201:AV201)&lt;2),"",LOOKUP(2,1/(AI201:AV201&lt;&gt;""),AI201:AV201)-MIN(AI201:AV201))</t>
        </is>
      </c>
      <c r="AF201" s="39" t="inlineStr">
        <is>
          <t>IF(OR(AD201="",AC201="Not started",AC201=""),"",IFERROR(AD201-IF(VLOOKUP(AC201,'06_Status_Pipeline'!$B$3:$E$20,4,FALSE)="",0,VLOOKUP(AC201,'06_Status_Pipeline'!$B$3:$E$20,4,FALSE)),""))</t>
        </is>
      </c>
      <c r="AG201" s="3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39" t="inlineStr">
        <is>
          <t>IF(OR(F201="",AC201="Completed / Handover",AC201="Cancelled"),"",IF(O201="Not awarded",IF(U201&lt;&gt;"",U201-TODAY(),IF(X201="","",X201-TODAY())),IF(X201="","",X201-TODAY())))</t>
        </is>
      </c>
      <c r="AI201" s="66" t="n"/>
      <c r="AJ201" s="66" t="n"/>
      <c r="AK201" s="66" t="n"/>
      <c r="AL201" s="66" t="n"/>
      <c r="AM201" s="66" t="n"/>
      <c r="AN201" s="66" t="n"/>
      <c r="AO201" s="66" t="n"/>
      <c r="AP201" s="66" t="n"/>
      <c r="AQ201" s="66" t="n">
        <v>46037</v>
      </c>
      <c r="AR201" s="66" t="n">
        <v>46037</v>
      </c>
      <c r="AS201" s="66" t="n"/>
      <c r="AT201" s="40" t="n"/>
      <c r="AU201" s="40" t="n"/>
      <c r="AV201" s="40" t="n"/>
      <c r="AW201" s="39" t="inlineStr">
        <is>
          <t>IF(OR(F201="",AJ201=""),"",IF(COUNT(AI201:AI201)=0,"",AJ201-LOOKUP(2,1/(AI201:AI201&lt;&gt;""),AI201:AI201)))</t>
        </is>
      </c>
      <c r="AX201" s="39" t="inlineStr">
        <is>
          <t>IF(OR(F201="",AK201=""),"",IF(COUNT(AI201:AJ201)=0,"",AK201-LOOKUP(2,1/(AI201:AJ201&lt;&gt;""),AI201:AJ201)))</t>
        </is>
      </c>
      <c r="AY201" s="39" t="inlineStr">
        <is>
          <t>IF(OR(F201="",AL201=""),"",IF(COUNT(AI201:AK201)=0,"",AL201-LOOKUP(2,1/(AI201:AK201&lt;&gt;""),AI201:AK201)))</t>
        </is>
      </c>
      <c r="AZ201" s="39" t="inlineStr">
        <is>
          <t>IF(OR(F201="",AM201=""),"",IF(COUNT(AI201:AL201)=0,"",AM201-LOOKUP(2,1/(AI201:AL201&lt;&gt;""),AI201:AL201)))</t>
        </is>
      </c>
      <c r="BA201" s="39" t="inlineStr">
        <is>
          <t>IF(OR(F201="",AN201=""),"",IF(COUNT(AI201:AM201)=0,"",AN201-LOOKUP(2,1/(AI201:AM201&lt;&gt;""),AI201:AM201)))</t>
        </is>
      </c>
      <c r="BB201" s="39" t="inlineStr">
        <is>
          <t>IF(OR(F201="",AO201=""),"",IF(COUNT(AI201:AN201)=0,"",AO201-LOOKUP(2,1/(AI201:AN201&lt;&gt;""),AI201:AN201)))</t>
        </is>
      </c>
      <c r="BC201" s="39" t="inlineStr">
        <is>
          <t>IF(OR(F201="",AP201=""),"",IF(COUNT(AI201:AO201)=0,"",AP201-LOOKUP(2,1/(AI201:AO201&lt;&gt;""),AI201:AO201)))</t>
        </is>
      </c>
      <c r="BD201" s="39" t="inlineStr">
        <is>
          <t>IF(OR(F201="",AQ201=""),"",IF(COUNT(AI201:AP201)=0,"",AQ201-LOOKUP(2,1/(AI201:AP201&lt;&gt;""),AI201:AP201)))</t>
        </is>
      </c>
      <c r="BE201" s="39" t="inlineStr">
        <is>
          <t>IF(OR(F201="",AR201=""),"",IF(COUNT(AI201:AQ201)=0,"",AR201-LOOKUP(2,1/(AI201:AQ201&lt;&gt;""),AI201:AQ201)))</t>
        </is>
      </c>
      <c r="BF201" s="39" t="inlineStr">
        <is>
          <t>IF(OR(F201="",AS201=""),"",IF(COUNT(AI201:AR201)=0,"",AS201-LOOKUP(2,1/(AI201:AR201&lt;&gt;""),AI201:AR201)))</t>
        </is>
      </c>
      <c r="BG201" s="39" t="inlineStr">
        <is>
          <t>IF(OR(F201="",AT201=""),"",IF(COUNT(AI201:AS201)=0,"",AT201-LOOKUP(2,1/(AI201:AS201&lt;&gt;""),AI201:AS201)))</t>
        </is>
      </c>
      <c r="BH201" s="39" t="inlineStr">
        <is>
          <t>IF(OR(F201="",AU201=""),"",IF(COUNT(AI201:AT201)=0,"",AU201-LOOKUP(2,1/(AI201:AT201&lt;&gt;""),AI201:AT201)))</t>
        </is>
      </c>
      <c r="BI201" s="39" t="inlineStr">
        <is>
          <t>IF(OR(F201="",AV201=""),"",IF(COUNT(AI201:AU201)=0,"",AV201-LOOKUP(2,1/(AI201:AU201&lt;&gt;""),AI201:AU201)))</t>
        </is>
      </c>
      <c r="BJ201" s="41" t="inlineStr">
        <is>
          <t>IF(J201="","All_Provinces",IFERROR(VLOOKUP(J201,'09_Lookups'!$A$4:$B$20,2,FALSE),"All_Provinces"))</t>
        </is>
      </c>
      <c r="BK201" s="41" t="inlineStr">
        <is>
          <t>IF(K201="","All_Districts",IFERROR(VLOOKUP(K201,'09_Lookups'!$E$4:$F$42,2,FALSE),"All_Districts"))</t>
        </is>
      </c>
    </row>
    <row r="202" outlineLevel="1" ht="18" customHeight="1">
      <c r="A202" s="42" t="inlineStr">
        <is>
          <t>IF(F202="","",ROW()-3)</t>
        </is>
      </c>
      <c r="B202" s="63" t="inlineStr">
        <is>
          <t>AF2-IS-33</t>
        </is>
      </c>
      <c r="C202" s="63" t="inlineStr">
        <is>
          <t>Package #33-AF2 IS: Rehabilitation of Chela Mazar canal and Kushkak canal irrigation schemes, located in Dara-e- Suf-e-Bala and Dara-e-Suf-e-Payeen districts of Samangan province.</t>
        </is>
      </c>
      <c r="D202" s="63" t="inlineStr">
        <is>
          <t>2 of 2</t>
        </is>
      </c>
      <c r="E202" s="52" t="inlineStr">
        <is>
          <t>AF2-IS-A-034</t>
        </is>
      </c>
      <c r="F202" s="52" t="inlineStr">
        <is>
          <t>Kushkak Canal Irrigation scheme</t>
        </is>
      </c>
      <c r="G202" s="52" t="inlineStr">
        <is>
          <t>Irrigation Scheme</t>
        </is>
      </c>
      <c r="H202" s="52" t="inlineStr">
        <is>
          <t>Irrigation Canal</t>
        </is>
      </c>
      <c r="I202" s="52" t="inlineStr">
        <is>
          <t>Emergency Food Security Project (EFSP) – WBK/AF-2</t>
        </is>
      </c>
      <c r="J202" s="52" t="inlineStr">
        <is>
          <t>North / Mazar</t>
        </is>
      </c>
      <c r="K202" s="52" t="inlineStr">
        <is>
          <t>Samangan</t>
        </is>
      </c>
      <c r="L202" s="52" t="inlineStr">
        <is>
          <t>Dara-e- Suf-e-Bala</t>
        </is>
      </c>
      <c r="M202" s="52" t="inlineStr">
        <is>
          <t>Kushkak</t>
        </is>
      </c>
      <c r="N202" s="52" t="inlineStr">
        <is>
          <t>World Bank (WBK/AF-2)</t>
        </is>
      </c>
      <c r="O202" s="52" t="inlineStr">
        <is>
          <t>Awarded</t>
        </is>
      </c>
      <c r="P202" s="52" t="inlineStr">
        <is>
          <t>1.Awarded contracts_On&amp;off-farm</t>
        </is>
      </c>
      <c r="Q202" s="52" t="inlineStr">
        <is>
          <t>AFGHAN LUCKY CONSTRUCTION COMPANY (ALCC)</t>
        </is>
      </c>
      <c r="R202" s="52" t="inlineStr">
        <is>
          <t>003/2026</t>
        </is>
      </c>
      <c r="S202" s="53" t="n">
        <v>140859.94</v>
      </c>
      <c r="T202" s="46" t="inlineStr">
        <is>
          <t>IF(AQ202="","",AQ202)</t>
        </is>
      </c>
      <c r="U202" s="54" t="n"/>
      <c r="V202" s="55" t="n">
        <v>11</v>
      </c>
      <c r="W202" s="54" t="n">
        <v>46370</v>
      </c>
      <c r="X202" s="46" t="inlineStr">
        <is>
          <t>IF(W202&lt;&gt;"",W202,IF(OR(T202="",V202=""),"",EDATE(T202,V202)))</t>
        </is>
      </c>
      <c r="Y202" s="54" t="n"/>
      <c r="Z202" s="55" t="n">
        <v>67</v>
      </c>
      <c r="AA202" s="52" t="inlineStr">
        <is>
          <t>Under Construction</t>
        </is>
      </c>
      <c r="AB202" s="52" t="inlineStr">
        <is>
          <t>one scheme will be completed by Dec. 2026 and other scheme to be completed by June 2027 after NCE</t>
        </is>
      </c>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67" t="n"/>
      <c r="AJ202" s="67" t="n"/>
      <c r="AK202" s="67" t="n"/>
      <c r="AL202" s="67" t="n"/>
      <c r="AM202" s="67" t="n"/>
      <c r="AN202" s="67" t="n"/>
      <c r="AO202" s="67" t="n"/>
      <c r="AP202" s="67" t="n"/>
      <c r="AQ202" s="67" t="n">
        <v>46037</v>
      </c>
      <c r="AR202" s="67" t="n">
        <v>46037</v>
      </c>
      <c r="AS202" s="67"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32" t="inlineStr">
        <is>
          <t>IF(F203="","",ROW()-3)</t>
        </is>
      </c>
      <c r="B203" s="64" t="inlineStr">
        <is>
          <t>AF2-IS-34</t>
        </is>
      </c>
      <c r="C203" s="64" t="inlineStr">
        <is>
          <t>Package #34-AF2 IS: Rehabilitation of Hashtman canal and Qashqasai canal irrigation schemes, located in Qaisar district of Faryab province.</t>
        </is>
      </c>
      <c r="D203" s="64" t="inlineStr">
        <is>
          <t>1 of 2</t>
        </is>
      </c>
      <c r="E203" s="57" t="inlineStr">
        <is>
          <t>AF2-IS-N-027</t>
        </is>
      </c>
      <c r="F203" s="57" t="inlineStr">
        <is>
          <t>Hashtman Canal Irrigation scheme</t>
        </is>
      </c>
      <c r="G203" s="57" t="inlineStr">
        <is>
          <t>Irrigation Scheme</t>
        </is>
      </c>
      <c r="H203" s="57" t="inlineStr">
        <is>
          <t>Irrigation Canal</t>
        </is>
      </c>
      <c r="I203" s="57" t="inlineStr">
        <is>
          <t>Emergency Food Security Project (EFSP) – WBK/AF-2</t>
        </is>
      </c>
      <c r="J203" s="57" t="inlineStr">
        <is>
          <t>Central Highland / Bamyan</t>
        </is>
      </c>
      <c r="K203" s="57" t="inlineStr">
        <is>
          <t>Faryab</t>
        </is>
      </c>
      <c r="L203" s="57" t="inlineStr">
        <is>
          <t>Qaisar</t>
        </is>
      </c>
      <c r="M203" s="57" t="inlineStr">
        <is>
          <t>Chechakto Majnon and Payan Guzar</t>
        </is>
      </c>
      <c r="N203" s="57" t="inlineStr">
        <is>
          <t>World Bank (WBK/AF-2)</t>
        </is>
      </c>
      <c r="O203" s="57" t="inlineStr">
        <is>
          <t>Not awarded</t>
        </is>
      </c>
      <c r="P203" s="57" t="inlineStr">
        <is>
          <t>2.Remain contracts_On&amp;off-farm</t>
        </is>
      </c>
      <c r="Q203" s="57" t="inlineStr"/>
      <c r="R203" s="57" t="inlineStr"/>
      <c r="S203" s="58" t="n">
        <v>397007.86</v>
      </c>
      <c r="T203" s="36" t="inlineStr">
        <is>
          <t>IF(AQ203="","",AQ203)</t>
        </is>
      </c>
      <c r="U203" s="59" t="n">
        <v>46386</v>
      </c>
      <c r="V203" s="60" t="n">
        <v>9.199999999999999</v>
      </c>
      <c r="W203" s="59" t="n">
        <v>46666</v>
      </c>
      <c r="X203" s="36" t="inlineStr">
        <is>
          <t>IF(W203&lt;&gt;"",W203,IF(OR(T203="",V203=""),"",EDATE(T203,V203)))</t>
        </is>
      </c>
      <c r="Y203" s="59" t="n"/>
      <c r="Z203" s="60" t="n"/>
      <c r="AA203" s="57" t="inlineStr">
        <is>
          <t>ITB Launched</t>
        </is>
      </c>
      <c r="AB203" s="57" t="inlineStr">
        <is>
          <t>Three months slack period Jan-Mar during winter. Seven months construction period required for two canals</t>
        </is>
      </c>
      <c r="AC203" s="32" t="inlineStr">
        <is>
          <t>IF(F203="","",IF(COUNT(AI203:AV203)=0,IF(AA203="","Not started",AA203),SUBSTITUTE(LOOKUP(2,1/(AI203:AV203&lt;&gt;""),$AI$3:$AV$3),"Date: ","")))</t>
        </is>
      </c>
      <c r="AD203" s="39" t="inlineStr">
        <is>
          <t>IF(OR(F203="",COUNT(AI203:AV203)=0),"",TODAY()-LOOKUP(2,1/(AI203:AV203&lt;&gt;""),AI203:AV203))</t>
        </is>
      </c>
      <c r="AE203" s="39" t="inlineStr">
        <is>
          <t>IF(OR(F203="",COUNT(AI203:AV203)&lt;2),"",LOOKUP(2,1/(AI203:AV203&lt;&gt;""),AI203:AV203)-MIN(AI203:AV203))</t>
        </is>
      </c>
      <c r="AF203" s="39" t="inlineStr">
        <is>
          <t>IF(OR(AD203="",AC203="Not started",AC203=""),"",IFERROR(AD203-IF(VLOOKUP(AC203,'06_Status_Pipeline'!$B$3:$E$20,4,FALSE)="",0,VLOOKUP(AC203,'06_Status_Pipeline'!$B$3:$E$20,4,FALSE)),""))</t>
        </is>
      </c>
      <c r="AG203" s="3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39" t="inlineStr">
        <is>
          <t>IF(OR(F203="",AC203="Completed / Handover",AC203="Cancelled"),"",IF(O203="Not awarded",IF(U203&lt;&gt;"",U203-TODAY(),IF(X203="","",X203-TODAY())),IF(X203="","",X203-TODAY())))</t>
        </is>
      </c>
      <c r="AI203" s="59" t="n"/>
      <c r="AJ203" s="59" t="n"/>
      <c r="AK203" s="59" t="n"/>
      <c r="AL203" s="59" t="n"/>
      <c r="AM203" s="59" t="n"/>
      <c r="AN203" s="59" t="n"/>
      <c r="AO203" s="59" t="n"/>
      <c r="AP203" s="59" t="n"/>
      <c r="AQ203" s="59" t="n"/>
      <c r="AR203" s="59" t="n"/>
      <c r="AS203" s="59" t="n"/>
      <c r="AT203" s="40" t="n"/>
      <c r="AU203" s="40" t="n"/>
      <c r="AV203" s="40" t="n"/>
      <c r="AW203" s="39" t="inlineStr">
        <is>
          <t>IF(OR(F203="",AJ203=""),"",IF(COUNT(AI203:AI203)=0,"",AJ203-LOOKUP(2,1/(AI203:AI203&lt;&gt;""),AI203:AI203)))</t>
        </is>
      </c>
      <c r="AX203" s="39" t="inlineStr">
        <is>
          <t>IF(OR(F203="",AK203=""),"",IF(COUNT(AI203:AJ203)=0,"",AK203-LOOKUP(2,1/(AI203:AJ203&lt;&gt;""),AI203:AJ203)))</t>
        </is>
      </c>
      <c r="AY203" s="39" t="inlineStr">
        <is>
          <t>IF(OR(F203="",AL203=""),"",IF(COUNT(AI203:AK203)=0,"",AL203-LOOKUP(2,1/(AI203:AK203&lt;&gt;""),AI203:AK203)))</t>
        </is>
      </c>
      <c r="AZ203" s="39" t="inlineStr">
        <is>
          <t>IF(OR(F203="",AM203=""),"",IF(COUNT(AI203:AL203)=0,"",AM203-LOOKUP(2,1/(AI203:AL203&lt;&gt;""),AI203:AL203)))</t>
        </is>
      </c>
      <c r="BA203" s="39" t="inlineStr">
        <is>
          <t>IF(OR(F203="",AN203=""),"",IF(COUNT(AI203:AM203)=0,"",AN203-LOOKUP(2,1/(AI203:AM203&lt;&gt;""),AI203:AM203)))</t>
        </is>
      </c>
      <c r="BB203" s="39" t="inlineStr">
        <is>
          <t>IF(OR(F203="",AO203=""),"",IF(COUNT(AI203:AN203)=0,"",AO203-LOOKUP(2,1/(AI203:AN203&lt;&gt;""),AI203:AN203)))</t>
        </is>
      </c>
      <c r="BC203" s="39" t="inlineStr">
        <is>
          <t>IF(OR(F203="",AP203=""),"",IF(COUNT(AI203:AO203)=0,"",AP203-LOOKUP(2,1/(AI203:AO203&lt;&gt;""),AI203:AO203)))</t>
        </is>
      </c>
      <c r="BD203" s="39" t="inlineStr">
        <is>
          <t>IF(OR(F203="",AQ203=""),"",IF(COUNT(AI203:AP203)=0,"",AQ203-LOOKUP(2,1/(AI203:AP203&lt;&gt;""),AI203:AP203)))</t>
        </is>
      </c>
      <c r="BE203" s="39" t="inlineStr">
        <is>
          <t>IF(OR(F203="",AR203=""),"",IF(COUNT(AI203:AQ203)=0,"",AR203-LOOKUP(2,1/(AI203:AQ203&lt;&gt;""),AI203:AQ203)))</t>
        </is>
      </c>
      <c r="BF203" s="39" t="inlineStr">
        <is>
          <t>IF(OR(F203="",AS203=""),"",IF(COUNT(AI203:AR203)=0,"",AS203-LOOKUP(2,1/(AI203:AR203&lt;&gt;""),AI203:AR203)))</t>
        </is>
      </c>
      <c r="BG203" s="39" t="inlineStr">
        <is>
          <t>IF(OR(F203="",AT203=""),"",IF(COUNT(AI203:AS203)=0,"",AT203-LOOKUP(2,1/(AI203:AS203&lt;&gt;""),AI203:AS203)))</t>
        </is>
      </c>
      <c r="BH203" s="39" t="inlineStr">
        <is>
          <t>IF(OR(F203="",AU203=""),"",IF(COUNT(AI203:AT203)=0,"",AU203-LOOKUP(2,1/(AI203:AT203&lt;&gt;""),AI203:AT203)))</t>
        </is>
      </c>
      <c r="BI203" s="39" t="inlineStr">
        <is>
          <t>IF(OR(F203="",AV203=""),"",IF(COUNT(AI203:AU203)=0,"",AV203-LOOKUP(2,1/(AI203:AU203&lt;&gt;""),AI203:AU203)))</t>
        </is>
      </c>
      <c r="BJ203" s="41" t="inlineStr">
        <is>
          <t>IF(J203="","All_Provinces",IFERROR(VLOOKUP(J203,'09_Lookups'!$A$4:$B$20,2,FALSE),"All_Provinces"))</t>
        </is>
      </c>
      <c r="BK203" s="41" t="inlineStr">
        <is>
          <t>IF(K203="","All_Districts",IFERROR(VLOOKUP(K203,'09_Lookups'!$E$4:$F$42,2,FALSE),"All_Districts"))</t>
        </is>
      </c>
    </row>
    <row r="204" outlineLevel="1" ht="18" customHeight="1">
      <c r="A204" s="42" t="inlineStr">
        <is>
          <t>IF(F204="","",ROW()-3)</t>
        </is>
      </c>
      <c r="B204" s="65" t="inlineStr">
        <is>
          <t>AF2-IS-34</t>
        </is>
      </c>
      <c r="C204" s="65" t="inlineStr">
        <is>
          <t>Package #34-AF2 IS: Rehabilitation of Hashtman canal and Qashqasai canal irrigation schemes, located in Qaisar district of Faryab province.</t>
        </is>
      </c>
      <c r="D204" s="65" t="inlineStr">
        <is>
          <t>2 of 2</t>
        </is>
      </c>
      <c r="E204" s="52" t="inlineStr">
        <is>
          <t>AF2-IS-N-028</t>
        </is>
      </c>
      <c r="F204" s="52" t="inlineStr">
        <is>
          <t>Qashqasai Canal Irrigation scheme</t>
        </is>
      </c>
      <c r="G204" s="52" t="inlineStr">
        <is>
          <t>Irrigation Scheme</t>
        </is>
      </c>
      <c r="H204" s="52" t="inlineStr">
        <is>
          <t>Irrigation Canal</t>
        </is>
      </c>
      <c r="I204" s="52" t="inlineStr">
        <is>
          <t>Emergency Food Security Project (EFSP) – WBK/AF-2</t>
        </is>
      </c>
      <c r="J204" s="52" t="inlineStr">
        <is>
          <t>Central Highland / Bamyan</t>
        </is>
      </c>
      <c r="K204" s="52" t="inlineStr">
        <is>
          <t>Faryab</t>
        </is>
      </c>
      <c r="L204" s="52" t="inlineStr">
        <is>
          <t>Qaisar</t>
        </is>
      </c>
      <c r="M204" s="52" t="inlineStr">
        <is>
          <t>Yaka Bagh, Kham badal, Pacha Khor, and Borghan Erak.</t>
        </is>
      </c>
      <c r="N204" s="52" t="inlineStr">
        <is>
          <t>World Bank (WBK/AF-2)</t>
        </is>
      </c>
      <c r="O204" s="52" t="inlineStr">
        <is>
          <t>Not awarded</t>
        </is>
      </c>
      <c r="P204" s="52" t="inlineStr">
        <is>
          <t>2.Remain contracts_On&amp;off-farm</t>
        </is>
      </c>
      <c r="Q204" s="52" t="inlineStr"/>
      <c r="R204" s="52" t="inlineStr"/>
      <c r="S204" s="53" t="n">
        <v>397007.86</v>
      </c>
      <c r="T204" s="46" t="inlineStr">
        <is>
          <t>IF(AQ204="","",AQ204)</t>
        </is>
      </c>
      <c r="U204" s="54" t="n">
        <v>46386</v>
      </c>
      <c r="V204" s="55" t="n">
        <v>9.199999999999999</v>
      </c>
      <c r="W204" s="54" t="n">
        <v>46666</v>
      </c>
      <c r="X204" s="46" t="inlineStr">
        <is>
          <t>IF(W204&lt;&gt;"",W204,IF(OR(T204="",V204=""),"",EDATE(T204,V204)))</t>
        </is>
      </c>
      <c r="Y204" s="54" t="n"/>
      <c r="Z204" s="55" t="n"/>
      <c r="AA204" s="52" t="inlineStr">
        <is>
          <t>ITB Launched</t>
        </is>
      </c>
      <c r="AB204" s="52" t="inlineStr">
        <is>
          <t>Three months slack period Jan-Mar during winter. Seven months construction period required for two canals</t>
        </is>
      </c>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32" t="inlineStr">
        <is>
          <t>IF(F205="","",ROW()-3)</t>
        </is>
      </c>
      <c r="B205" s="33" t="inlineStr">
        <is>
          <t>AF2-IS-35</t>
        </is>
      </c>
      <c r="C205" s="33" t="inlineStr">
        <is>
          <t>Package # 35-AF2 IS: Rehabilitation of Bahr-e Ameq canal irrigation scheme, located in Sozma Qala districts of Sar-e-Pul province.</t>
        </is>
      </c>
      <c r="D205" s="33" t="inlineStr">
        <is>
          <t>1 of 1</t>
        </is>
      </c>
      <c r="E205" s="57" t="inlineStr">
        <is>
          <t>AF2-IS-A-035</t>
        </is>
      </c>
      <c r="F205" s="57" t="inlineStr">
        <is>
          <t>Bahr-e Ameq Canal Irrigation scheme</t>
        </is>
      </c>
      <c r="G205" s="57" t="inlineStr">
        <is>
          <t>Irrigation Scheme</t>
        </is>
      </c>
      <c r="H205" s="57" t="inlineStr">
        <is>
          <t>Irrigation Canal</t>
        </is>
      </c>
      <c r="I205" s="57" t="inlineStr">
        <is>
          <t>Emergency Food Security Project (EFSP) – WBK/AF-2</t>
        </is>
      </c>
      <c r="J205" s="57" t="inlineStr">
        <is>
          <t>North / Mazar</t>
        </is>
      </c>
      <c r="K205" s="57" t="inlineStr">
        <is>
          <t>Sar-e- Pul</t>
        </is>
      </c>
      <c r="L205" s="57" t="inlineStr">
        <is>
          <t>Sozma Qala</t>
        </is>
      </c>
      <c r="M205" s="57" t="inlineStr">
        <is>
          <t>Bahr-e Ameq</t>
        </is>
      </c>
      <c r="N205" s="57" t="inlineStr">
        <is>
          <t>World Bank (WBK/AF-2)</t>
        </is>
      </c>
      <c r="O205" s="57" t="inlineStr">
        <is>
          <t>Awarded</t>
        </is>
      </c>
      <c r="P205" s="57" t="inlineStr">
        <is>
          <t>1.Awarded contracts_On&amp;off-farm</t>
        </is>
      </c>
      <c r="Q205" s="57" t="inlineStr">
        <is>
          <t>Sakht shamal construction and road building company (SSCC)</t>
        </is>
      </c>
      <c r="R205" s="57" t="inlineStr">
        <is>
          <t>016/2026</t>
        </is>
      </c>
      <c r="S205" s="58" t="n">
        <v>249484.29</v>
      </c>
      <c r="T205" s="36" t="inlineStr">
        <is>
          <t>IF(AQ205="","",AQ205)</t>
        </is>
      </c>
      <c r="U205" s="59" t="n"/>
      <c r="V205" s="60" t="n">
        <v>11</v>
      </c>
      <c r="W205" s="59" t="n">
        <v>46403</v>
      </c>
      <c r="X205" s="36" t="inlineStr">
        <is>
          <t>IF(W205&lt;&gt;"",W205,IF(OR(T205="",V205=""),"",EDATE(T205,V205)))</t>
        </is>
      </c>
      <c r="Y205" s="59" t="n"/>
      <c r="Z205" s="60" t="n">
        <v>60</v>
      </c>
      <c r="AA205" s="57" t="inlineStr">
        <is>
          <t>Under Construction</t>
        </is>
      </c>
      <c r="AB205" s="57" t="inlineStr">
        <is>
          <t>on track and will be completed by Jan. 2027</t>
        </is>
      </c>
      <c r="AC205" s="32" t="inlineStr">
        <is>
          <t>IF(F205="","",IF(COUNT(AI205:AV205)=0,IF(AA205="","Not started",AA205),SUBSTITUTE(LOOKUP(2,1/(AI205:AV205&lt;&gt;""),$AI$3:$AV$3),"Date: ","")))</t>
        </is>
      </c>
      <c r="AD205" s="39" t="inlineStr">
        <is>
          <t>IF(OR(F205="",COUNT(AI205:AV205)=0),"",TODAY()-LOOKUP(2,1/(AI205:AV205&lt;&gt;""),AI205:AV205))</t>
        </is>
      </c>
      <c r="AE205" s="39" t="inlineStr">
        <is>
          <t>IF(OR(F205="",COUNT(AI205:AV205)&lt;2),"",LOOKUP(2,1/(AI205:AV205&lt;&gt;""),AI205:AV205)-MIN(AI205:AV205))</t>
        </is>
      </c>
      <c r="AF205" s="39" t="inlineStr">
        <is>
          <t>IF(OR(AD205="",AC205="Not started",AC205=""),"",IFERROR(AD205-IF(VLOOKUP(AC205,'06_Status_Pipeline'!$B$3:$E$20,4,FALSE)="",0,VLOOKUP(AC205,'06_Status_Pipeline'!$B$3:$E$20,4,FALSE)),""))</t>
        </is>
      </c>
      <c r="AG205" s="3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39" t="inlineStr">
        <is>
          <t>IF(OR(F205="",AC205="Completed / Handover",AC205="Cancelled"),"",IF(O205="Not awarded",IF(U205&lt;&gt;"",U205-TODAY(),IF(X205="","",X205-TODAY())),IF(X205="","",X205-TODAY())))</t>
        </is>
      </c>
      <c r="AI205" s="66" t="n"/>
      <c r="AJ205" s="66" t="n"/>
      <c r="AK205" s="66" t="n"/>
      <c r="AL205" s="66" t="n"/>
      <c r="AM205" s="66" t="n"/>
      <c r="AN205" s="66" t="n"/>
      <c r="AO205" s="66" t="n"/>
      <c r="AP205" s="66" t="n"/>
      <c r="AQ205" s="66" t="n">
        <v>46070</v>
      </c>
      <c r="AR205" s="66" t="n">
        <v>46070</v>
      </c>
      <c r="AS205" s="66" t="n"/>
      <c r="AT205" s="40" t="n"/>
      <c r="AU205" s="40" t="n"/>
      <c r="AV205" s="40" t="n"/>
      <c r="AW205" s="39" t="inlineStr">
        <is>
          <t>IF(OR(F205="",AJ205=""),"",IF(COUNT(AI205:AI205)=0,"",AJ205-LOOKUP(2,1/(AI205:AI205&lt;&gt;""),AI205:AI205)))</t>
        </is>
      </c>
      <c r="AX205" s="39" t="inlineStr">
        <is>
          <t>IF(OR(F205="",AK205=""),"",IF(COUNT(AI205:AJ205)=0,"",AK205-LOOKUP(2,1/(AI205:AJ205&lt;&gt;""),AI205:AJ205)))</t>
        </is>
      </c>
      <c r="AY205" s="39" t="inlineStr">
        <is>
          <t>IF(OR(F205="",AL205=""),"",IF(COUNT(AI205:AK205)=0,"",AL205-LOOKUP(2,1/(AI205:AK205&lt;&gt;""),AI205:AK205)))</t>
        </is>
      </c>
      <c r="AZ205" s="39" t="inlineStr">
        <is>
          <t>IF(OR(F205="",AM205=""),"",IF(COUNT(AI205:AL205)=0,"",AM205-LOOKUP(2,1/(AI205:AL205&lt;&gt;""),AI205:AL205)))</t>
        </is>
      </c>
      <c r="BA205" s="39" t="inlineStr">
        <is>
          <t>IF(OR(F205="",AN205=""),"",IF(COUNT(AI205:AM205)=0,"",AN205-LOOKUP(2,1/(AI205:AM205&lt;&gt;""),AI205:AM205)))</t>
        </is>
      </c>
      <c r="BB205" s="39" t="inlineStr">
        <is>
          <t>IF(OR(F205="",AO205=""),"",IF(COUNT(AI205:AN205)=0,"",AO205-LOOKUP(2,1/(AI205:AN205&lt;&gt;""),AI205:AN205)))</t>
        </is>
      </c>
      <c r="BC205" s="39" t="inlineStr">
        <is>
          <t>IF(OR(F205="",AP205=""),"",IF(COUNT(AI205:AO205)=0,"",AP205-LOOKUP(2,1/(AI205:AO205&lt;&gt;""),AI205:AO205)))</t>
        </is>
      </c>
      <c r="BD205" s="39" t="inlineStr">
        <is>
          <t>IF(OR(F205="",AQ205=""),"",IF(COUNT(AI205:AP205)=0,"",AQ205-LOOKUP(2,1/(AI205:AP205&lt;&gt;""),AI205:AP205)))</t>
        </is>
      </c>
      <c r="BE205" s="39" t="inlineStr">
        <is>
          <t>IF(OR(F205="",AR205=""),"",IF(COUNT(AI205:AQ205)=0,"",AR205-LOOKUP(2,1/(AI205:AQ205&lt;&gt;""),AI205:AQ205)))</t>
        </is>
      </c>
      <c r="BF205" s="39" t="inlineStr">
        <is>
          <t>IF(OR(F205="",AS205=""),"",IF(COUNT(AI205:AR205)=0,"",AS205-LOOKUP(2,1/(AI205:AR205&lt;&gt;""),AI205:AR205)))</t>
        </is>
      </c>
      <c r="BG205" s="39" t="inlineStr">
        <is>
          <t>IF(OR(F205="",AT205=""),"",IF(COUNT(AI205:AS205)=0,"",AT205-LOOKUP(2,1/(AI205:AS205&lt;&gt;""),AI205:AS205)))</t>
        </is>
      </c>
      <c r="BH205" s="39" t="inlineStr">
        <is>
          <t>IF(OR(F205="",AU205=""),"",IF(COUNT(AI205:AT205)=0,"",AU205-LOOKUP(2,1/(AI205:AT205&lt;&gt;""),AI205:AT205)))</t>
        </is>
      </c>
      <c r="BI205" s="39" t="inlineStr">
        <is>
          <t>IF(OR(F205="",AV205=""),"",IF(COUNT(AI205:AU205)=0,"",AV205-LOOKUP(2,1/(AI205:AU205&lt;&gt;""),AI205:AU205)))</t>
        </is>
      </c>
      <c r="BJ205" s="41" t="inlineStr">
        <is>
          <t>IF(J205="","All_Provinces",IFERROR(VLOOKUP(J205,'09_Lookups'!$A$4:$B$20,2,FALSE),"All_Provinces"))</t>
        </is>
      </c>
      <c r="BK205" s="41" t="inlineStr">
        <is>
          <t>IF(K205="","All_Districts",IFERROR(VLOOKUP(K205,'09_Lookups'!$E$4:$F$42,2,FALSE),"All_Districts"))</t>
        </is>
      </c>
    </row>
    <row r="206" ht="18" customHeight="1">
      <c r="A206" s="32" t="inlineStr">
        <is>
          <t>IF(F206="","",ROW()-3)</t>
        </is>
      </c>
      <c r="B206" s="56" t="inlineStr">
        <is>
          <t>AF2-IS-36</t>
        </is>
      </c>
      <c r="C206" s="56" t="inlineStr">
        <is>
          <t>Package # 36-AF2 IS: Rehabilitation of Joy Shahr canal and Khanum Arabia canal irrigation schemes, located in Aqcha and Faizabad districts of Jawzjan province.</t>
        </is>
      </c>
      <c r="D206" s="56" t="inlineStr">
        <is>
          <t>1 of 2</t>
        </is>
      </c>
      <c r="E206" s="34" t="inlineStr">
        <is>
          <t>AF2-IS-N-029</t>
        </is>
      </c>
      <c r="F206" s="34" t="inlineStr">
        <is>
          <t>Joy Shahr Canal Irrigation scheme</t>
        </is>
      </c>
      <c r="G206" s="34" t="inlineStr">
        <is>
          <t>Irrigation Scheme</t>
        </is>
      </c>
      <c r="H206" s="34" t="inlineStr">
        <is>
          <t>Irrigation Canal</t>
        </is>
      </c>
      <c r="I206" s="34" t="inlineStr">
        <is>
          <t>Emergency Food Security Project (EFSP) – WBK/AF-2</t>
        </is>
      </c>
      <c r="J206" s="34" t="inlineStr">
        <is>
          <t>Central Highland / Bamyan</t>
        </is>
      </c>
      <c r="K206" s="34" t="inlineStr">
        <is>
          <t>Jawzjan</t>
        </is>
      </c>
      <c r="L206" s="34" t="inlineStr">
        <is>
          <t>Aqcha</t>
        </is>
      </c>
      <c r="M206" s="34" t="inlineStr">
        <is>
          <t>Komak Omarkhan and Jiza</t>
        </is>
      </c>
      <c r="N206" s="34" t="inlineStr">
        <is>
          <t>World Bank (WBK/AF-2)</t>
        </is>
      </c>
      <c r="O206" s="34" t="inlineStr">
        <is>
          <t>Not awarded</t>
        </is>
      </c>
      <c r="P206" s="34" t="inlineStr">
        <is>
          <t>2.Remain contracts_On&amp;off-farm</t>
        </is>
      </c>
      <c r="Q206" s="34" t="inlineStr"/>
      <c r="R206" s="34" t="inlineStr"/>
      <c r="S206" s="35" t="n">
        <v>310000</v>
      </c>
      <c r="T206" s="36" t="inlineStr">
        <is>
          <t>IF(AQ206="","",AQ206)</t>
        </is>
      </c>
      <c r="U206" s="37" t="n">
        <v>46373</v>
      </c>
      <c r="V206" s="38" t="n">
        <v>9.9</v>
      </c>
      <c r="W206" s="37" t="n">
        <v>46673</v>
      </c>
      <c r="X206" s="36" t="inlineStr">
        <is>
          <t>IF(W206&lt;&gt;"",W206,IF(OR(T206="",V206=""),"",EDATE(T206,V206)))</t>
        </is>
      </c>
      <c r="Y206" s="37" t="n"/>
      <c r="Z206" s="38" t="n"/>
      <c r="AA206" s="34" t="inlineStr">
        <is>
          <t>Under LTO Review</t>
        </is>
      </c>
      <c r="AB206" s="34" t="inlineStr">
        <is>
          <t>Three months slack period Jan-Mar during winter. Seven months construction period required for two canals. Explore split into 2 lots</t>
        </is>
      </c>
      <c r="AC206" s="32" t="inlineStr">
        <is>
          <t>IF(F206="","",IF(COUNT(AI206:AV206)=0,IF(AA206="","Not started",AA206),SUBSTITUTE(LOOKUP(2,1/(AI206:AV206&lt;&gt;""),$AI$3:$AV$3),"Date: ","")))</t>
        </is>
      </c>
      <c r="AD206" s="39" t="inlineStr">
        <is>
          <t>IF(OR(F206="",COUNT(AI206:AV206)=0),"",TODAY()-LOOKUP(2,1/(AI206:AV206&lt;&gt;""),AI206:AV206))</t>
        </is>
      </c>
      <c r="AE206" s="39" t="inlineStr">
        <is>
          <t>IF(OR(F206="",COUNT(AI206:AV206)&lt;2),"",LOOKUP(2,1/(AI206:AV206&lt;&gt;""),AI206:AV206)-MIN(AI206:AV206))</t>
        </is>
      </c>
      <c r="AF206" s="39" t="inlineStr">
        <is>
          <t>IF(OR(AD206="",AC206="Not started",AC206=""),"",IFERROR(AD206-IF(VLOOKUP(AC206,'06_Status_Pipeline'!$B$3:$E$20,4,FALSE)="",0,VLOOKUP(AC206,'06_Status_Pipeline'!$B$3:$E$20,4,FALSE)),""))</t>
        </is>
      </c>
      <c r="AG206" s="3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39" t="inlineStr">
        <is>
          <t>IF(OR(F206="",AC206="Completed / Handover",AC206="Cancelled"),"",IF(O206="Not awarded",IF(U206&lt;&gt;"",U206-TODAY(),IF(X206="","",X206-TODAY())),IF(X206="","",X206-TODAY())))</t>
        </is>
      </c>
      <c r="AI206" s="37" t="n"/>
      <c r="AJ206" s="37" t="n"/>
      <c r="AK206" s="37" t="n"/>
      <c r="AL206" s="37" t="n"/>
      <c r="AM206" s="37" t="n"/>
      <c r="AN206" s="37" t="n"/>
      <c r="AO206" s="37" t="n"/>
      <c r="AP206" s="37" t="n"/>
      <c r="AQ206" s="37" t="n"/>
      <c r="AR206" s="37" t="n"/>
      <c r="AS206" s="37" t="n"/>
      <c r="AT206" s="40" t="n"/>
      <c r="AU206" s="40" t="n"/>
      <c r="AV206" s="40" t="n"/>
      <c r="AW206" s="39" t="inlineStr">
        <is>
          <t>IF(OR(F206="",AJ206=""),"",IF(COUNT(AI206:AI206)=0,"",AJ206-LOOKUP(2,1/(AI206:AI206&lt;&gt;""),AI206:AI206)))</t>
        </is>
      </c>
      <c r="AX206" s="39" t="inlineStr">
        <is>
          <t>IF(OR(F206="",AK206=""),"",IF(COUNT(AI206:AJ206)=0,"",AK206-LOOKUP(2,1/(AI206:AJ206&lt;&gt;""),AI206:AJ206)))</t>
        </is>
      </c>
      <c r="AY206" s="39" t="inlineStr">
        <is>
          <t>IF(OR(F206="",AL206=""),"",IF(COUNT(AI206:AK206)=0,"",AL206-LOOKUP(2,1/(AI206:AK206&lt;&gt;""),AI206:AK206)))</t>
        </is>
      </c>
      <c r="AZ206" s="39" t="inlineStr">
        <is>
          <t>IF(OR(F206="",AM206=""),"",IF(COUNT(AI206:AL206)=0,"",AM206-LOOKUP(2,1/(AI206:AL206&lt;&gt;""),AI206:AL206)))</t>
        </is>
      </c>
      <c r="BA206" s="39" t="inlineStr">
        <is>
          <t>IF(OR(F206="",AN206=""),"",IF(COUNT(AI206:AM206)=0,"",AN206-LOOKUP(2,1/(AI206:AM206&lt;&gt;""),AI206:AM206)))</t>
        </is>
      </c>
      <c r="BB206" s="39" t="inlineStr">
        <is>
          <t>IF(OR(F206="",AO206=""),"",IF(COUNT(AI206:AN206)=0,"",AO206-LOOKUP(2,1/(AI206:AN206&lt;&gt;""),AI206:AN206)))</t>
        </is>
      </c>
      <c r="BC206" s="39" t="inlineStr">
        <is>
          <t>IF(OR(F206="",AP206=""),"",IF(COUNT(AI206:AO206)=0,"",AP206-LOOKUP(2,1/(AI206:AO206&lt;&gt;""),AI206:AO206)))</t>
        </is>
      </c>
      <c r="BD206" s="39" t="inlineStr">
        <is>
          <t>IF(OR(F206="",AQ206=""),"",IF(COUNT(AI206:AP206)=0,"",AQ206-LOOKUP(2,1/(AI206:AP206&lt;&gt;""),AI206:AP206)))</t>
        </is>
      </c>
      <c r="BE206" s="39" t="inlineStr">
        <is>
          <t>IF(OR(F206="",AR206=""),"",IF(COUNT(AI206:AQ206)=0,"",AR206-LOOKUP(2,1/(AI206:AQ206&lt;&gt;""),AI206:AQ206)))</t>
        </is>
      </c>
      <c r="BF206" s="39" t="inlineStr">
        <is>
          <t>IF(OR(F206="",AS206=""),"",IF(COUNT(AI206:AR206)=0,"",AS206-LOOKUP(2,1/(AI206:AR206&lt;&gt;""),AI206:AR206)))</t>
        </is>
      </c>
      <c r="BG206" s="39" t="inlineStr">
        <is>
          <t>IF(OR(F206="",AT206=""),"",IF(COUNT(AI206:AS206)=0,"",AT206-LOOKUP(2,1/(AI206:AS206&lt;&gt;""),AI206:AS206)))</t>
        </is>
      </c>
      <c r="BH206" s="39" t="inlineStr">
        <is>
          <t>IF(OR(F206="",AU206=""),"",IF(COUNT(AI206:AT206)=0,"",AU206-LOOKUP(2,1/(AI206:AT206&lt;&gt;""),AI206:AT206)))</t>
        </is>
      </c>
      <c r="BI206" s="39" t="inlineStr">
        <is>
          <t>IF(OR(F206="",AV206=""),"",IF(COUNT(AI206:AU206)=0,"",AV206-LOOKUP(2,1/(AI206:AU206&lt;&gt;""),AI206:AU206)))</t>
        </is>
      </c>
      <c r="BJ206" s="41" t="inlineStr">
        <is>
          <t>IF(J206="","All_Provinces",IFERROR(VLOOKUP(J206,'09_Lookups'!$A$4:$B$20,2,FALSE),"All_Provinces"))</t>
        </is>
      </c>
      <c r="BK206" s="41" t="inlineStr">
        <is>
          <t>IF(K206="","All_Districts",IFERROR(VLOOKUP(K206,'09_Lookups'!$E$4:$F$42,2,FALSE),"All_Districts"))</t>
        </is>
      </c>
    </row>
    <row r="207" outlineLevel="1" ht="18" customHeight="1">
      <c r="A207" s="42" t="inlineStr">
        <is>
          <t>IF(F207="","",ROW()-3)</t>
        </is>
      </c>
      <c r="B207" s="61" t="inlineStr">
        <is>
          <t>AF2-IS-36</t>
        </is>
      </c>
      <c r="C207" s="61" t="inlineStr">
        <is>
          <t>Package # 36-AF2 IS: Rehabilitation of Joy Shahr canal and Khanum Arabia canal irrigation schemes, located in Aqcha and Faizabad districts of Jawzjan province.</t>
        </is>
      </c>
      <c r="D207" s="61" t="inlineStr">
        <is>
          <t>2 of 2</t>
        </is>
      </c>
      <c r="E207" s="44" t="inlineStr">
        <is>
          <t>AF2-IS-N-030</t>
        </is>
      </c>
      <c r="F207" s="44" t="inlineStr">
        <is>
          <t>Khanum Arabia Canal Irrigation scheme</t>
        </is>
      </c>
      <c r="G207" s="44" t="inlineStr">
        <is>
          <t>Irrigation Scheme</t>
        </is>
      </c>
      <c r="H207" s="44" t="inlineStr">
        <is>
          <t>Irrigation Canal</t>
        </is>
      </c>
      <c r="I207" s="44" t="inlineStr">
        <is>
          <t>Emergency Food Security Project (EFSP) – WBK/AF-2</t>
        </is>
      </c>
      <c r="J207" s="44" t="inlineStr">
        <is>
          <t>Central Highland / Bamyan</t>
        </is>
      </c>
      <c r="K207" s="44" t="inlineStr">
        <is>
          <t>Jawzjan</t>
        </is>
      </c>
      <c r="L207" s="44" t="inlineStr">
        <is>
          <t>Faizabad</t>
        </is>
      </c>
      <c r="M207" s="44" t="inlineStr">
        <is>
          <t>Khanum Arabia, Khanum Turmkania, Shaikhabad and Wazirabad</t>
        </is>
      </c>
      <c r="N207" s="44" t="inlineStr">
        <is>
          <t>World Bank (WBK/AF-2)</t>
        </is>
      </c>
      <c r="O207" s="44" t="inlineStr">
        <is>
          <t>Not awarded</t>
        </is>
      </c>
      <c r="P207" s="44" t="inlineStr">
        <is>
          <t>2.Remain contracts_On&amp;off-farm</t>
        </is>
      </c>
      <c r="Q207" s="44" t="inlineStr"/>
      <c r="R207" s="44" t="inlineStr"/>
      <c r="S207" s="45" t="n">
        <v>310000</v>
      </c>
      <c r="T207" s="46" t="inlineStr">
        <is>
          <t>IF(AQ207="","",AQ207)</t>
        </is>
      </c>
      <c r="U207" s="47" t="n">
        <v>46373</v>
      </c>
      <c r="V207" s="48" t="n">
        <v>9.9</v>
      </c>
      <c r="W207" s="47" t="n">
        <v>46673</v>
      </c>
      <c r="X207" s="46" t="inlineStr">
        <is>
          <t>IF(W207&lt;&gt;"",W207,IF(OR(T207="",V207=""),"",EDATE(T207,V207)))</t>
        </is>
      </c>
      <c r="Y207" s="47" t="n"/>
      <c r="Z207" s="48" t="n"/>
      <c r="AA207" s="44" t="inlineStr">
        <is>
          <t>Under LTO Review</t>
        </is>
      </c>
      <c r="AB207" s="44" t="inlineStr">
        <is>
          <t>Three months slack period Jan-Mar during winter. Seven months construction period required for two canals. Explore split into 2 lots</t>
        </is>
      </c>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32" t="inlineStr">
        <is>
          <t>IF(F208="","",ROW()-3)</t>
        </is>
      </c>
      <c r="B208" s="62" t="inlineStr">
        <is>
          <t>AF2-IS-37</t>
        </is>
      </c>
      <c r="C208" s="62" t="inlineStr">
        <is>
          <t>Package #37-AF2 IS: Rehabilitation of Oshtorkhan, Ahangaran and Madrasa irrigation schemes, located in Firozkoh district of Ghor province.</t>
        </is>
      </c>
      <c r="D208" s="62" t="inlineStr">
        <is>
          <t>1 of 1</t>
        </is>
      </c>
      <c r="E208" s="34" t="inlineStr">
        <is>
          <t>AF2-IS-N-031</t>
        </is>
      </c>
      <c r="F208" s="34" t="inlineStr">
        <is>
          <t>Oshtorkhan, Ahangaran and Mardras irrigation Schemes</t>
        </is>
      </c>
      <c r="G208" s="34" t="inlineStr">
        <is>
          <t>Irrigation Scheme</t>
        </is>
      </c>
      <c r="H208" s="34" t="inlineStr">
        <is>
          <t>Irrigation Canal</t>
        </is>
      </c>
      <c r="I208" s="34" t="inlineStr">
        <is>
          <t>Emergency Food Security Project (EFSP) – WBK/AF-2</t>
        </is>
      </c>
      <c r="J208" s="34" t="inlineStr">
        <is>
          <t>West / Herat</t>
        </is>
      </c>
      <c r="K208" s="34" t="inlineStr">
        <is>
          <t>Ghor</t>
        </is>
      </c>
      <c r="L208" s="34" t="inlineStr">
        <is>
          <t>Firozkoh</t>
        </is>
      </c>
      <c r="M208" s="34" t="inlineStr">
        <is>
          <t>Oshtorkhan, Ahangaran and Madrasa</t>
        </is>
      </c>
      <c r="N208" s="34" t="inlineStr">
        <is>
          <t>World Bank (WBK/AF-2)</t>
        </is>
      </c>
      <c r="O208" s="34" t="inlineStr">
        <is>
          <t>Not awarded</t>
        </is>
      </c>
      <c r="P208" s="34" t="inlineStr">
        <is>
          <t>2.Remain contracts_On&amp;off-farm</t>
        </is>
      </c>
      <c r="Q208" s="34" t="inlineStr"/>
      <c r="R208" s="34" t="inlineStr"/>
      <c r="S208" s="35" t="n">
        <v>300000</v>
      </c>
      <c r="T208" s="36" t="inlineStr">
        <is>
          <t>IF(AQ208="","",AQ208)</t>
        </is>
      </c>
      <c r="U208" s="37" t="n">
        <v>46376</v>
      </c>
      <c r="V208" s="38" t="n">
        <v>7.9</v>
      </c>
      <c r="W208" s="37" t="n">
        <v>46616</v>
      </c>
      <c r="X208" s="36" t="inlineStr">
        <is>
          <t>IF(W208&lt;&gt;"",W208,IF(OR(T208="",V208=""),"",EDATE(T208,V208)))</t>
        </is>
      </c>
      <c r="Y208" s="37" t="n"/>
      <c r="Z208" s="38" t="n"/>
      <c r="AA208" s="34" t="inlineStr">
        <is>
          <t>Under Design</t>
        </is>
      </c>
      <c r="AB208" s="34" t="inlineStr">
        <is>
          <t>Three months slack period Jan-Mar during winter Five months construction period required for three canals. To explore 2 lots for 2 contracts and simultaneous work</t>
        </is>
      </c>
      <c r="AC208" s="32" t="inlineStr">
        <is>
          <t>IF(F208="","",IF(COUNT(AI208:AV208)=0,IF(AA208="","Not started",AA208),SUBSTITUTE(LOOKUP(2,1/(AI208:AV208&lt;&gt;""),$AI$3:$AV$3),"Date: ","")))</t>
        </is>
      </c>
      <c r="AD208" s="39" t="inlineStr">
        <is>
          <t>IF(OR(F208="",COUNT(AI208:AV208)=0),"",TODAY()-LOOKUP(2,1/(AI208:AV208&lt;&gt;""),AI208:AV208))</t>
        </is>
      </c>
      <c r="AE208" s="39" t="inlineStr">
        <is>
          <t>IF(OR(F208="",COUNT(AI208:AV208)&lt;2),"",LOOKUP(2,1/(AI208:AV208&lt;&gt;""),AI208:AV208)-MIN(AI208:AV208))</t>
        </is>
      </c>
      <c r="AF208" s="39" t="inlineStr">
        <is>
          <t>IF(OR(AD208="",AC208="Not started",AC208=""),"",IFERROR(AD208-IF(VLOOKUP(AC208,'06_Status_Pipeline'!$B$3:$E$20,4,FALSE)="",0,VLOOKUP(AC208,'06_Status_Pipeline'!$B$3:$E$20,4,FALSE)),""))</t>
        </is>
      </c>
      <c r="AG208" s="3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39" t="inlineStr">
        <is>
          <t>IF(OR(F208="",AC208="Completed / Handover",AC208="Cancelled"),"",IF(O208="Not awarded",IF(U208&lt;&gt;"",U208-TODAY(),IF(X208="","",X208-TODAY())),IF(X208="","",X208-TODAY())))</t>
        </is>
      </c>
      <c r="AI208" s="37" t="n"/>
      <c r="AJ208" s="37" t="n"/>
      <c r="AK208" s="37" t="n"/>
      <c r="AL208" s="37" t="n"/>
      <c r="AM208" s="37" t="n"/>
      <c r="AN208" s="37" t="n"/>
      <c r="AO208" s="37" t="n"/>
      <c r="AP208" s="37" t="n"/>
      <c r="AQ208" s="37" t="n"/>
      <c r="AR208" s="37" t="n"/>
      <c r="AS208" s="37" t="n"/>
      <c r="AT208" s="40" t="n"/>
      <c r="AU208" s="40" t="n"/>
      <c r="AV208" s="40" t="n"/>
      <c r="AW208" s="39" t="inlineStr">
        <is>
          <t>IF(OR(F208="",AJ208=""),"",IF(COUNT(AI208:AI208)=0,"",AJ208-LOOKUP(2,1/(AI208:AI208&lt;&gt;""),AI208:AI208)))</t>
        </is>
      </c>
      <c r="AX208" s="39" t="inlineStr">
        <is>
          <t>IF(OR(F208="",AK208=""),"",IF(COUNT(AI208:AJ208)=0,"",AK208-LOOKUP(2,1/(AI208:AJ208&lt;&gt;""),AI208:AJ208)))</t>
        </is>
      </c>
      <c r="AY208" s="39" t="inlineStr">
        <is>
          <t>IF(OR(F208="",AL208=""),"",IF(COUNT(AI208:AK208)=0,"",AL208-LOOKUP(2,1/(AI208:AK208&lt;&gt;""),AI208:AK208)))</t>
        </is>
      </c>
      <c r="AZ208" s="39" t="inlineStr">
        <is>
          <t>IF(OR(F208="",AM208=""),"",IF(COUNT(AI208:AL208)=0,"",AM208-LOOKUP(2,1/(AI208:AL208&lt;&gt;""),AI208:AL208)))</t>
        </is>
      </c>
      <c r="BA208" s="39" t="inlineStr">
        <is>
          <t>IF(OR(F208="",AN208=""),"",IF(COUNT(AI208:AM208)=0,"",AN208-LOOKUP(2,1/(AI208:AM208&lt;&gt;""),AI208:AM208)))</t>
        </is>
      </c>
      <c r="BB208" s="39" t="inlineStr">
        <is>
          <t>IF(OR(F208="",AO208=""),"",IF(COUNT(AI208:AN208)=0,"",AO208-LOOKUP(2,1/(AI208:AN208&lt;&gt;""),AI208:AN208)))</t>
        </is>
      </c>
      <c r="BC208" s="39" t="inlineStr">
        <is>
          <t>IF(OR(F208="",AP208=""),"",IF(COUNT(AI208:AO208)=0,"",AP208-LOOKUP(2,1/(AI208:AO208&lt;&gt;""),AI208:AO208)))</t>
        </is>
      </c>
      <c r="BD208" s="39" t="inlineStr">
        <is>
          <t>IF(OR(F208="",AQ208=""),"",IF(COUNT(AI208:AP208)=0,"",AQ208-LOOKUP(2,1/(AI208:AP208&lt;&gt;""),AI208:AP208)))</t>
        </is>
      </c>
      <c r="BE208" s="39" t="inlineStr">
        <is>
          <t>IF(OR(F208="",AR208=""),"",IF(COUNT(AI208:AQ208)=0,"",AR208-LOOKUP(2,1/(AI208:AQ208&lt;&gt;""),AI208:AQ208)))</t>
        </is>
      </c>
      <c r="BF208" s="39" t="inlineStr">
        <is>
          <t>IF(OR(F208="",AS208=""),"",IF(COUNT(AI208:AR208)=0,"",AS208-LOOKUP(2,1/(AI208:AR208&lt;&gt;""),AI208:AR208)))</t>
        </is>
      </c>
      <c r="BG208" s="39" t="inlineStr">
        <is>
          <t>IF(OR(F208="",AT208=""),"",IF(COUNT(AI208:AS208)=0,"",AT208-LOOKUP(2,1/(AI208:AS208&lt;&gt;""),AI208:AS208)))</t>
        </is>
      </c>
      <c r="BH208" s="39" t="inlineStr">
        <is>
          <t>IF(OR(F208="",AU208=""),"",IF(COUNT(AI208:AT208)=0,"",AU208-LOOKUP(2,1/(AI208:AT208&lt;&gt;""),AI208:AT208)))</t>
        </is>
      </c>
      <c r="BI208" s="39" t="inlineStr">
        <is>
          <t>IF(OR(F208="",AV208=""),"",IF(COUNT(AI208:AU208)=0,"",AV208-LOOKUP(2,1/(AI208:AU208&lt;&gt;""),AI208:AU208)))</t>
        </is>
      </c>
      <c r="BJ208" s="41" t="inlineStr">
        <is>
          <t>IF(J208="","All_Provinces",IFERROR(VLOOKUP(J208,'09_Lookups'!$A$4:$B$20,2,FALSE),"All_Provinces"))</t>
        </is>
      </c>
      <c r="BK208" s="41" t="inlineStr">
        <is>
          <t>IF(K208="","All_Districts",IFERROR(VLOOKUP(K208,'09_Lookups'!$E$4:$F$42,2,FALSE),"All_Districts"))</t>
        </is>
      </c>
    </row>
    <row r="209" ht="18" customHeight="1">
      <c r="A209" s="32" t="inlineStr">
        <is>
          <t>IF(F209="","",ROW()-3)</t>
        </is>
      </c>
      <c r="B209" s="64" t="inlineStr">
        <is>
          <t>AF2-LLL-ALL</t>
        </is>
      </c>
      <c r="C209" s="64" t="inlineStr">
        <is>
          <t>EFSP-AF2 LLL supply and delivery (50 units)</t>
        </is>
      </c>
      <c r="D209" s="64" t="inlineStr">
        <is>
          <t>1 of 50</t>
        </is>
      </c>
      <c r="E209" s="57" t="inlineStr">
        <is>
          <t>AF2-LLL-N-001</t>
        </is>
      </c>
      <c r="F209" s="57" t="inlineStr">
        <is>
          <t>Abdul Baqi irrigation scheme</t>
        </is>
      </c>
      <c r="G209" s="57" t="inlineStr">
        <is>
          <t>Laser Land Leveler (LLL)</t>
        </is>
      </c>
      <c r="H209" s="57" t="inlineStr">
        <is>
          <t>LLL unit</t>
        </is>
      </c>
      <c r="I209" s="57" t="inlineStr">
        <is>
          <t>Emergency Food Security Project (EFSP) – WBK/AF-2</t>
        </is>
      </c>
      <c r="J209" s="57" t="inlineStr">
        <is>
          <t>North / Mazar</t>
        </is>
      </c>
      <c r="K209" s="57" t="inlineStr">
        <is>
          <t>Balklh</t>
        </is>
      </c>
      <c r="L209" s="57" t="inlineStr">
        <is>
          <t>Chimtal</t>
        </is>
      </c>
      <c r="M209" s="57" t="inlineStr">
        <is>
          <t>1 unit(s)</t>
        </is>
      </c>
      <c r="N209" s="57" t="inlineStr">
        <is>
          <t>World Bank (WBK/AF-2)</t>
        </is>
      </c>
      <c r="O209" s="57" t="inlineStr">
        <is>
          <t>Not awarded</t>
        </is>
      </c>
      <c r="P209" s="57" t="inlineStr">
        <is>
          <t>6. Supply and delivery of LLL</t>
        </is>
      </c>
      <c r="Q209" s="57" t="inlineStr"/>
      <c r="R209" s="57" t="inlineStr"/>
      <c r="S209" s="58" t="n"/>
      <c r="T209" s="36" t="inlineStr">
        <is>
          <t>IF(AQ209="","",AQ209)</t>
        </is>
      </c>
      <c r="U209" s="59" t="n">
        <v>46325</v>
      </c>
      <c r="V209" s="60" t="n"/>
      <c r="W209" s="59" t="n">
        <v>46418</v>
      </c>
      <c r="X209" s="36" t="inlineStr">
        <is>
          <t>IF(W209&lt;&gt;"",W209,IF(OR(T209="",V209=""),"",EDATE(T209,V209)))</t>
        </is>
      </c>
      <c r="Y209" s="59" t="n"/>
      <c r="Z209" s="60" t="n"/>
      <c r="AA209" s="57" t="inlineStr">
        <is>
          <t>Under Awarding</t>
        </is>
      </c>
      <c r="AB209" s="57" t="inlineStr">
        <is>
          <t>The Procurement process is initiated in April and PO will be issued late October 2026. and delivery will be done by End of December 2026 and onward in January 2027 it is planned to be distributed to the selected beneficiaries.</t>
        </is>
      </c>
      <c r="AC209" s="32" t="inlineStr">
        <is>
          <t>IF(F209="","",IF(COUNT(AI209:AV209)=0,IF(AA209="","Not started",AA209),SUBSTITUTE(LOOKUP(2,1/(AI209:AV209&lt;&gt;""),$AI$3:$AV$3),"Date: ","")))</t>
        </is>
      </c>
      <c r="AD209" s="39" t="inlineStr">
        <is>
          <t>IF(OR(F209="",COUNT(AI209:AV209)=0),"",TODAY()-LOOKUP(2,1/(AI209:AV209&lt;&gt;""),AI209:AV209))</t>
        </is>
      </c>
      <c r="AE209" s="39" t="inlineStr">
        <is>
          <t>IF(OR(F209="",COUNT(AI209:AV209)&lt;2),"",LOOKUP(2,1/(AI209:AV209&lt;&gt;""),AI209:AV209)-MIN(AI209:AV209))</t>
        </is>
      </c>
      <c r="AF209" s="39" t="inlineStr">
        <is>
          <t>IF(OR(AD209="",AC209="Not started",AC209=""),"",IFERROR(AD209-IF(VLOOKUP(AC209,'06_Status_Pipeline'!$B$3:$E$20,4,FALSE)="",0,VLOOKUP(AC209,'06_Status_Pipeline'!$B$3:$E$20,4,FALSE)),""))</t>
        </is>
      </c>
      <c r="AG209" s="3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39" t="inlineStr">
        <is>
          <t>IF(OR(F209="",AC209="Completed / Handover",AC209="Cancelled"),"",IF(O209="Not awarded",IF(U209&lt;&gt;"",U209-TODAY(),IF(X209="","",X209-TODAY())),IF(X209="","",X209-TODAY())))</t>
        </is>
      </c>
      <c r="AI209" s="59" t="n"/>
      <c r="AJ209" s="59" t="n"/>
      <c r="AK209" s="59" t="n"/>
      <c r="AL209" s="59" t="n"/>
      <c r="AM209" s="59" t="n"/>
      <c r="AN209" s="59" t="n"/>
      <c r="AO209" s="59" t="n"/>
      <c r="AP209" s="59" t="n"/>
      <c r="AQ209" s="59" t="n"/>
      <c r="AR209" s="59" t="n"/>
      <c r="AS209" s="59" t="n"/>
      <c r="AT209" s="40" t="n"/>
      <c r="AU209" s="40" t="n"/>
      <c r="AV209" s="40" t="n"/>
      <c r="AW209" s="39" t="inlineStr">
        <is>
          <t>IF(OR(F209="",AJ209=""),"",IF(COUNT(AI209:AI209)=0,"",AJ209-LOOKUP(2,1/(AI209:AI209&lt;&gt;""),AI209:AI209)))</t>
        </is>
      </c>
      <c r="AX209" s="39" t="inlineStr">
        <is>
          <t>IF(OR(F209="",AK209=""),"",IF(COUNT(AI209:AJ209)=0,"",AK209-LOOKUP(2,1/(AI209:AJ209&lt;&gt;""),AI209:AJ209)))</t>
        </is>
      </c>
      <c r="AY209" s="39" t="inlineStr">
        <is>
          <t>IF(OR(F209="",AL209=""),"",IF(COUNT(AI209:AK209)=0,"",AL209-LOOKUP(2,1/(AI209:AK209&lt;&gt;""),AI209:AK209)))</t>
        </is>
      </c>
      <c r="AZ209" s="39" t="inlineStr">
        <is>
          <t>IF(OR(F209="",AM209=""),"",IF(COUNT(AI209:AL209)=0,"",AM209-LOOKUP(2,1/(AI209:AL209&lt;&gt;""),AI209:AL209)))</t>
        </is>
      </c>
      <c r="BA209" s="39" t="inlineStr">
        <is>
          <t>IF(OR(F209="",AN209=""),"",IF(COUNT(AI209:AM209)=0,"",AN209-LOOKUP(2,1/(AI209:AM209&lt;&gt;""),AI209:AM209)))</t>
        </is>
      </c>
      <c r="BB209" s="39" t="inlineStr">
        <is>
          <t>IF(OR(F209="",AO209=""),"",IF(COUNT(AI209:AN209)=0,"",AO209-LOOKUP(2,1/(AI209:AN209&lt;&gt;""),AI209:AN209)))</t>
        </is>
      </c>
      <c r="BC209" s="39" t="inlineStr">
        <is>
          <t>IF(OR(F209="",AP209=""),"",IF(COUNT(AI209:AO209)=0,"",AP209-LOOKUP(2,1/(AI209:AO209&lt;&gt;""),AI209:AO209)))</t>
        </is>
      </c>
      <c r="BD209" s="39" t="inlineStr">
        <is>
          <t>IF(OR(F209="",AQ209=""),"",IF(COUNT(AI209:AP209)=0,"",AQ209-LOOKUP(2,1/(AI209:AP209&lt;&gt;""),AI209:AP209)))</t>
        </is>
      </c>
      <c r="BE209" s="39" t="inlineStr">
        <is>
          <t>IF(OR(F209="",AR209=""),"",IF(COUNT(AI209:AQ209)=0,"",AR209-LOOKUP(2,1/(AI209:AQ209&lt;&gt;""),AI209:AQ209)))</t>
        </is>
      </c>
      <c r="BF209" s="39" t="inlineStr">
        <is>
          <t>IF(OR(F209="",AS209=""),"",IF(COUNT(AI209:AR209)=0,"",AS209-LOOKUP(2,1/(AI209:AR209&lt;&gt;""),AI209:AR209)))</t>
        </is>
      </c>
      <c r="BG209" s="39" t="inlineStr">
        <is>
          <t>IF(OR(F209="",AT209=""),"",IF(COUNT(AI209:AS209)=0,"",AT209-LOOKUP(2,1/(AI209:AS209&lt;&gt;""),AI209:AS209)))</t>
        </is>
      </c>
      <c r="BH209" s="39" t="inlineStr">
        <is>
          <t>IF(OR(F209="",AU209=""),"",IF(COUNT(AI209:AT209)=0,"",AU209-LOOKUP(2,1/(AI209:AT209&lt;&gt;""),AI209:AT209)))</t>
        </is>
      </c>
      <c r="BI209" s="39" t="inlineStr">
        <is>
          <t>IF(OR(F209="",AV209=""),"",IF(COUNT(AI209:AU209)=0,"",AV209-LOOKUP(2,1/(AI209:AU209&lt;&gt;""),AI209:AU209)))</t>
        </is>
      </c>
      <c r="BJ209" s="41" t="inlineStr">
        <is>
          <t>IF(J209="","All_Provinces",IFERROR(VLOOKUP(J209,'09_Lookups'!$A$4:$B$20,2,FALSE),"All_Provinces"))</t>
        </is>
      </c>
      <c r="BK209" s="41" t="inlineStr">
        <is>
          <t>IF(K209="","All_Districts",IFERROR(VLOOKUP(K209,'09_Lookups'!$E$4:$F$42,2,FALSE),"All_Districts"))</t>
        </is>
      </c>
    </row>
    <row r="210" outlineLevel="1" ht="18" customHeight="1">
      <c r="A210" s="42" t="inlineStr">
        <is>
          <t>IF(F210="","",ROW()-3)</t>
        </is>
      </c>
      <c r="B210" s="65" t="inlineStr">
        <is>
          <t>AF2-LLL-ALL</t>
        </is>
      </c>
      <c r="C210" s="65" t="inlineStr">
        <is>
          <t>EFSP-AF2 LLL supply and delivery (50 units)</t>
        </is>
      </c>
      <c r="D210" s="65" t="inlineStr">
        <is>
          <t>2 of 50</t>
        </is>
      </c>
      <c r="E210" s="52" t="inlineStr">
        <is>
          <t>AF2-LLL-N-002</t>
        </is>
      </c>
      <c r="F210" s="52" t="inlineStr">
        <is>
          <t>Abi Aruq and Shaitan Aruq Irrigation Schemes</t>
        </is>
      </c>
      <c r="G210" s="52" t="inlineStr">
        <is>
          <t>Laser Land Leveler (LLL)</t>
        </is>
      </c>
      <c r="H210" s="52" t="inlineStr">
        <is>
          <t>LLL unit</t>
        </is>
      </c>
      <c r="I210" s="52" t="inlineStr">
        <is>
          <t>Emergency Food Security Project (EFSP) – WBK/AF-2</t>
        </is>
      </c>
      <c r="J210" s="52" t="inlineStr">
        <is>
          <t>Northeast / Kunduz</t>
        </is>
      </c>
      <c r="K210" s="52" t="inlineStr">
        <is>
          <t>Takhar</t>
        </is>
      </c>
      <c r="L210" s="52" t="inlineStr">
        <is>
          <t>Khwaja Ghar</t>
        </is>
      </c>
      <c r="M210" s="52" t="inlineStr">
        <is>
          <t>1 unit(s)</t>
        </is>
      </c>
      <c r="N210" s="52" t="inlineStr">
        <is>
          <t>World Bank (WBK/AF-2)</t>
        </is>
      </c>
      <c r="O210" s="52" t="inlineStr">
        <is>
          <t>Not awarded</t>
        </is>
      </c>
      <c r="P210" s="52" t="inlineStr">
        <is>
          <t>6. Supply and delivery of LLL</t>
        </is>
      </c>
      <c r="Q210" s="52" t="inlineStr"/>
      <c r="R210" s="52" t="inlineStr"/>
      <c r="S210" s="53" t="n"/>
      <c r="T210" s="46" t="inlineStr">
        <is>
          <t>IF(AQ210="","",AQ210)</t>
        </is>
      </c>
      <c r="U210" s="54" t="n">
        <v>46325</v>
      </c>
      <c r="V210" s="55" t="n"/>
      <c r="W210" s="54" t="n">
        <v>46418</v>
      </c>
      <c r="X210" s="46" t="inlineStr">
        <is>
          <t>IF(W210&lt;&gt;"",W210,IF(OR(T210="",V210=""),"",EDATE(T210,V210)))</t>
        </is>
      </c>
      <c r="Y210" s="54" t="n"/>
      <c r="Z210" s="55" t="n"/>
      <c r="AA210" s="52" t="inlineStr">
        <is>
          <t>Under Awarding</t>
        </is>
      </c>
      <c r="AB210" s="52" t="inlineStr">
        <is>
          <t>The Procurement process is initiated in April and PO will be issued late October 2026. and delivery will be done by End of December 2026 and onward in January 2027 it is planned to be distributed to the selected beneficiaries.</t>
        </is>
      </c>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outlineLevel="1" ht="18" customHeight="1">
      <c r="A211" s="42" t="inlineStr">
        <is>
          <t>IF(F211="","",ROW()-3)</t>
        </is>
      </c>
      <c r="B211" s="65" t="inlineStr">
        <is>
          <t>AF2-LLL-ALL</t>
        </is>
      </c>
      <c r="C211" s="65" t="inlineStr">
        <is>
          <t>EFSP-AF2 LLL supply and delivery (50 units)</t>
        </is>
      </c>
      <c r="D211" s="65" t="inlineStr">
        <is>
          <t>3 of 50</t>
        </is>
      </c>
      <c r="E211" s="44" t="inlineStr">
        <is>
          <t>AF2-LLL-N-003</t>
        </is>
      </c>
      <c r="F211" s="44" t="inlineStr">
        <is>
          <t>Ali Mansoor Irrigation Scheme</t>
        </is>
      </c>
      <c r="G211" s="44" t="inlineStr">
        <is>
          <t>Laser Land Leveler (LLL)</t>
        </is>
      </c>
      <c r="H211" s="44" t="inlineStr">
        <is>
          <t>LLL unit</t>
        </is>
      </c>
      <c r="I211" s="44" t="inlineStr">
        <is>
          <t>Emergency Food Security Project (EFSP) – WBK/AF-2</t>
        </is>
      </c>
      <c r="J211" s="44" t="inlineStr">
        <is>
          <t>West / Herat</t>
        </is>
      </c>
      <c r="K211" s="44" t="inlineStr">
        <is>
          <t>Herat</t>
        </is>
      </c>
      <c r="L211" s="44" t="inlineStr">
        <is>
          <t>Karukh</t>
        </is>
      </c>
      <c r="M211" s="44" t="inlineStr">
        <is>
          <t>1 unit(s)</t>
        </is>
      </c>
      <c r="N211" s="44" t="inlineStr">
        <is>
          <t>World Bank (WBK/AF-2)</t>
        </is>
      </c>
      <c r="O211" s="44" t="inlineStr">
        <is>
          <t>Not awarded</t>
        </is>
      </c>
      <c r="P211" s="44" t="inlineStr">
        <is>
          <t>6. Supply and delivery of LLL</t>
        </is>
      </c>
      <c r="Q211" s="44" t="inlineStr"/>
      <c r="R211" s="44" t="inlineStr"/>
      <c r="S211" s="45" t="n"/>
      <c r="T211" s="46" t="inlineStr">
        <is>
          <t>IF(AQ211="","",AQ211)</t>
        </is>
      </c>
      <c r="U211" s="47" t="n">
        <v>46325</v>
      </c>
      <c r="V211" s="48" t="n"/>
      <c r="W211" s="47" t="n">
        <v>46418</v>
      </c>
      <c r="X211" s="46" t="inlineStr">
        <is>
          <t>IF(W211&lt;&gt;"",W211,IF(OR(T211="",V211=""),"",EDATE(T211,V211)))</t>
        </is>
      </c>
      <c r="Y211" s="47" t="n"/>
      <c r="Z211" s="48" t="n"/>
      <c r="AA211" s="44" t="inlineStr">
        <is>
          <t>Under Awarding</t>
        </is>
      </c>
      <c r="AB211" s="44" t="inlineStr">
        <is>
          <t>The Procurement process is initiated in April and PO will be issued late October 2026. and delivery will be done by End of December 2026 and onward in January 2027 it is planned to be distributed to the selected beneficiaries.</t>
        </is>
      </c>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outlineLevel="1" ht="18" customHeight="1">
      <c r="A212" s="42" t="inlineStr">
        <is>
          <t>IF(F212="","",ROW()-3)</t>
        </is>
      </c>
      <c r="B212" s="65" t="inlineStr">
        <is>
          <t>AF2-LLL-ALL</t>
        </is>
      </c>
      <c r="C212" s="65" t="inlineStr">
        <is>
          <t>EFSP-AF2 LLL supply and delivery (50 units)</t>
        </is>
      </c>
      <c r="D212" s="65" t="inlineStr">
        <is>
          <t>4 of 50</t>
        </is>
      </c>
      <c r="E212" s="52" t="inlineStr">
        <is>
          <t>AF2-LLL-N-004</t>
        </is>
      </c>
      <c r="F212" s="52" t="inlineStr">
        <is>
          <t>Badiabad irrigation scheme</t>
        </is>
      </c>
      <c r="G212" s="52" t="inlineStr">
        <is>
          <t>Laser Land Leveler (LLL)</t>
        </is>
      </c>
      <c r="H212" s="52" t="inlineStr">
        <is>
          <t>LLL unit</t>
        </is>
      </c>
      <c r="I212" s="52" t="inlineStr">
        <is>
          <t>Emergency Food Security Project (EFSP) – WBK/AF-2</t>
        </is>
      </c>
      <c r="J212" s="52" t="inlineStr">
        <is>
          <t>East / Jalalabad</t>
        </is>
      </c>
      <c r="K212" s="52" t="inlineStr">
        <is>
          <t>Laghman</t>
        </is>
      </c>
      <c r="L212" s="52" t="inlineStr">
        <is>
          <t>Alingar</t>
        </is>
      </c>
      <c r="M212" s="52" t="inlineStr">
        <is>
          <t>1 unit(s)</t>
        </is>
      </c>
      <c r="N212" s="52" t="inlineStr">
        <is>
          <t>World Bank (WBK/AF-2)</t>
        </is>
      </c>
      <c r="O212" s="52" t="inlineStr">
        <is>
          <t>Not awarded</t>
        </is>
      </c>
      <c r="P212" s="52" t="inlineStr">
        <is>
          <t>6. Supply and delivery of LLL</t>
        </is>
      </c>
      <c r="Q212" s="52" t="inlineStr"/>
      <c r="R212" s="52" t="inlineStr"/>
      <c r="S212" s="53" t="n"/>
      <c r="T212" s="46" t="inlineStr">
        <is>
          <t>IF(AQ212="","",AQ212)</t>
        </is>
      </c>
      <c r="U212" s="54" t="n">
        <v>46325</v>
      </c>
      <c r="V212" s="55" t="n"/>
      <c r="W212" s="54" t="n">
        <v>46418</v>
      </c>
      <c r="X212" s="46" t="inlineStr">
        <is>
          <t>IF(W212&lt;&gt;"",W212,IF(OR(T212="",V212=""),"",EDATE(T212,V212)))</t>
        </is>
      </c>
      <c r="Y212" s="54" t="n"/>
      <c r="Z212" s="55" t="n"/>
      <c r="AA212" s="52" t="inlineStr">
        <is>
          <t>Under Awarding</t>
        </is>
      </c>
      <c r="AB212" s="52" t="inlineStr">
        <is>
          <t>The Procurement process is initiated in April and PO will be issued late October 2026. and delivery will be done by End of December 2026 and onward in January 2027 it is planned to be distributed to the selected beneficiaries.</t>
        </is>
      </c>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outlineLevel="1" ht="18" customHeight="1">
      <c r="A213" s="42" t="inlineStr">
        <is>
          <t>IF(F213="","",ROW()-3)</t>
        </is>
      </c>
      <c r="B213" s="65" t="inlineStr">
        <is>
          <t>AF2-LLL-ALL</t>
        </is>
      </c>
      <c r="C213" s="65" t="inlineStr">
        <is>
          <t>EFSP-AF2 LLL supply and delivery (50 units)</t>
        </is>
      </c>
      <c r="D213" s="65" t="inlineStr">
        <is>
          <t>5 of 50</t>
        </is>
      </c>
      <c r="E213" s="44" t="inlineStr">
        <is>
          <t>AF2-LLL-N-005</t>
        </is>
      </c>
      <c r="F213" s="44" t="inlineStr">
        <is>
          <t>Bahr-e-Ameq irrigation scheme</t>
        </is>
      </c>
      <c r="G213" s="44" t="inlineStr">
        <is>
          <t>Laser Land Leveler (LLL)</t>
        </is>
      </c>
      <c r="H213" s="44" t="inlineStr">
        <is>
          <t>LLL unit</t>
        </is>
      </c>
      <c r="I213" s="44" t="inlineStr">
        <is>
          <t>Emergency Food Security Project (EFSP) – WBK/AF-2</t>
        </is>
      </c>
      <c r="J213" s="44" t="inlineStr">
        <is>
          <t>North / Mazar</t>
        </is>
      </c>
      <c r="K213" s="44" t="inlineStr">
        <is>
          <t>Sar-E-Pul</t>
        </is>
      </c>
      <c r="L213" s="44" t="inlineStr">
        <is>
          <t>Sozma Qala</t>
        </is>
      </c>
      <c r="M213" s="44" t="inlineStr">
        <is>
          <t>1 unit(s)</t>
        </is>
      </c>
      <c r="N213" s="44" t="inlineStr">
        <is>
          <t>World Bank (WBK/AF-2)</t>
        </is>
      </c>
      <c r="O213" s="44" t="inlineStr">
        <is>
          <t>Not awarded</t>
        </is>
      </c>
      <c r="P213" s="44" t="inlineStr">
        <is>
          <t>6. Supply and delivery of LLL</t>
        </is>
      </c>
      <c r="Q213" s="44" t="inlineStr"/>
      <c r="R213" s="44" t="inlineStr"/>
      <c r="S213" s="45" t="n"/>
      <c r="T213" s="46" t="inlineStr">
        <is>
          <t>IF(AQ213="","",AQ213)</t>
        </is>
      </c>
      <c r="U213" s="47" t="n">
        <v>46325</v>
      </c>
      <c r="V213" s="48" t="n"/>
      <c r="W213" s="47" t="n">
        <v>46418</v>
      </c>
      <c r="X213" s="46" t="inlineStr">
        <is>
          <t>IF(W213&lt;&gt;"",W213,IF(OR(T213="",V213=""),"",EDATE(T213,V213)))</t>
        </is>
      </c>
      <c r="Y213" s="47" t="n"/>
      <c r="Z213" s="48" t="n"/>
      <c r="AA213" s="44" t="inlineStr">
        <is>
          <t>Under Awarding</t>
        </is>
      </c>
      <c r="AB213" s="44" t="inlineStr">
        <is>
          <t>The Procurement process is initiated in April and PO will be issued late October 2026. and delivery will be done by End of December 2026 and onward in January 2027 it is planned to be distributed to the selected beneficiaries.</t>
        </is>
      </c>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outlineLevel="1" ht="18" customHeight="1">
      <c r="A214" s="42" t="inlineStr">
        <is>
          <t>IF(F214="","",ROW()-3)</t>
        </is>
      </c>
      <c r="B214" s="65" t="inlineStr">
        <is>
          <t>AF2-LLL-ALL</t>
        </is>
      </c>
      <c r="C214" s="65" t="inlineStr">
        <is>
          <t>EFSP-AF2 LLL supply and delivery (50 units)</t>
        </is>
      </c>
      <c r="D214" s="65" t="inlineStr">
        <is>
          <t>6 of 50</t>
        </is>
      </c>
      <c r="E214" s="52" t="inlineStr">
        <is>
          <t>AF2-LLL-N-006</t>
        </is>
      </c>
      <c r="F214" s="52" t="inlineStr">
        <is>
          <t>Boghos Qum Irrigation Scheme</t>
        </is>
      </c>
      <c r="G214" s="52" t="inlineStr">
        <is>
          <t>Laser Land Leveler (LLL)</t>
        </is>
      </c>
      <c r="H214" s="52" t="inlineStr">
        <is>
          <t>LLL unit</t>
        </is>
      </c>
      <c r="I214" s="52" t="inlineStr">
        <is>
          <t>Emergency Food Security Project (EFSP) – WBK/AF-2</t>
        </is>
      </c>
      <c r="J214" s="52" t="inlineStr">
        <is>
          <t>Northeast / Kunduz</t>
        </is>
      </c>
      <c r="K214" s="52" t="inlineStr">
        <is>
          <t>Kunduz</t>
        </is>
      </c>
      <c r="L214" s="52" t="inlineStr">
        <is>
          <t>Char Dara</t>
        </is>
      </c>
      <c r="M214" s="52" t="inlineStr">
        <is>
          <t>1 unit(s)</t>
        </is>
      </c>
      <c r="N214" s="52" t="inlineStr">
        <is>
          <t>World Bank (WBK/AF-2)</t>
        </is>
      </c>
      <c r="O214" s="52" t="inlineStr">
        <is>
          <t>Not awarded</t>
        </is>
      </c>
      <c r="P214" s="52" t="inlineStr">
        <is>
          <t>6. Supply and delivery of LLL</t>
        </is>
      </c>
      <c r="Q214" s="52" t="inlineStr"/>
      <c r="R214" s="52" t="inlineStr"/>
      <c r="S214" s="53" t="n"/>
      <c r="T214" s="46" t="inlineStr">
        <is>
          <t>IF(AQ214="","",AQ214)</t>
        </is>
      </c>
      <c r="U214" s="54" t="n">
        <v>46325</v>
      </c>
      <c r="V214" s="55" t="n"/>
      <c r="W214" s="54" t="n">
        <v>46418</v>
      </c>
      <c r="X214" s="46" t="inlineStr">
        <is>
          <t>IF(W214&lt;&gt;"",W214,IF(OR(T214="",V214=""),"",EDATE(T214,V214)))</t>
        </is>
      </c>
      <c r="Y214" s="54" t="n"/>
      <c r="Z214" s="55" t="n"/>
      <c r="AA214" s="52" t="inlineStr">
        <is>
          <t>Under Awarding</t>
        </is>
      </c>
      <c r="AB214" s="52" t="inlineStr">
        <is>
          <t>The Procurement process is initiated in April and PO will be issued late October 2026. and delivery will be done by End of December 2026 and onward in January 2027 it is planned to be distributed to the selected beneficiaries.</t>
        </is>
      </c>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outlineLevel="1" ht="18" customHeight="1">
      <c r="A215" s="42" t="inlineStr">
        <is>
          <t>IF(F215="","",ROW()-3)</t>
        </is>
      </c>
      <c r="B215" s="65" t="inlineStr">
        <is>
          <t>AF2-LLL-ALL</t>
        </is>
      </c>
      <c r="C215" s="65" t="inlineStr">
        <is>
          <t>EFSP-AF2 LLL supply and delivery (50 units)</t>
        </is>
      </c>
      <c r="D215" s="65" t="inlineStr">
        <is>
          <t>7 of 50</t>
        </is>
      </c>
      <c r="E215" s="44" t="inlineStr">
        <is>
          <t>AF2-LLL-N-007</t>
        </is>
      </c>
      <c r="F215" s="44" t="inlineStr">
        <is>
          <t>Cheknawar irrigation scheme</t>
        </is>
      </c>
      <c r="G215" s="44" t="inlineStr">
        <is>
          <t>Laser Land Leveler (LLL)</t>
        </is>
      </c>
      <c r="H215" s="44" t="inlineStr">
        <is>
          <t>LLL unit</t>
        </is>
      </c>
      <c r="I215" s="44" t="inlineStr">
        <is>
          <t>Emergency Food Security Project (EFSP) – WBK/AF-2</t>
        </is>
      </c>
      <c r="J215" s="44" t="inlineStr">
        <is>
          <t>East / Jalalabad</t>
        </is>
      </c>
      <c r="K215" s="44" t="inlineStr">
        <is>
          <t>Nangarhar</t>
        </is>
      </c>
      <c r="L215" s="44" t="inlineStr">
        <is>
          <t>Lalpoora</t>
        </is>
      </c>
      <c r="M215" s="44" t="inlineStr">
        <is>
          <t>1 unit(s)</t>
        </is>
      </c>
      <c r="N215" s="44" t="inlineStr">
        <is>
          <t>World Bank (WBK/AF-2)</t>
        </is>
      </c>
      <c r="O215" s="44" t="inlineStr">
        <is>
          <t>Not awarded</t>
        </is>
      </c>
      <c r="P215" s="44" t="inlineStr">
        <is>
          <t>6. Supply and delivery of LLL</t>
        </is>
      </c>
      <c r="Q215" s="44" t="inlineStr"/>
      <c r="R215" s="44" t="inlineStr"/>
      <c r="S215" s="45" t="n"/>
      <c r="T215" s="46" t="inlineStr">
        <is>
          <t>IF(AQ215="","",AQ215)</t>
        </is>
      </c>
      <c r="U215" s="47" t="n">
        <v>46325</v>
      </c>
      <c r="V215" s="48" t="n"/>
      <c r="W215" s="47" t="n">
        <v>46418</v>
      </c>
      <c r="X215" s="46" t="inlineStr">
        <is>
          <t>IF(W215&lt;&gt;"",W215,IF(OR(T215="",V215=""),"",EDATE(T215,V215)))</t>
        </is>
      </c>
      <c r="Y215" s="47" t="n"/>
      <c r="Z215" s="48" t="n"/>
      <c r="AA215" s="44" t="inlineStr">
        <is>
          <t>Under Awarding</t>
        </is>
      </c>
      <c r="AB215" s="44" t="inlineStr">
        <is>
          <t>The Procurement process is initiated in April and PO will be issued late October 2026. and delivery will be done by End of December 2026 and onward in January 2027 it is planned to be distributed to the selected beneficiaries.</t>
        </is>
      </c>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outlineLevel="1" ht="18" customHeight="1">
      <c r="A216" s="42" t="inlineStr">
        <is>
          <t>IF(F216="","",ROW()-3)</t>
        </is>
      </c>
      <c r="B216" s="65" t="inlineStr">
        <is>
          <t>AF2-LLL-ALL</t>
        </is>
      </c>
      <c r="C216" s="65" t="inlineStr">
        <is>
          <t>EFSP-AF2 LLL supply and delivery (50 units)</t>
        </is>
      </c>
      <c r="D216" s="65" t="inlineStr">
        <is>
          <t>8 of 50</t>
        </is>
      </c>
      <c r="E216" s="52" t="inlineStr">
        <is>
          <t>AF2-LLL-N-008</t>
        </is>
      </c>
      <c r="F216" s="52" t="inlineStr">
        <is>
          <t>Chela Mazar irrigation scheme</t>
        </is>
      </c>
      <c r="G216" s="52" t="inlineStr">
        <is>
          <t>Laser Land Leveler (LLL)</t>
        </is>
      </c>
      <c r="H216" s="52" t="inlineStr">
        <is>
          <t>LLL unit</t>
        </is>
      </c>
      <c r="I216" s="52" t="inlineStr">
        <is>
          <t>Emergency Food Security Project (EFSP) – WBK/AF-2</t>
        </is>
      </c>
      <c r="J216" s="52" t="inlineStr">
        <is>
          <t>North / Mazar</t>
        </is>
      </c>
      <c r="K216" s="52" t="inlineStr">
        <is>
          <t>Samangan</t>
        </is>
      </c>
      <c r="L216" s="52" t="inlineStr">
        <is>
          <t>Dara-e-Suf-e-Payeen</t>
        </is>
      </c>
      <c r="M216" s="52" t="inlineStr">
        <is>
          <t>1 unit(s)</t>
        </is>
      </c>
      <c r="N216" s="52" t="inlineStr">
        <is>
          <t>World Bank (WBK/AF-2)</t>
        </is>
      </c>
      <c r="O216" s="52" t="inlineStr">
        <is>
          <t>Not awarded</t>
        </is>
      </c>
      <c r="P216" s="52" t="inlineStr">
        <is>
          <t>6. Supply and delivery of LLL</t>
        </is>
      </c>
      <c r="Q216" s="52" t="inlineStr"/>
      <c r="R216" s="52" t="inlineStr"/>
      <c r="S216" s="53" t="n"/>
      <c r="T216" s="46" t="inlineStr">
        <is>
          <t>IF(AQ216="","",AQ216)</t>
        </is>
      </c>
      <c r="U216" s="54" t="n">
        <v>46325</v>
      </c>
      <c r="V216" s="55" t="n"/>
      <c r="W216" s="54" t="n">
        <v>46418</v>
      </c>
      <c r="X216" s="46" t="inlineStr">
        <is>
          <t>IF(W216&lt;&gt;"",W216,IF(OR(T216="",V216=""),"",EDATE(T216,V216)))</t>
        </is>
      </c>
      <c r="Y216" s="54" t="n"/>
      <c r="Z216" s="55" t="n"/>
      <c r="AA216" s="52" t="inlineStr">
        <is>
          <t>Under Awarding</t>
        </is>
      </c>
      <c r="AB216" s="52" t="inlineStr">
        <is>
          <t>The Procurement process is initiated in April and PO will be issued late October 2026. and delivery will be done by End of December 2026 and onward in January 2027 it is planned to be distributed to the selected beneficiaries.</t>
        </is>
      </c>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outlineLevel="1" ht="18" customHeight="1">
      <c r="A217" s="42" t="inlineStr">
        <is>
          <t>IF(F217="","",ROW()-3)</t>
        </is>
      </c>
      <c r="B217" s="65" t="inlineStr">
        <is>
          <t>AF2-LLL-ALL</t>
        </is>
      </c>
      <c r="C217" s="65" t="inlineStr">
        <is>
          <t>EFSP-AF2 LLL supply and delivery (50 units)</t>
        </is>
      </c>
      <c r="D217" s="65" t="inlineStr">
        <is>
          <t>9 of 50</t>
        </is>
      </c>
      <c r="E217" s="44" t="inlineStr">
        <is>
          <t>AF2-LLL-N-009</t>
        </is>
      </c>
      <c r="F217" s="44" t="inlineStr">
        <is>
          <t>Dagh Aruq Irrigation Scheme</t>
        </is>
      </c>
      <c r="G217" s="44" t="inlineStr">
        <is>
          <t>Laser Land Leveler (LLL)</t>
        </is>
      </c>
      <c r="H217" s="44" t="inlineStr">
        <is>
          <t>LLL unit</t>
        </is>
      </c>
      <c r="I217" s="44" t="inlineStr">
        <is>
          <t>Emergency Food Security Project (EFSP) – WBK/AF-2</t>
        </is>
      </c>
      <c r="J217" s="44" t="inlineStr">
        <is>
          <t>Northeast / Kunduz</t>
        </is>
      </c>
      <c r="K217" s="44" t="inlineStr">
        <is>
          <t>Kunduz</t>
        </is>
      </c>
      <c r="L217" s="44" t="inlineStr">
        <is>
          <t>Char Dara</t>
        </is>
      </c>
      <c r="M217" s="44" t="inlineStr">
        <is>
          <t>1 unit(s)</t>
        </is>
      </c>
      <c r="N217" s="44" t="inlineStr">
        <is>
          <t>World Bank (WBK/AF-2)</t>
        </is>
      </c>
      <c r="O217" s="44" t="inlineStr">
        <is>
          <t>Not awarded</t>
        </is>
      </c>
      <c r="P217" s="44" t="inlineStr">
        <is>
          <t>6. Supply and delivery of LLL</t>
        </is>
      </c>
      <c r="Q217" s="44" t="inlineStr"/>
      <c r="R217" s="44" t="inlineStr"/>
      <c r="S217" s="45" t="n"/>
      <c r="T217" s="46" t="inlineStr">
        <is>
          <t>IF(AQ217="","",AQ217)</t>
        </is>
      </c>
      <c r="U217" s="47" t="n">
        <v>46325</v>
      </c>
      <c r="V217" s="48" t="n"/>
      <c r="W217" s="47" t="n">
        <v>46418</v>
      </c>
      <c r="X217" s="46" t="inlineStr">
        <is>
          <t>IF(W217&lt;&gt;"",W217,IF(OR(T217="",V217=""),"",EDATE(T217,V217)))</t>
        </is>
      </c>
      <c r="Y217" s="47" t="n"/>
      <c r="Z217" s="48" t="n"/>
      <c r="AA217" s="44" t="inlineStr">
        <is>
          <t>Under Awarding</t>
        </is>
      </c>
      <c r="AB217" s="44" t="inlineStr">
        <is>
          <t>The Procurement process is initiated in April and PO will be issued late October 2026. and delivery will be done by End of December 2026 and onward in January 2027 it is planned to be distributed to the selected beneficiaries.</t>
        </is>
      </c>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outlineLevel="1" ht="18" customHeight="1">
      <c r="A218" s="42" t="inlineStr">
        <is>
          <t>IF(F218="","",ROW()-3)</t>
        </is>
      </c>
      <c r="B218" s="65" t="inlineStr">
        <is>
          <t>AF2-LLL-ALL</t>
        </is>
      </c>
      <c r="C218" s="65" t="inlineStr">
        <is>
          <t>EFSP-AF2 LLL supply and delivery (50 units)</t>
        </is>
      </c>
      <c r="D218" s="65" t="inlineStr">
        <is>
          <t>10 of 50</t>
        </is>
      </c>
      <c r="E218" s="52" t="inlineStr">
        <is>
          <t>AF2-LLL-N-010</t>
        </is>
      </c>
      <c r="F218" s="52" t="inlineStr">
        <is>
          <t>Drang Irrigation Scheme</t>
        </is>
      </c>
      <c r="G218" s="52" t="inlineStr">
        <is>
          <t>Laser Land Leveler (LLL)</t>
        </is>
      </c>
      <c r="H218" s="52" t="inlineStr">
        <is>
          <t>LLL unit</t>
        </is>
      </c>
      <c r="I218" s="52" t="inlineStr">
        <is>
          <t>Emergency Food Security Project (EFSP) – WBK/AF-2</t>
        </is>
      </c>
      <c r="J218" s="52" t="inlineStr">
        <is>
          <t>Southeast / Gardez</t>
        </is>
      </c>
      <c r="K218" s="52" t="inlineStr">
        <is>
          <t>Paktya</t>
        </is>
      </c>
      <c r="L218" s="52" t="inlineStr">
        <is>
          <t>Zurmat</t>
        </is>
      </c>
      <c r="M218" s="52" t="inlineStr">
        <is>
          <t>1 unit(s)</t>
        </is>
      </c>
      <c r="N218" s="52" t="inlineStr">
        <is>
          <t>World Bank (WBK/AF-2)</t>
        </is>
      </c>
      <c r="O218" s="52" t="inlineStr">
        <is>
          <t>Not awarded</t>
        </is>
      </c>
      <c r="P218" s="52" t="inlineStr">
        <is>
          <t>6. Supply and delivery of LLL</t>
        </is>
      </c>
      <c r="Q218" s="52" t="inlineStr"/>
      <c r="R218" s="52" t="inlineStr"/>
      <c r="S218" s="53" t="n"/>
      <c r="T218" s="46" t="inlineStr">
        <is>
          <t>IF(AQ218="","",AQ218)</t>
        </is>
      </c>
      <c r="U218" s="54" t="n">
        <v>46325</v>
      </c>
      <c r="V218" s="55" t="n"/>
      <c r="W218" s="54" t="n">
        <v>46418</v>
      </c>
      <c r="X218" s="46" t="inlineStr">
        <is>
          <t>IF(W218&lt;&gt;"",W218,IF(OR(T218="",V218=""),"",EDATE(T218,V218)))</t>
        </is>
      </c>
      <c r="Y218" s="54" t="n"/>
      <c r="Z218" s="55" t="n"/>
      <c r="AA218" s="52" t="inlineStr">
        <is>
          <t>Under Awarding</t>
        </is>
      </c>
      <c r="AB218" s="52" t="inlineStr">
        <is>
          <t>The Procurement process is initiated in April and PO will be issued late October 2026. and delivery will be done by End of December 2026 and onward in January 2027 it is planned to be distributed to the selected beneficiaries.</t>
        </is>
      </c>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outlineLevel="1" ht="18" customHeight="1">
      <c r="A219" s="42" t="inlineStr">
        <is>
          <t>IF(F219="","",ROW()-3)</t>
        </is>
      </c>
      <c r="B219" s="65" t="inlineStr">
        <is>
          <t>AF2-LLL-ALL</t>
        </is>
      </c>
      <c r="C219" s="65" t="inlineStr">
        <is>
          <t>EFSP-AF2 LLL supply and delivery (50 units)</t>
        </is>
      </c>
      <c r="D219" s="65" t="inlineStr">
        <is>
          <t>11 of 50</t>
        </is>
      </c>
      <c r="E219" s="44" t="inlineStr">
        <is>
          <t>AF2-LLL-N-011</t>
        </is>
      </c>
      <c r="F219" s="44" t="inlineStr">
        <is>
          <t>Eshq Abad canal</t>
        </is>
      </c>
      <c r="G219" s="44" t="inlineStr">
        <is>
          <t>Laser Land Leveler (LLL)</t>
        </is>
      </c>
      <c r="H219" s="44" t="inlineStr">
        <is>
          <t>LLL unit</t>
        </is>
      </c>
      <c r="I219" s="44" t="inlineStr">
        <is>
          <t>Emergency Food Security Project (EFSP) – WBK/AF-2</t>
        </is>
      </c>
      <c r="J219" s="44" t="inlineStr">
        <is>
          <t>Central / Kabul</t>
        </is>
      </c>
      <c r="K219" s="44" t="inlineStr">
        <is>
          <t>Parwan</t>
        </is>
      </c>
      <c r="L219" s="44" t="inlineStr">
        <is>
          <t>Jabul Saraj</t>
        </is>
      </c>
      <c r="M219" s="44" t="inlineStr">
        <is>
          <t>1 unit(s)</t>
        </is>
      </c>
      <c r="N219" s="44" t="inlineStr">
        <is>
          <t>World Bank (WBK/AF-2)</t>
        </is>
      </c>
      <c r="O219" s="44" t="inlineStr">
        <is>
          <t>Not awarded</t>
        </is>
      </c>
      <c r="P219" s="44" t="inlineStr">
        <is>
          <t>6. Supply and delivery of LLL</t>
        </is>
      </c>
      <c r="Q219" s="44" t="inlineStr"/>
      <c r="R219" s="44" t="inlineStr"/>
      <c r="S219" s="45" t="n"/>
      <c r="T219" s="46" t="inlineStr">
        <is>
          <t>IF(AQ219="","",AQ219)</t>
        </is>
      </c>
      <c r="U219" s="47" t="n">
        <v>46325</v>
      </c>
      <c r="V219" s="48" t="n"/>
      <c r="W219" s="47" t="n">
        <v>46418</v>
      </c>
      <c r="X219" s="46" t="inlineStr">
        <is>
          <t>IF(W219&lt;&gt;"",W219,IF(OR(T219="",V219=""),"",EDATE(T219,V219)))</t>
        </is>
      </c>
      <c r="Y219" s="47" t="n"/>
      <c r="Z219" s="48" t="n"/>
      <c r="AA219" s="44" t="inlineStr">
        <is>
          <t>Under Awarding</t>
        </is>
      </c>
      <c r="AB219" s="44" t="inlineStr">
        <is>
          <t>The Procurement process is initiated in April and PO will be issued late October 2026. and delivery will be done by End of December 2026 and onward in January 2027 it is planned to be distributed to the selected beneficiaries.</t>
        </is>
      </c>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outlineLevel="1" ht="18" customHeight="1">
      <c r="A220" s="42" t="inlineStr">
        <is>
          <t>IF(F220="","",ROW()-3)</t>
        </is>
      </c>
      <c r="B220" s="65" t="inlineStr">
        <is>
          <t>AF2-LLL-ALL</t>
        </is>
      </c>
      <c r="C220" s="65" t="inlineStr">
        <is>
          <t>EFSP-AF2 LLL supply and delivery (50 units)</t>
        </is>
      </c>
      <c r="D220" s="65" t="inlineStr">
        <is>
          <t>12 of 50</t>
        </is>
      </c>
      <c r="E220" s="52" t="inlineStr">
        <is>
          <t>AF2-LLL-N-012</t>
        </is>
      </c>
      <c r="F220" s="52" t="inlineStr">
        <is>
          <t>Hashtman Canal Irrigation scheme</t>
        </is>
      </c>
      <c r="G220" s="52" t="inlineStr">
        <is>
          <t>Laser Land Leveler (LLL)</t>
        </is>
      </c>
      <c r="H220" s="52" t="inlineStr">
        <is>
          <t>LLL unit</t>
        </is>
      </c>
      <c r="I220" s="52" t="inlineStr">
        <is>
          <t>Emergency Food Security Project (EFSP) – WBK/AF-2</t>
        </is>
      </c>
      <c r="J220" s="52" t="inlineStr">
        <is>
          <t>North / Mazar</t>
        </is>
      </c>
      <c r="K220" s="52" t="inlineStr">
        <is>
          <t>Faryab</t>
        </is>
      </c>
      <c r="L220" s="52" t="inlineStr">
        <is>
          <t>Qaisar</t>
        </is>
      </c>
      <c r="M220" s="52" t="inlineStr">
        <is>
          <t>1 unit(s)</t>
        </is>
      </c>
      <c r="N220" s="52" t="inlineStr">
        <is>
          <t>World Bank (WBK/AF-2)</t>
        </is>
      </c>
      <c r="O220" s="52" t="inlineStr">
        <is>
          <t>Not awarded</t>
        </is>
      </c>
      <c r="P220" s="52" t="inlineStr">
        <is>
          <t>6. Supply and delivery of LLL</t>
        </is>
      </c>
      <c r="Q220" s="52" t="inlineStr"/>
      <c r="R220" s="52" t="inlineStr"/>
      <c r="S220" s="53" t="n"/>
      <c r="T220" s="46" t="inlineStr">
        <is>
          <t>IF(AQ220="","",AQ220)</t>
        </is>
      </c>
      <c r="U220" s="54" t="n">
        <v>46325</v>
      </c>
      <c r="V220" s="55" t="n"/>
      <c r="W220" s="54" t="n">
        <v>46418</v>
      </c>
      <c r="X220" s="46" t="inlineStr">
        <is>
          <t>IF(W220&lt;&gt;"",W220,IF(OR(T220="",V220=""),"",EDATE(T220,V220)))</t>
        </is>
      </c>
      <c r="Y220" s="54" t="n"/>
      <c r="Z220" s="55" t="n"/>
      <c r="AA220" s="52" t="inlineStr">
        <is>
          <t>Under Awarding</t>
        </is>
      </c>
      <c r="AB220" s="52" t="inlineStr">
        <is>
          <t>The Procurement process is initiated in April and PO will be issued late October 2026. and delivery will be done by End of December 2026 and onward in January 2027 it is planned to be distributed to the selected beneficiaries.</t>
        </is>
      </c>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outlineLevel="1" ht="18" customHeight="1">
      <c r="A221" s="42" t="inlineStr">
        <is>
          <t>IF(F221="","",ROW()-3)</t>
        </is>
      </c>
      <c r="B221" s="65" t="inlineStr">
        <is>
          <t>AF2-LLL-ALL</t>
        </is>
      </c>
      <c r="C221" s="65" t="inlineStr">
        <is>
          <t>EFSP-AF2 LLL supply and delivery (50 units)</t>
        </is>
      </c>
      <c r="D221" s="65" t="inlineStr">
        <is>
          <t>13 of 50</t>
        </is>
      </c>
      <c r="E221" s="44" t="inlineStr">
        <is>
          <t>AF2-LLL-N-013</t>
        </is>
      </c>
      <c r="F221" s="44" t="inlineStr">
        <is>
          <t>Joi Baratha Ulya IS</t>
        </is>
      </c>
      <c r="G221" s="44" t="inlineStr">
        <is>
          <t>Laser Land Leveler (LLL)</t>
        </is>
      </c>
      <c r="H221" s="44" t="inlineStr">
        <is>
          <t>LLL unit</t>
        </is>
      </c>
      <c r="I221" s="44" t="inlineStr">
        <is>
          <t>Emergency Food Security Project (EFSP) – WBK/AF-2</t>
        </is>
      </c>
      <c r="J221" s="44" t="inlineStr">
        <is>
          <t>West / Herat</t>
        </is>
      </c>
      <c r="K221" s="44" t="inlineStr">
        <is>
          <t>Ghor</t>
        </is>
      </c>
      <c r="L221" s="44" t="inlineStr">
        <is>
          <t>Dawlatyar</t>
        </is>
      </c>
      <c r="M221" s="44" t="inlineStr">
        <is>
          <t>1 unit(s)</t>
        </is>
      </c>
      <c r="N221" s="44" t="inlineStr">
        <is>
          <t>World Bank (WBK/AF-2)</t>
        </is>
      </c>
      <c r="O221" s="44" t="inlineStr">
        <is>
          <t>Not awarded</t>
        </is>
      </c>
      <c r="P221" s="44" t="inlineStr">
        <is>
          <t>6. Supply and delivery of LLL</t>
        </is>
      </c>
      <c r="Q221" s="44" t="inlineStr"/>
      <c r="R221" s="44" t="inlineStr"/>
      <c r="S221" s="45" t="n"/>
      <c r="T221" s="46" t="inlineStr">
        <is>
          <t>IF(AQ221="","",AQ221)</t>
        </is>
      </c>
      <c r="U221" s="47" t="n">
        <v>46325</v>
      </c>
      <c r="V221" s="48" t="n"/>
      <c r="W221" s="47" t="n">
        <v>46418</v>
      </c>
      <c r="X221" s="46" t="inlineStr">
        <is>
          <t>IF(W221&lt;&gt;"",W221,IF(OR(T221="",V221=""),"",EDATE(T221,V221)))</t>
        </is>
      </c>
      <c r="Y221" s="47" t="n"/>
      <c r="Z221" s="48" t="n"/>
      <c r="AA221" s="44" t="inlineStr">
        <is>
          <t>Under Awarding</t>
        </is>
      </c>
      <c r="AB221" s="44" t="inlineStr">
        <is>
          <t>The Procurement process is initiated in April and PO will be issued late October 2026. and delivery will be done by End of December 2026 and onward in January 2027 it is planned to be distributed to the selected beneficiaries.</t>
        </is>
      </c>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outlineLevel="1" ht="18" customHeight="1">
      <c r="A222" s="42" t="inlineStr">
        <is>
          <t>IF(F222="","",ROW()-3)</t>
        </is>
      </c>
      <c r="B222" s="65" t="inlineStr">
        <is>
          <t>AF2-LLL-ALL</t>
        </is>
      </c>
      <c r="C222" s="65" t="inlineStr">
        <is>
          <t>EFSP-AF2 LLL supply and delivery (50 units)</t>
        </is>
      </c>
      <c r="D222" s="65" t="inlineStr">
        <is>
          <t>14 of 50</t>
        </is>
      </c>
      <c r="E222" s="52" t="inlineStr">
        <is>
          <t>AF2-LLL-N-014</t>
        </is>
      </c>
      <c r="F222" s="52" t="inlineStr">
        <is>
          <t>Joi Bazar irrigation scheme</t>
        </is>
      </c>
      <c r="G222" s="52" t="inlineStr">
        <is>
          <t>Laser Land Leveler (LLL)</t>
        </is>
      </c>
      <c r="H222" s="52" t="inlineStr">
        <is>
          <t>LLL unit</t>
        </is>
      </c>
      <c r="I222" s="52" t="inlineStr">
        <is>
          <t>Emergency Food Security Project (EFSP) – WBK/AF-2</t>
        </is>
      </c>
      <c r="J222" s="52" t="inlineStr">
        <is>
          <t>West / Herat</t>
        </is>
      </c>
      <c r="K222" s="52" t="inlineStr">
        <is>
          <t>Herat</t>
        </is>
      </c>
      <c r="L222" s="52" t="inlineStr">
        <is>
          <t>Obe</t>
        </is>
      </c>
      <c r="M222" s="52" t="inlineStr">
        <is>
          <t>1 unit(s)</t>
        </is>
      </c>
      <c r="N222" s="52" t="inlineStr">
        <is>
          <t>World Bank (WBK/AF-2)</t>
        </is>
      </c>
      <c r="O222" s="52" t="inlineStr">
        <is>
          <t>Not awarded</t>
        </is>
      </c>
      <c r="P222" s="52" t="inlineStr">
        <is>
          <t>6. Supply and delivery of LLL</t>
        </is>
      </c>
      <c r="Q222" s="52" t="inlineStr"/>
      <c r="R222" s="52" t="inlineStr"/>
      <c r="S222" s="53" t="n"/>
      <c r="T222" s="46" t="inlineStr">
        <is>
          <t>IF(AQ222="","",AQ222)</t>
        </is>
      </c>
      <c r="U222" s="54" t="n">
        <v>46325</v>
      </c>
      <c r="V222" s="55" t="n"/>
      <c r="W222" s="54" t="n">
        <v>46418</v>
      </c>
      <c r="X222" s="46" t="inlineStr">
        <is>
          <t>IF(W222&lt;&gt;"",W222,IF(OR(T222="",V222=""),"",EDATE(T222,V222)))</t>
        </is>
      </c>
      <c r="Y222" s="54" t="n"/>
      <c r="Z222" s="55" t="n"/>
      <c r="AA222" s="52" t="inlineStr">
        <is>
          <t>Under Awarding</t>
        </is>
      </c>
      <c r="AB222" s="52" t="inlineStr">
        <is>
          <t>The Procurement process is initiated in April and PO will be issued late October 2026. and delivery will be done by End of December 2026 and onward in January 2027 it is planned to be distributed to the selected beneficiaries.</t>
        </is>
      </c>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outlineLevel="1" ht="18" customHeight="1">
      <c r="A223" s="42" t="inlineStr">
        <is>
          <t>IF(F223="","",ROW()-3)</t>
        </is>
      </c>
      <c r="B223" s="65" t="inlineStr">
        <is>
          <t>AF2-LLL-ALL</t>
        </is>
      </c>
      <c r="C223" s="65" t="inlineStr">
        <is>
          <t>EFSP-AF2 LLL supply and delivery (50 units)</t>
        </is>
      </c>
      <c r="D223" s="65" t="inlineStr">
        <is>
          <t>15 of 50</t>
        </is>
      </c>
      <c r="E223" s="44" t="inlineStr">
        <is>
          <t>AF2-LLL-N-015</t>
        </is>
      </c>
      <c r="F223" s="44" t="inlineStr">
        <is>
          <t>Joi Ganj Irrigation Scheme</t>
        </is>
      </c>
      <c r="G223" s="44" t="inlineStr">
        <is>
          <t>Laser Land Leveler (LLL)</t>
        </is>
      </c>
      <c r="H223" s="44" t="inlineStr">
        <is>
          <t>LLL unit</t>
        </is>
      </c>
      <c r="I223" s="44" t="inlineStr">
        <is>
          <t>Emergency Food Security Project (EFSP) – WBK/AF-2</t>
        </is>
      </c>
      <c r="J223" s="44" t="inlineStr">
        <is>
          <t>West / Herat</t>
        </is>
      </c>
      <c r="K223" s="44" t="inlineStr">
        <is>
          <t>Badghis</t>
        </is>
      </c>
      <c r="L223" s="44" t="inlineStr">
        <is>
          <t>Balamorghab</t>
        </is>
      </c>
      <c r="M223" s="44" t="inlineStr">
        <is>
          <t>1 unit(s)</t>
        </is>
      </c>
      <c r="N223" s="44" t="inlineStr">
        <is>
          <t>World Bank (WBK/AF-2)</t>
        </is>
      </c>
      <c r="O223" s="44" t="inlineStr">
        <is>
          <t>Not awarded</t>
        </is>
      </c>
      <c r="P223" s="44" t="inlineStr">
        <is>
          <t>6. Supply and delivery of LLL</t>
        </is>
      </c>
      <c r="Q223" s="44" t="inlineStr"/>
      <c r="R223" s="44" t="inlineStr"/>
      <c r="S223" s="45" t="n"/>
      <c r="T223" s="46" t="inlineStr">
        <is>
          <t>IF(AQ223="","",AQ223)</t>
        </is>
      </c>
      <c r="U223" s="47" t="n">
        <v>46325</v>
      </c>
      <c r="V223" s="48" t="n"/>
      <c r="W223" s="47" t="n">
        <v>46418</v>
      </c>
      <c r="X223" s="46" t="inlineStr">
        <is>
          <t>IF(W223&lt;&gt;"",W223,IF(OR(T223="",V223=""),"",EDATE(T223,V223)))</t>
        </is>
      </c>
      <c r="Y223" s="47" t="n"/>
      <c r="Z223" s="48" t="n"/>
      <c r="AA223" s="44" t="inlineStr">
        <is>
          <t>Under Awarding</t>
        </is>
      </c>
      <c r="AB223" s="44" t="inlineStr">
        <is>
          <t>The Procurement process is initiated in April and PO will be issued late October 2026. and delivery will be done by End of December 2026 and onward in January 2027 it is planned to be distributed to the selected beneficiaries.</t>
        </is>
      </c>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outlineLevel="1" ht="18" customHeight="1">
      <c r="A224" s="42" t="inlineStr">
        <is>
          <t>IF(F224="","",ROW()-3)</t>
        </is>
      </c>
      <c r="B224" s="65" t="inlineStr">
        <is>
          <t>AF2-LLL-ALL</t>
        </is>
      </c>
      <c r="C224" s="65" t="inlineStr">
        <is>
          <t>EFSP-AF2 LLL supply and delivery (50 units)</t>
        </is>
      </c>
      <c r="D224" s="65" t="inlineStr">
        <is>
          <t>16 of 50</t>
        </is>
      </c>
      <c r="E224" s="52" t="inlineStr">
        <is>
          <t>AF2-LLL-N-016</t>
        </is>
      </c>
      <c r="F224" s="52" t="inlineStr">
        <is>
          <t>Joi Kar Irrigation Scheme</t>
        </is>
      </c>
      <c r="G224" s="52" t="inlineStr">
        <is>
          <t>Laser Land Leveler (LLL)</t>
        </is>
      </c>
      <c r="H224" s="52" t="inlineStr">
        <is>
          <t>LLL unit</t>
        </is>
      </c>
      <c r="I224" s="52" t="inlineStr">
        <is>
          <t>Emergency Food Security Project (EFSP) – WBK/AF-2</t>
        </is>
      </c>
      <c r="J224" s="52" t="inlineStr">
        <is>
          <t>West / Herat</t>
        </is>
      </c>
      <c r="K224" s="52" t="inlineStr">
        <is>
          <t>Badghis</t>
        </is>
      </c>
      <c r="L224" s="52" t="inlineStr">
        <is>
          <t>Balamorghab</t>
        </is>
      </c>
      <c r="M224" s="52" t="inlineStr">
        <is>
          <t>1 unit(s)</t>
        </is>
      </c>
      <c r="N224" s="52" t="inlineStr">
        <is>
          <t>World Bank (WBK/AF-2)</t>
        </is>
      </c>
      <c r="O224" s="52" t="inlineStr">
        <is>
          <t>Not awarded</t>
        </is>
      </c>
      <c r="P224" s="52" t="inlineStr">
        <is>
          <t>6. Supply and delivery of LLL</t>
        </is>
      </c>
      <c r="Q224" s="52" t="inlineStr"/>
      <c r="R224" s="52" t="inlineStr"/>
      <c r="S224" s="53" t="n"/>
      <c r="T224" s="46" t="inlineStr">
        <is>
          <t>IF(AQ224="","",AQ224)</t>
        </is>
      </c>
      <c r="U224" s="54" t="n">
        <v>46325</v>
      </c>
      <c r="V224" s="55" t="n"/>
      <c r="W224" s="54" t="n">
        <v>46418</v>
      </c>
      <c r="X224" s="46" t="inlineStr">
        <is>
          <t>IF(W224&lt;&gt;"",W224,IF(OR(T224="",V224=""),"",EDATE(T224,V224)))</t>
        </is>
      </c>
      <c r="Y224" s="54" t="n"/>
      <c r="Z224" s="55" t="n"/>
      <c r="AA224" s="52" t="inlineStr">
        <is>
          <t>Under Awarding</t>
        </is>
      </c>
      <c r="AB224" s="52" t="inlineStr">
        <is>
          <t>The Procurement process is initiated in April and PO will be issued late October 2026. and delivery will be done by End of December 2026 and onward in January 2027 it is planned to be distributed to the selected beneficiaries.</t>
        </is>
      </c>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outlineLevel="1" ht="18" customHeight="1">
      <c r="A225" s="42" t="inlineStr">
        <is>
          <t>IF(F225="","",ROW()-3)</t>
        </is>
      </c>
      <c r="B225" s="65" t="inlineStr">
        <is>
          <t>AF2-LLL-ALL</t>
        </is>
      </c>
      <c r="C225" s="65" t="inlineStr">
        <is>
          <t>EFSP-AF2 LLL supply and delivery (50 units)</t>
        </is>
      </c>
      <c r="D225" s="65" t="inlineStr">
        <is>
          <t>17 of 50</t>
        </is>
      </c>
      <c r="E225" s="44" t="inlineStr">
        <is>
          <t>AF2-LLL-N-017</t>
        </is>
      </c>
      <c r="F225" s="44" t="inlineStr">
        <is>
          <t>Joy Shahr Canal Irrigation scheme</t>
        </is>
      </c>
      <c r="G225" s="44" t="inlineStr">
        <is>
          <t>Laser Land Leveler (LLL)</t>
        </is>
      </c>
      <c r="H225" s="44" t="inlineStr">
        <is>
          <t>LLL unit</t>
        </is>
      </c>
      <c r="I225" s="44" t="inlineStr">
        <is>
          <t>Emergency Food Security Project (EFSP) – WBK/AF-2</t>
        </is>
      </c>
      <c r="J225" s="44" t="inlineStr">
        <is>
          <t>North / Mazar</t>
        </is>
      </c>
      <c r="K225" s="44" t="inlineStr">
        <is>
          <t>Jawzjan</t>
        </is>
      </c>
      <c r="L225" s="44" t="inlineStr">
        <is>
          <t>Aqcha</t>
        </is>
      </c>
      <c r="M225" s="44" t="inlineStr">
        <is>
          <t>1 unit(s)</t>
        </is>
      </c>
      <c r="N225" s="44" t="inlineStr">
        <is>
          <t>World Bank (WBK/AF-2)</t>
        </is>
      </c>
      <c r="O225" s="44" t="inlineStr">
        <is>
          <t>Not awarded</t>
        </is>
      </c>
      <c r="P225" s="44" t="inlineStr">
        <is>
          <t>6. Supply and delivery of LLL</t>
        </is>
      </c>
      <c r="Q225" s="44" t="inlineStr"/>
      <c r="R225" s="44" t="inlineStr"/>
      <c r="S225" s="45" t="n"/>
      <c r="T225" s="46" t="inlineStr">
        <is>
          <t>IF(AQ225="","",AQ225)</t>
        </is>
      </c>
      <c r="U225" s="47" t="n">
        <v>46325</v>
      </c>
      <c r="V225" s="48" t="n"/>
      <c r="W225" s="47" t="n">
        <v>46418</v>
      </c>
      <c r="X225" s="46" t="inlineStr">
        <is>
          <t>IF(W225&lt;&gt;"",W225,IF(OR(T225="",V225=""),"",EDATE(T225,V225)))</t>
        </is>
      </c>
      <c r="Y225" s="47" t="n"/>
      <c r="Z225" s="48" t="n"/>
      <c r="AA225" s="44" t="inlineStr">
        <is>
          <t>Under Awarding</t>
        </is>
      </c>
      <c r="AB225" s="44" t="inlineStr">
        <is>
          <t>The Procurement process is initiated in April and PO will be issued late October 2026. and delivery will be done by End of December 2026 and onward in January 2027 it is planned to be distributed to the selected beneficiaries.</t>
        </is>
      </c>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outlineLevel="1" ht="18" customHeight="1">
      <c r="A226" s="42" t="inlineStr">
        <is>
          <t>IF(F226="","",ROW()-3)</t>
        </is>
      </c>
      <c r="B226" s="65" t="inlineStr">
        <is>
          <t>AF2-LLL-ALL</t>
        </is>
      </c>
      <c r="C226" s="65" t="inlineStr">
        <is>
          <t>EFSP-AF2 LLL supply and delivery (50 units)</t>
        </is>
      </c>
      <c r="D226" s="65" t="inlineStr">
        <is>
          <t>18 of 50</t>
        </is>
      </c>
      <c r="E226" s="52" t="inlineStr">
        <is>
          <t>AF2-LLL-N-018</t>
        </is>
      </c>
      <c r="F226" s="52" t="inlineStr">
        <is>
          <t>Kamary Canal</t>
        </is>
      </c>
      <c r="G226" s="52" t="inlineStr">
        <is>
          <t>Laser Land Leveler (LLL)</t>
        </is>
      </c>
      <c r="H226" s="52" t="inlineStr">
        <is>
          <t>LLL unit</t>
        </is>
      </c>
      <c r="I226" s="52" t="inlineStr">
        <is>
          <t>Emergency Food Security Project (EFSP) – WBK/AF-2</t>
        </is>
      </c>
      <c r="J226" s="52" t="inlineStr">
        <is>
          <t>Central / Kabul</t>
        </is>
      </c>
      <c r="K226" s="52" t="inlineStr">
        <is>
          <t>Kabul</t>
        </is>
      </c>
      <c r="L226" s="52" t="inlineStr">
        <is>
          <t>Qarabagh</t>
        </is>
      </c>
      <c r="M226" s="52" t="inlineStr">
        <is>
          <t>1 unit(s)</t>
        </is>
      </c>
      <c r="N226" s="52" t="inlineStr">
        <is>
          <t>World Bank (WBK/AF-2)</t>
        </is>
      </c>
      <c r="O226" s="52" t="inlineStr">
        <is>
          <t>Not awarded</t>
        </is>
      </c>
      <c r="P226" s="52" t="inlineStr">
        <is>
          <t>6. Supply and delivery of LLL</t>
        </is>
      </c>
      <c r="Q226" s="52" t="inlineStr"/>
      <c r="R226" s="52" t="inlineStr"/>
      <c r="S226" s="53" t="n"/>
      <c r="T226" s="46" t="inlineStr">
        <is>
          <t>IF(AQ226="","",AQ226)</t>
        </is>
      </c>
      <c r="U226" s="54" t="n">
        <v>46325</v>
      </c>
      <c r="V226" s="55" t="n">
        <v>3.1</v>
      </c>
      <c r="W226" s="54" t="n">
        <v>46418</v>
      </c>
      <c r="X226" s="46" t="inlineStr">
        <is>
          <t>IF(W226&lt;&gt;"",W226,IF(OR(T226="",V226=""),"",EDATE(T226,V226)))</t>
        </is>
      </c>
      <c r="Y226" s="54" t="n"/>
      <c r="Z226" s="55" t="n"/>
      <c r="AA226" s="52" t="inlineStr">
        <is>
          <t>Under Awarding</t>
        </is>
      </c>
      <c r="AB226" s="52" t="inlineStr">
        <is>
          <t>The Procurement process is initiated in April and PO will be issued late October 2026. and delivery will be done by End of December 2026 and onward in January 2027 it is planned to be distributed to the selected beneficiaries.</t>
        </is>
      </c>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outlineLevel="1" ht="18" customHeight="1">
      <c r="A227" s="42" t="inlineStr">
        <is>
          <t>IF(F227="","",ROW()-3)</t>
        </is>
      </c>
      <c r="B227" s="65" t="inlineStr">
        <is>
          <t>AF2-LLL-ALL</t>
        </is>
      </c>
      <c r="C227" s="65" t="inlineStr">
        <is>
          <t>EFSP-AF2 LLL supply and delivery (50 units)</t>
        </is>
      </c>
      <c r="D227" s="65" t="inlineStr">
        <is>
          <t>19 of 50</t>
        </is>
      </c>
      <c r="E227" s="44" t="inlineStr">
        <is>
          <t>AF2-LLL-N-019</t>
        </is>
      </c>
      <c r="F227" s="44" t="inlineStr">
        <is>
          <t>Khambilan, Nahr-e-Saleh and Dara-e-Bazar IS</t>
        </is>
      </c>
      <c r="G227" s="44" t="inlineStr">
        <is>
          <t>Laser Land Leveler (LLL)</t>
        </is>
      </c>
      <c r="H227" s="44" t="inlineStr">
        <is>
          <t>LLL unit</t>
        </is>
      </c>
      <c r="I227" s="44" t="inlineStr">
        <is>
          <t>Emergency Food Security Project (EFSP) – WBK/AF-2</t>
        </is>
      </c>
      <c r="J227" s="44" t="inlineStr">
        <is>
          <t>Northeast / Kunduz</t>
        </is>
      </c>
      <c r="K227" s="44" t="inlineStr">
        <is>
          <t>Baghlan</t>
        </is>
      </c>
      <c r="L227" s="44" t="inlineStr">
        <is>
          <t>Firing</t>
        </is>
      </c>
      <c r="M227" s="44" t="inlineStr">
        <is>
          <t>1 unit(s)</t>
        </is>
      </c>
      <c r="N227" s="44" t="inlineStr">
        <is>
          <t>World Bank (WBK/AF-2)</t>
        </is>
      </c>
      <c r="O227" s="44" t="inlineStr">
        <is>
          <t>Not awarded</t>
        </is>
      </c>
      <c r="P227" s="44" t="inlineStr">
        <is>
          <t>6. Supply and delivery of LLL</t>
        </is>
      </c>
      <c r="Q227" s="44" t="inlineStr"/>
      <c r="R227" s="44" t="inlineStr"/>
      <c r="S227" s="45" t="n"/>
      <c r="T227" s="46" t="inlineStr">
        <is>
          <t>IF(AQ227="","",AQ227)</t>
        </is>
      </c>
      <c r="U227" s="47" t="n">
        <v>46325</v>
      </c>
      <c r="V227" s="48" t="n"/>
      <c r="W227" s="47" t="n">
        <v>46418</v>
      </c>
      <c r="X227" s="46" t="inlineStr">
        <is>
          <t>IF(W227&lt;&gt;"",W227,IF(OR(T227="",V227=""),"",EDATE(T227,V227)))</t>
        </is>
      </c>
      <c r="Y227" s="47" t="n"/>
      <c r="Z227" s="48" t="n"/>
      <c r="AA227" s="44" t="inlineStr">
        <is>
          <t>Under Awarding</t>
        </is>
      </c>
      <c r="AB227" s="44" t="inlineStr">
        <is>
          <t>The Procurement process is initiated in April and PO will be issued late October 2026. and delivery will be done by End of December 2026 and onward in January 2027 it is planned to be distributed to the selected beneficiaries.</t>
        </is>
      </c>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outlineLevel="1" ht="18" customHeight="1">
      <c r="A228" s="42" t="inlineStr">
        <is>
          <t>IF(F228="","",ROW()-3)</t>
        </is>
      </c>
      <c r="B228" s="65" t="inlineStr">
        <is>
          <t>AF2-LLL-ALL</t>
        </is>
      </c>
      <c r="C228" s="65" t="inlineStr">
        <is>
          <t>EFSP-AF2 LLL supply and delivery (50 units)</t>
        </is>
      </c>
      <c r="D228" s="65" t="inlineStr">
        <is>
          <t>20 of 50</t>
        </is>
      </c>
      <c r="E228" s="52" t="inlineStr">
        <is>
          <t>AF2-LLL-N-020</t>
        </is>
      </c>
      <c r="F228" s="52" t="inlineStr">
        <is>
          <t>Khanum Arabia Canal Irrigation scheme</t>
        </is>
      </c>
      <c r="G228" s="52" t="inlineStr">
        <is>
          <t>Laser Land Leveler (LLL)</t>
        </is>
      </c>
      <c r="H228" s="52" t="inlineStr">
        <is>
          <t>LLL unit</t>
        </is>
      </c>
      <c r="I228" s="52" t="inlineStr">
        <is>
          <t>Emergency Food Security Project (EFSP) – WBK/AF-2</t>
        </is>
      </c>
      <c r="J228" s="52" t="inlineStr">
        <is>
          <t>North / Mazar</t>
        </is>
      </c>
      <c r="K228" s="52" t="inlineStr">
        <is>
          <t>Jawzjan</t>
        </is>
      </c>
      <c r="L228" s="52" t="inlineStr">
        <is>
          <t>Faizabad</t>
        </is>
      </c>
      <c r="M228" s="52" t="inlineStr">
        <is>
          <t>1 unit(s)</t>
        </is>
      </c>
      <c r="N228" s="52" t="inlineStr">
        <is>
          <t>World Bank (WBK/AF-2)</t>
        </is>
      </c>
      <c r="O228" s="52" t="inlineStr">
        <is>
          <t>Not awarded</t>
        </is>
      </c>
      <c r="P228" s="52" t="inlineStr">
        <is>
          <t>6. Supply and delivery of LLL</t>
        </is>
      </c>
      <c r="Q228" s="52" t="inlineStr"/>
      <c r="R228" s="52" t="inlineStr"/>
      <c r="S228" s="53" t="n"/>
      <c r="T228" s="46" t="inlineStr">
        <is>
          <t>IF(AQ228="","",AQ228)</t>
        </is>
      </c>
      <c r="U228" s="54" t="n">
        <v>46325</v>
      </c>
      <c r="V228" s="55" t="n"/>
      <c r="W228" s="54" t="n">
        <v>46418</v>
      </c>
      <c r="X228" s="46" t="inlineStr">
        <is>
          <t>IF(W228&lt;&gt;"",W228,IF(OR(T228="",V228=""),"",EDATE(T228,V228)))</t>
        </is>
      </c>
      <c r="Y228" s="54" t="n"/>
      <c r="Z228" s="55" t="n"/>
      <c r="AA228" s="52" t="inlineStr">
        <is>
          <t>Under Awarding</t>
        </is>
      </c>
      <c r="AB228" s="52" t="inlineStr">
        <is>
          <t>The Procurement process is initiated in April and PO will be issued late October 2026. and delivery will be done by End of December 2026 and onward in January 2027 it is planned to be distributed to the selected beneficiaries.</t>
        </is>
      </c>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outlineLevel="1" ht="18" customHeight="1">
      <c r="A229" s="42" t="inlineStr">
        <is>
          <t>IF(F229="","",ROW()-3)</t>
        </is>
      </c>
      <c r="B229" s="65" t="inlineStr">
        <is>
          <t>AF2-LLL-ALL</t>
        </is>
      </c>
      <c r="C229" s="65" t="inlineStr">
        <is>
          <t>EFSP-AF2 LLL supply and delivery (50 units)</t>
        </is>
      </c>
      <c r="D229" s="65" t="inlineStr">
        <is>
          <t>21 of 50</t>
        </is>
      </c>
      <c r="E229" s="44" t="inlineStr">
        <is>
          <t>AF2-LLL-N-021</t>
        </is>
      </c>
      <c r="F229" s="44" t="inlineStr">
        <is>
          <t>Khar Kar and Sayed Miran IS</t>
        </is>
      </c>
      <c r="G229" s="44" t="inlineStr">
        <is>
          <t>Laser Land Leveler (LLL)</t>
        </is>
      </c>
      <c r="H229" s="44" t="inlineStr">
        <is>
          <t>LLL unit</t>
        </is>
      </c>
      <c r="I229" s="44" t="inlineStr">
        <is>
          <t>Emergency Food Security Project (EFSP) – WBK/AF-2</t>
        </is>
      </c>
      <c r="J229" s="44" t="inlineStr">
        <is>
          <t>Northeast / Kunduz</t>
        </is>
      </c>
      <c r="K229" s="44" t="inlineStr">
        <is>
          <t>Takhar</t>
        </is>
      </c>
      <c r="L229" s="44" t="inlineStr">
        <is>
          <t>Eshkamish</t>
        </is>
      </c>
      <c r="M229" s="44" t="inlineStr">
        <is>
          <t>1 unit(s)</t>
        </is>
      </c>
      <c r="N229" s="44" t="inlineStr">
        <is>
          <t>World Bank (WBK/AF-2)</t>
        </is>
      </c>
      <c r="O229" s="44" t="inlineStr">
        <is>
          <t>Not awarded</t>
        </is>
      </c>
      <c r="P229" s="44" t="inlineStr">
        <is>
          <t>6. Supply and delivery of LLL</t>
        </is>
      </c>
      <c r="Q229" s="44" t="inlineStr"/>
      <c r="R229" s="44" t="inlineStr"/>
      <c r="S229" s="45" t="n"/>
      <c r="T229" s="46" t="inlineStr">
        <is>
          <t>IF(AQ229="","",AQ229)</t>
        </is>
      </c>
      <c r="U229" s="47" t="n">
        <v>46325</v>
      </c>
      <c r="V229" s="48" t="n"/>
      <c r="W229" s="47" t="n">
        <v>46418</v>
      </c>
      <c r="X229" s="46" t="inlineStr">
        <is>
          <t>IF(W229&lt;&gt;"",W229,IF(OR(T229="",V229=""),"",EDATE(T229,V229)))</t>
        </is>
      </c>
      <c r="Y229" s="47" t="n"/>
      <c r="Z229" s="48" t="n"/>
      <c r="AA229" s="44" t="inlineStr">
        <is>
          <t>Under Awarding</t>
        </is>
      </c>
      <c r="AB229" s="44" t="inlineStr">
        <is>
          <t>The Procurement process is initiated in April and PO will be issued late October 2026. and delivery will be done by End of December 2026 and onward in January 2027 it is planned to be distributed to the selected beneficiaries.</t>
        </is>
      </c>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outlineLevel="1" ht="18" customHeight="1">
      <c r="A230" s="42" t="inlineStr">
        <is>
          <t>IF(F230="","",ROW()-3)</t>
        </is>
      </c>
      <c r="B230" s="65" t="inlineStr">
        <is>
          <t>AF2-LLL-ALL</t>
        </is>
      </c>
      <c r="C230" s="65" t="inlineStr">
        <is>
          <t>EFSP-AF2 LLL supply and delivery (50 units)</t>
        </is>
      </c>
      <c r="D230" s="65" t="inlineStr">
        <is>
          <t>22 of 50</t>
        </is>
      </c>
      <c r="E230" s="52" t="inlineStr">
        <is>
          <t>AF2-LLL-N-022</t>
        </is>
      </c>
      <c r="F230" s="52" t="inlineStr">
        <is>
          <t>Khas kunar irrigation scheme</t>
        </is>
      </c>
      <c r="G230" s="52" t="inlineStr">
        <is>
          <t>Laser Land Leveler (LLL)</t>
        </is>
      </c>
      <c r="H230" s="52" t="inlineStr">
        <is>
          <t>LLL unit</t>
        </is>
      </c>
      <c r="I230" s="52" t="inlineStr">
        <is>
          <t>Emergency Food Security Project (EFSP) – WBK/AF-2</t>
        </is>
      </c>
      <c r="J230" s="52" t="inlineStr">
        <is>
          <t>East / Jalalabad</t>
        </is>
      </c>
      <c r="K230" s="52" t="inlineStr">
        <is>
          <t>Kunar</t>
        </is>
      </c>
      <c r="L230" s="52" t="inlineStr">
        <is>
          <t>Khas kunar</t>
        </is>
      </c>
      <c r="M230" s="52" t="inlineStr">
        <is>
          <t>1 unit(s)</t>
        </is>
      </c>
      <c r="N230" s="52" t="inlineStr">
        <is>
          <t>World Bank (WBK/AF-2)</t>
        </is>
      </c>
      <c r="O230" s="52" t="inlineStr">
        <is>
          <t>Not awarded</t>
        </is>
      </c>
      <c r="P230" s="52" t="inlineStr">
        <is>
          <t>6. Supply and delivery of LLL</t>
        </is>
      </c>
      <c r="Q230" s="52" t="inlineStr"/>
      <c r="R230" s="52" t="inlineStr"/>
      <c r="S230" s="53" t="n"/>
      <c r="T230" s="46" t="inlineStr">
        <is>
          <t>IF(AQ230="","",AQ230)</t>
        </is>
      </c>
      <c r="U230" s="54" t="n">
        <v>46325</v>
      </c>
      <c r="V230" s="55" t="n"/>
      <c r="W230" s="54" t="n">
        <v>46418</v>
      </c>
      <c r="X230" s="46" t="inlineStr">
        <is>
          <t>IF(W230&lt;&gt;"",W230,IF(OR(T230="",V230=""),"",EDATE(T230,V230)))</t>
        </is>
      </c>
      <c r="Y230" s="54" t="n"/>
      <c r="Z230" s="55" t="n"/>
      <c r="AA230" s="52" t="inlineStr">
        <is>
          <t>Under Awarding</t>
        </is>
      </c>
      <c r="AB230" s="52" t="inlineStr">
        <is>
          <t>The Procurement process is initiated in April and PO will be issued late October 2026. and delivery will be done by End of December 2026 and onward in January 2027 it is planned to be distributed to the selected beneficiaries.</t>
        </is>
      </c>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outlineLevel="1" ht="18" customHeight="1">
      <c r="A231" s="42" t="inlineStr">
        <is>
          <t>IF(F231="","",ROW()-3)</t>
        </is>
      </c>
      <c r="B231" s="65" t="inlineStr">
        <is>
          <t>AF2-LLL-ALL</t>
        </is>
      </c>
      <c r="C231" s="65" t="inlineStr">
        <is>
          <t>EFSP-AF2 LLL supply and delivery (50 units)</t>
        </is>
      </c>
      <c r="D231" s="65" t="inlineStr">
        <is>
          <t>23 of 50</t>
        </is>
      </c>
      <c r="E231" s="44" t="inlineStr">
        <is>
          <t>AF2-LLL-N-023</t>
        </is>
      </c>
      <c r="F231" s="44" t="inlineStr">
        <is>
          <t>Khuspak-e-Markazi</t>
        </is>
      </c>
      <c r="G231" s="44" t="inlineStr">
        <is>
          <t>Laser Land Leveler (LLL)</t>
        </is>
      </c>
      <c r="H231" s="44" t="inlineStr">
        <is>
          <t>LLL unit</t>
        </is>
      </c>
      <c r="I231" s="44" t="inlineStr">
        <is>
          <t>Emergency Food Security Project (EFSP) – WBK/AF-2</t>
        </is>
      </c>
      <c r="J231" s="44" t="inlineStr">
        <is>
          <t>Northeast / Kunduz</t>
        </is>
      </c>
      <c r="K231" s="44" t="inlineStr">
        <is>
          <t>Badakhshan</t>
        </is>
      </c>
      <c r="L231" s="44" t="inlineStr">
        <is>
          <t>Ishkashim</t>
        </is>
      </c>
      <c r="M231" s="44" t="inlineStr">
        <is>
          <t>1 unit(s)</t>
        </is>
      </c>
      <c r="N231" s="44" t="inlineStr">
        <is>
          <t>World Bank (WBK/AF-2)</t>
        </is>
      </c>
      <c r="O231" s="44" t="inlineStr">
        <is>
          <t>Not awarded</t>
        </is>
      </c>
      <c r="P231" s="44" t="inlineStr">
        <is>
          <t>6. Supply and delivery of LLL</t>
        </is>
      </c>
      <c r="Q231" s="44" t="inlineStr"/>
      <c r="R231" s="44" t="inlineStr"/>
      <c r="S231" s="45" t="n"/>
      <c r="T231" s="46" t="inlineStr">
        <is>
          <t>IF(AQ231="","",AQ231)</t>
        </is>
      </c>
      <c r="U231" s="47" t="n">
        <v>46325</v>
      </c>
      <c r="V231" s="48" t="n"/>
      <c r="W231" s="47" t="n">
        <v>46418</v>
      </c>
      <c r="X231" s="46" t="inlineStr">
        <is>
          <t>IF(W231&lt;&gt;"",W231,IF(OR(T231="",V231=""),"",EDATE(T231,V231)))</t>
        </is>
      </c>
      <c r="Y231" s="47" t="n"/>
      <c r="Z231" s="48" t="n"/>
      <c r="AA231" s="44" t="inlineStr">
        <is>
          <t>Under Awarding</t>
        </is>
      </c>
      <c r="AB231" s="44" t="inlineStr">
        <is>
          <t>The Procurement process is initiated in April and PO will be issued late October 2026. and delivery will be done by End of December 2026 and onward in January 2027 it is planned to be distributed to the selected beneficiaries.</t>
        </is>
      </c>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outlineLevel="1" ht="18" customHeight="1">
      <c r="A232" s="42" t="inlineStr">
        <is>
          <t>IF(F232="","",ROW()-3)</t>
        </is>
      </c>
      <c r="B232" s="65" t="inlineStr">
        <is>
          <t>AF2-LLL-ALL</t>
        </is>
      </c>
      <c r="C232" s="65" t="inlineStr">
        <is>
          <t>EFSP-AF2 LLL supply and delivery (50 units)</t>
        </is>
      </c>
      <c r="D232" s="65" t="inlineStr">
        <is>
          <t>24 of 50</t>
        </is>
      </c>
      <c r="E232" s="52" t="inlineStr">
        <is>
          <t>AF2-LLL-N-024</t>
        </is>
      </c>
      <c r="F232" s="52" t="inlineStr">
        <is>
          <t>Khwaja Angor Irrigation Scheme</t>
        </is>
      </c>
      <c r="G232" s="52" t="inlineStr">
        <is>
          <t>Laser Land Leveler (LLL)</t>
        </is>
      </c>
      <c r="H232" s="52" t="inlineStr">
        <is>
          <t>LLL unit</t>
        </is>
      </c>
      <c r="I232" s="52" t="inlineStr">
        <is>
          <t>Emergency Food Security Project (EFSP) – WBK/AF-2</t>
        </is>
      </c>
      <c r="J232" s="52" t="inlineStr">
        <is>
          <t>Southeast / Gardez</t>
        </is>
      </c>
      <c r="K232" s="52" t="inlineStr">
        <is>
          <t>Logar</t>
        </is>
      </c>
      <c r="L232" s="52" t="inlineStr">
        <is>
          <t>Kharwar</t>
        </is>
      </c>
      <c r="M232" s="52" t="inlineStr">
        <is>
          <t>1 unit(s)</t>
        </is>
      </c>
      <c r="N232" s="52" t="inlineStr">
        <is>
          <t>World Bank (WBK/AF-2)</t>
        </is>
      </c>
      <c r="O232" s="52" t="inlineStr">
        <is>
          <t>Not awarded</t>
        </is>
      </c>
      <c r="P232" s="52" t="inlineStr">
        <is>
          <t>6. Supply and delivery of LLL</t>
        </is>
      </c>
      <c r="Q232" s="52" t="inlineStr"/>
      <c r="R232" s="52" t="inlineStr"/>
      <c r="S232" s="53" t="n"/>
      <c r="T232" s="46" t="inlineStr">
        <is>
          <t>IF(AQ232="","",AQ232)</t>
        </is>
      </c>
      <c r="U232" s="54" t="n">
        <v>46325</v>
      </c>
      <c r="V232" s="55" t="n"/>
      <c r="W232" s="54" t="n">
        <v>46418</v>
      </c>
      <c r="X232" s="46" t="inlineStr">
        <is>
          <t>IF(W232&lt;&gt;"",W232,IF(OR(T232="",V232=""),"",EDATE(T232,V232)))</t>
        </is>
      </c>
      <c r="Y232" s="54" t="n"/>
      <c r="Z232" s="55" t="n"/>
      <c r="AA232" s="52" t="inlineStr">
        <is>
          <t>Under Awarding</t>
        </is>
      </c>
      <c r="AB232" s="52" t="inlineStr">
        <is>
          <t>The Procurement process is initiated in April and PO will be issued late October 2026. and delivery will be done by End of December 2026 and onward in January 2027 it is planned to be distributed to the selected beneficiaries.</t>
        </is>
      </c>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outlineLevel="1" ht="18" customHeight="1">
      <c r="A233" s="42" t="inlineStr">
        <is>
          <t>IF(F233="","",ROW()-3)</t>
        </is>
      </c>
      <c r="B233" s="65" t="inlineStr">
        <is>
          <t>AF2-LLL-ALL</t>
        </is>
      </c>
      <c r="C233" s="65" t="inlineStr">
        <is>
          <t>EFSP-AF2 LLL supply and delivery (50 units)</t>
        </is>
      </c>
      <c r="D233" s="65" t="inlineStr">
        <is>
          <t>25 of 50</t>
        </is>
      </c>
      <c r="E233" s="44" t="inlineStr">
        <is>
          <t>AF2-LLL-N-025</t>
        </is>
      </c>
      <c r="F233" s="44" t="inlineStr">
        <is>
          <t>Kushkak irrigation scheme</t>
        </is>
      </c>
      <c r="G233" s="44" t="inlineStr">
        <is>
          <t>Laser Land Leveler (LLL)</t>
        </is>
      </c>
      <c r="H233" s="44" t="inlineStr">
        <is>
          <t>LLL unit</t>
        </is>
      </c>
      <c r="I233" s="44" t="inlineStr">
        <is>
          <t>Emergency Food Security Project (EFSP) – WBK/AF-2</t>
        </is>
      </c>
      <c r="J233" s="44" t="inlineStr">
        <is>
          <t>North / Mazar</t>
        </is>
      </c>
      <c r="K233" s="44" t="inlineStr">
        <is>
          <t>Samangan</t>
        </is>
      </c>
      <c r="L233" s="44" t="inlineStr">
        <is>
          <t>Dara-e-Suf-e-Bala</t>
        </is>
      </c>
      <c r="M233" s="44" t="inlineStr">
        <is>
          <t>1 unit(s)</t>
        </is>
      </c>
      <c r="N233" s="44" t="inlineStr">
        <is>
          <t>World Bank (WBK/AF-2)</t>
        </is>
      </c>
      <c r="O233" s="44" t="inlineStr">
        <is>
          <t>Not awarded</t>
        </is>
      </c>
      <c r="P233" s="44" t="inlineStr">
        <is>
          <t>6. Supply and delivery of LLL</t>
        </is>
      </c>
      <c r="Q233" s="44" t="inlineStr"/>
      <c r="R233" s="44" t="inlineStr"/>
      <c r="S233" s="45" t="n"/>
      <c r="T233" s="46" t="inlineStr">
        <is>
          <t>IF(AQ233="","",AQ233)</t>
        </is>
      </c>
      <c r="U233" s="47" t="n">
        <v>46325</v>
      </c>
      <c r="V233" s="48" t="n"/>
      <c r="W233" s="47" t="n">
        <v>46418</v>
      </c>
      <c r="X233" s="46" t="inlineStr">
        <is>
          <t>IF(W233&lt;&gt;"",W233,IF(OR(T233="",V233=""),"",EDATE(T233,V233)))</t>
        </is>
      </c>
      <c r="Y233" s="47" t="n"/>
      <c r="Z233" s="48" t="n"/>
      <c r="AA233" s="44" t="inlineStr">
        <is>
          <t>Under Awarding</t>
        </is>
      </c>
      <c r="AB233" s="44" t="inlineStr">
        <is>
          <t>The Procurement process is initiated in April and PO will be issued late October 2026. and delivery will be done by End of December 2026 and onward in January 2027 it is planned to be distributed to the selected beneficiaries.</t>
        </is>
      </c>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outlineLevel="1" ht="18" customHeight="1">
      <c r="A234" s="42" t="inlineStr">
        <is>
          <t>IF(F234="","",ROW()-3)</t>
        </is>
      </c>
      <c r="B234" s="65" t="inlineStr">
        <is>
          <t>AF2-LLL-ALL</t>
        </is>
      </c>
      <c r="C234" s="65" t="inlineStr">
        <is>
          <t>EFSP-AF2 LLL supply and delivery (50 units)</t>
        </is>
      </c>
      <c r="D234" s="65" t="inlineStr">
        <is>
          <t>26 of 50</t>
        </is>
      </c>
      <c r="E234" s="52" t="inlineStr">
        <is>
          <t>AF2-LLL-N-026</t>
        </is>
      </c>
      <c r="F234" s="52" t="inlineStr">
        <is>
          <t>Mandaliat -e-Tanor canal</t>
        </is>
      </c>
      <c r="G234" s="52" t="inlineStr">
        <is>
          <t>Laser Land Leveler (LLL)</t>
        </is>
      </c>
      <c r="H234" s="52" t="inlineStr">
        <is>
          <t>LLL unit</t>
        </is>
      </c>
      <c r="I234" s="52" t="inlineStr">
        <is>
          <t>Emergency Food Security Project (EFSP) – WBK/AF-2</t>
        </is>
      </c>
      <c r="J234" s="52" t="inlineStr">
        <is>
          <t>Central / Kabul</t>
        </is>
      </c>
      <c r="K234" s="52" t="inlineStr">
        <is>
          <t>Midan Wardak</t>
        </is>
      </c>
      <c r="L234" s="52" t="inlineStr">
        <is>
          <t>Hesa Awal Behsood</t>
        </is>
      </c>
      <c r="M234" s="52" t="inlineStr">
        <is>
          <t>1 unit(s)</t>
        </is>
      </c>
      <c r="N234" s="52" t="inlineStr">
        <is>
          <t>World Bank (WBK/AF-2)</t>
        </is>
      </c>
      <c r="O234" s="52" t="inlineStr">
        <is>
          <t>Not awarded</t>
        </is>
      </c>
      <c r="P234" s="52" t="inlineStr">
        <is>
          <t>6. Supply and delivery of LLL</t>
        </is>
      </c>
      <c r="Q234" s="52" t="inlineStr"/>
      <c r="R234" s="52" t="inlineStr"/>
      <c r="S234" s="53" t="n"/>
      <c r="T234" s="46" t="inlineStr">
        <is>
          <t>IF(AQ234="","",AQ234)</t>
        </is>
      </c>
      <c r="U234" s="54" t="n">
        <v>46325</v>
      </c>
      <c r="V234" s="55" t="n"/>
      <c r="W234" s="54" t="n">
        <v>46418</v>
      </c>
      <c r="X234" s="46" t="inlineStr">
        <is>
          <t>IF(W234&lt;&gt;"",W234,IF(OR(T234="",V234=""),"",EDATE(T234,V234)))</t>
        </is>
      </c>
      <c r="Y234" s="54" t="n"/>
      <c r="Z234" s="55" t="n"/>
      <c r="AA234" s="52" t="inlineStr">
        <is>
          <t>Under Awarding</t>
        </is>
      </c>
      <c r="AB234" s="52" t="inlineStr">
        <is>
          <t>The Procurement process is initiated in April and PO will be issued late October 2026. and delivery will be done by End of December 2026 and onward in January 2027 it is planned to be distributed to the selected beneficiaries.</t>
        </is>
      </c>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outlineLevel="1" ht="18" customHeight="1">
      <c r="A235" s="42" t="inlineStr">
        <is>
          <t>IF(F235="","",ROW()-3)</t>
        </is>
      </c>
      <c r="B235" s="65" t="inlineStr">
        <is>
          <t>AF2-LLL-ALL</t>
        </is>
      </c>
      <c r="C235" s="65" t="inlineStr">
        <is>
          <t>EFSP-AF2 LLL supply and delivery (50 units)</t>
        </is>
      </c>
      <c r="D235" s="65" t="inlineStr">
        <is>
          <t>27 of 50</t>
        </is>
      </c>
      <c r="E235" s="44" t="inlineStr">
        <is>
          <t>AF2-LLL-N-027</t>
        </is>
      </c>
      <c r="F235" s="44" t="inlineStr">
        <is>
          <t>Mulakh Irrigation Scheme</t>
        </is>
      </c>
      <c r="G235" s="44" t="inlineStr">
        <is>
          <t>Laser Land Leveler (LLL)</t>
        </is>
      </c>
      <c r="H235" s="44" t="inlineStr">
        <is>
          <t>LLL unit</t>
        </is>
      </c>
      <c r="I235" s="44" t="inlineStr">
        <is>
          <t>Emergency Food Security Project (EFSP) – WBK/AF-2</t>
        </is>
      </c>
      <c r="J235" s="44" t="inlineStr">
        <is>
          <t>Southeast / Gardez</t>
        </is>
      </c>
      <c r="K235" s="44" t="inlineStr">
        <is>
          <t>Paktika</t>
        </is>
      </c>
      <c r="L235" s="44" t="inlineStr">
        <is>
          <t>Yousif Khail</t>
        </is>
      </c>
      <c r="M235" s="44" t="inlineStr">
        <is>
          <t>1 unit(s)</t>
        </is>
      </c>
      <c r="N235" s="44" t="inlineStr">
        <is>
          <t>World Bank (WBK/AF-2)</t>
        </is>
      </c>
      <c r="O235" s="44" t="inlineStr">
        <is>
          <t>Not awarded</t>
        </is>
      </c>
      <c r="P235" s="44" t="inlineStr">
        <is>
          <t>6. Supply and delivery of LLL</t>
        </is>
      </c>
      <c r="Q235" s="44" t="inlineStr"/>
      <c r="R235" s="44" t="inlineStr"/>
      <c r="S235" s="45" t="n"/>
      <c r="T235" s="46" t="inlineStr">
        <is>
          <t>IF(AQ235="","",AQ235)</t>
        </is>
      </c>
      <c r="U235" s="47" t="n">
        <v>46325</v>
      </c>
      <c r="V235" s="48" t="n"/>
      <c r="W235" s="47" t="n">
        <v>46418</v>
      </c>
      <c r="X235" s="46" t="inlineStr">
        <is>
          <t>IF(W235&lt;&gt;"",W235,IF(OR(T235="",V235=""),"",EDATE(T235,V235)))</t>
        </is>
      </c>
      <c r="Y235" s="47" t="n"/>
      <c r="Z235" s="48" t="n"/>
      <c r="AA235" s="44" t="inlineStr">
        <is>
          <t>Under Awarding</t>
        </is>
      </c>
      <c r="AB235" s="44" t="inlineStr">
        <is>
          <t>The Procurement process is initiated in April and PO will be issued late October 2026. and delivery will be done by End of December 2026 and onward in January 2027 it is planned to be distributed to the selected beneficiaries.</t>
        </is>
      </c>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outlineLevel="1" ht="18" customHeight="1">
      <c r="A236" s="42" t="inlineStr">
        <is>
          <t>IF(F236="","",ROW()-3)</t>
        </is>
      </c>
      <c r="B236" s="65" t="inlineStr">
        <is>
          <t>AF2-LLL-ALL</t>
        </is>
      </c>
      <c r="C236" s="65" t="inlineStr">
        <is>
          <t>EFSP-AF2 LLL supply and delivery (50 units)</t>
        </is>
      </c>
      <c r="D236" s="65" t="inlineStr">
        <is>
          <t>28 of 50</t>
        </is>
      </c>
      <c r="E236" s="52" t="inlineStr">
        <is>
          <t>AF2-LLL-N-028</t>
        </is>
      </c>
      <c r="F236" s="52" t="inlineStr">
        <is>
          <t>Mulla Omar irrigation scheme</t>
        </is>
      </c>
      <c r="G236" s="52" t="inlineStr">
        <is>
          <t>Laser Land Leveler (LLL)</t>
        </is>
      </c>
      <c r="H236" s="52" t="inlineStr">
        <is>
          <t>LLL unit</t>
        </is>
      </c>
      <c r="I236" s="52" t="inlineStr">
        <is>
          <t>Emergency Food Security Project (EFSP) – WBK/AF-2</t>
        </is>
      </c>
      <c r="J236" s="52" t="inlineStr">
        <is>
          <t>North / Mazar</t>
        </is>
      </c>
      <c r="K236" s="52" t="inlineStr">
        <is>
          <t>Balklh</t>
        </is>
      </c>
      <c r="L236" s="52" t="inlineStr">
        <is>
          <t>Chimtal</t>
        </is>
      </c>
      <c r="M236" s="52" t="inlineStr">
        <is>
          <t>1 unit(s)</t>
        </is>
      </c>
      <c r="N236" s="52" t="inlineStr">
        <is>
          <t>World Bank (WBK/AF-2)</t>
        </is>
      </c>
      <c r="O236" s="52" t="inlineStr">
        <is>
          <t>Not awarded</t>
        </is>
      </c>
      <c r="P236" s="52" t="inlineStr">
        <is>
          <t>6. Supply and delivery of LLL</t>
        </is>
      </c>
      <c r="Q236" s="52" t="inlineStr"/>
      <c r="R236" s="52" t="inlineStr"/>
      <c r="S236" s="53" t="n"/>
      <c r="T236" s="46" t="inlineStr">
        <is>
          <t>IF(AQ236="","",AQ236)</t>
        </is>
      </c>
      <c r="U236" s="54" t="n">
        <v>46325</v>
      </c>
      <c r="V236" s="55" t="n"/>
      <c r="W236" s="54" t="n">
        <v>46418</v>
      </c>
      <c r="X236" s="46" t="inlineStr">
        <is>
          <t>IF(W236&lt;&gt;"",W236,IF(OR(T236="",V236=""),"",EDATE(T236,V236)))</t>
        </is>
      </c>
      <c r="Y236" s="54" t="n"/>
      <c r="Z236" s="55" t="n"/>
      <c r="AA236" s="52" t="inlineStr">
        <is>
          <t>Under Awarding</t>
        </is>
      </c>
      <c r="AB236" s="52" t="inlineStr">
        <is>
          <t>The Procurement process is initiated in April and PO will be issued late October 2026. and delivery will be done by End of December 2026 and onward in January 2027 it is planned to be distributed to the selected beneficiaries.</t>
        </is>
      </c>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outlineLevel="1" ht="18" customHeight="1">
      <c r="A237" s="42" t="inlineStr">
        <is>
          <t>IF(F237="","",ROW()-3)</t>
        </is>
      </c>
      <c r="B237" s="65" t="inlineStr">
        <is>
          <t>AF2-LLL-ALL</t>
        </is>
      </c>
      <c r="C237" s="65" t="inlineStr">
        <is>
          <t>EFSP-AF2 LLL supply and delivery (50 units)</t>
        </is>
      </c>
      <c r="D237" s="65" t="inlineStr">
        <is>
          <t>29 of 50</t>
        </is>
      </c>
      <c r="E237" s="44" t="inlineStr">
        <is>
          <t>AF2-LLL-N-029</t>
        </is>
      </c>
      <c r="F237" s="44" t="inlineStr">
        <is>
          <t>Nahri Siraj irrigation scheme</t>
        </is>
      </c>
      <c r="G237" s="44" t="inlineStr">
        <is>
          <t>Laser Land Leveler (LLL)</t>
        </is>
      </c>
      <c r="H237" s="44" t="inlineStr">
        <is>
          <t>LLL unit</t>
        </is>
      </c>
      <c r="I237" s="44" t="inlineStr">
        <is>
          <t>Emergency Food Security Project (EFSP) – WBK/AF-2</t>
        </is>
      </c>
      <c r="J237" s="44" t="inlineStr">
        <is>
          <t>South / Kandahar</t>
        </is>
      </c>
      <c r="K237" s="44" t="inlineStr">
        <is>
          <t>Helamand</t>
        </is>
      </c>
      <c r="L237" s="44" t="inlineStr">
        <is>
          <t>Nahri Siraj</t>
        </is>
      </c>
      <c r="M237" s="44" t="inlineStr">
        <is>
          <t>1 unit(s)</t>
        </is>
      </c>
      <c r="N237" s="44" t="inlineStr">
        <is>
          <t>World Bank (WBK/AF-2)</t>
        </is>
      </c>
      <c r="O237" s="44" t="inlineStr">
        <is>
          <t>Not awarded</t>
        </is>
      </c>
      <c r="P237" s="44" t="inlineStr">
        <is>
          <t>6. Supply and delivery of LLL</t>
        </is>
      </c>
      <c r="Q237" s="44" t="inlineStr"/>
      <c r="R237" s="44" t="inlineStr"/>
      <c r="S237" s="45" t="n"/>
      <c r="T237" s="46" t="inlineStr">
        <is>
          <t>IF(AQ237="","",AQ237)</t>
        </is>
      </c>
      <c r="U237" s="47" t="n">
        <v>46325</v>
      </c>
      <c r="V237" s="48" t="n"/>
      <c r="W237" s="47" t="n">
        <v>46418</v>
      </c>
      <c r="X237" s="46" t="inlineStr">
        <is>
          <t>IF(W237&lt;&gt;"",W237,IF(OR(T237="",V237=""),"",EDATE(T237,V237)))</t>
        </is>
      </c>
      <c r="Y237" s="47" t="n"/>
      <c r="Z237" s="48" t="n"/>
      <c r="AA237" s="44" t="inlineStr">
        <is>
          <t>Under Awarding</t>
        </is>
      </c>
      <c r="AB237" s="44" t="inlineStr">
        <is>
          <t>The Procurement process is initiated in April and PO will be issued late October 2026. and delivery will be done by End of December 2026 and onward in January 2027 it is planned to be distributed to the selected beneficiaries.</t>
        </is>
      </c>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outlineLevel="1" ht="18" customHeight="1">
      <c r="A238" s="42" t="inlineStr">
        <is>
          <t>IF(F238="","",ROW()-3)</t>
        </is>
      </c>
      <c r="B238" s="65" t="inlineStr">
        <is>
          <t>AF2-LLL-ALL</t>
        </is>
      </c>
      <c r="C238" s="65" t="inlineStr">
        <is>
          <t>EFSP-AF2 LLL supply and delivery (50 units)</t>
        </is>
      </c>
      <c r="D238" s="65" t="inlineStr">
        <is>
          <t>30 of 50</t>
        </is>
      </c>
      <c r="E238" s="52" t="inlineStr">
        <is>
          <t>AF2-LLL-N-030</t>
        </is>
      </c>
      <c r="F238" s="52" t="inlineStr">
        <is>
          <t>Naw Deh Irrigation Canal</t>
        </is>
      </c>
      <c r="G238" s="52" t="inlineStr">
        <is>
          <t>Laser Land Leveler (LLL)</t>
        </is>
      </c>
      <c r="H238" s="52" t="inlineStr">
        <is>
          <t>LLL unit</t>
        </is>
      </c>
      <c r="I238" s="52" t="inlineStr">
        <is>
          <t>Emergency Food Security Project (EFSP) – WBK/AF-2</t>
        </is>
      </c>
      <c r="J238" s="52" t="inlineStr">
        <is>
          <t>West / Herat</t>
        </is>
      </c>
      <c r="K238" s="52" t="inlineStr">
        <is>
          <t>Farah</t>
        </is>
      </c>
      <c r="L238" s="52" t="inlineStr">
        <is>
          <t>Farah</t>
        </is>
      </c>
      <c r="M238" s="52" t="inlineStr">
        <is>
          <t>1 unit(s)</t>
        </is>
      </c>
      <c r="N238" s="52" t="inlineStr">
        <is>
          <t>World Bank (WBK/AF-2)</t>
        </is>
      </c>
      <c r="O238" s="52" t="inlineStr">
        <is>
          <t>Not awarded</t>
        </is>
      </c>
      <c r="P238" s="52" t="inlineStr">
        <is>
          <t>6. Supply and delivery of LLL</t>
        </is>
      </c>
      <c r="Q238" s="52" t="inlineStr"/>
      <c r="R238" s="52" t="inlineStr"/>
      <c r="S238" s="53" t="n"/>
      <c r="T238" s="46" t="inlineStr">
        <is>
          <t>IF(AQ238="","",AQ238)</t>
        </is>
      </c>
      <c r="U238" s="54" t="n">
        <v>46325</v>
      </c>
      <c r="V238" s="55" t="n"/>
      <c r="W238" s="54" t="n">
        <v>46418</v>
      </c>
      <c r="X238" s="46" t="inlineStr">
        <is>
          <t>IF(W238&lt;&gt;"",W238,IF(OR(T238="",V238=""),"",EDATE(T238,V238)))</t>
        </is>
      </c>
      <c r="Y238" s="54" t="n"/>
      <c r="Z238" s="55" t="n"/>
      <c r="AA238" s="52" t="inlineStr">
        <is>
          <t>Under Awarding</t>
        </is>
      </c>
      <c r="AB238" s="52" t="inlineStr">
        <is>
          <t>The Procurement process is initiated in April and PO will be issued late October 2026. and delivery will be done by End of December 2026 and onward in January 2027 it is planned to be distributed to the selected beneficiaries.</t>
        </is>
      </c>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outlineLevel="1" ht="18" customHeight="1">
      <c r="A239" s="42" t="inlineStr">
        <is>
          <t>IF(F239="","",ROW()-3)</t>
        </is>
      </c>
      <c r="B239" s="65" t="inlineStr">
        <is>
          <t>AF2-LLL-ALL</t>
        </is>
      </c>
      <c r="C239" s="65" t="inlineStr">
        <is>
          <t>EFSP-AF2 LLL supply and delivery (50 units)</t>
        </is>
      </c>
      <c r="D239" s="65" t="inlineStr">
        <is>
          <t>31 of 50</t>
        </is>
      </c>
      <c r="E239" s="44" t="inlineStr">
        <is>
          <t>AF2-LLL-N-031</t>
        </is>
      </c>
      <c r="F239" s="44" t="inlineStr">
        <is>
          <t>Noghi Irrigation Scheme</t>
        </is>
      </c>
      <c r="G239" s="44" t="inlineStr">
        <is>
          <t>Laser Land Leveler (LLL)</t>
        </is>
      </c>
      <c r="H239" s="44" t="inlineStr">
        <is>
          <t>LLL unit</t>
        </is>
      </c>
      <c r="I239" s="44" t="inlineStr">
        <is>
          <t>Emergency Food Security Project (EFSP) – WBK/AF-2</t>
        </is>
      </c>
      <c r="J239" s="44" t="inlineStr">
        <is>
          <t>Southeast / Gardez</t>
        </is>
      </c>
      <c r="K239" s="44" t="inlineStr">
        <is>
          <t>Ghazni</t>
        </is>
      </c>
      <c r="L239" s="44" t="inlineStr">
        <is>
          <t>Ghazni</t>
        </is>
      </c>
      <c r="M239" s="44" t="inlineStr">
        <is>
          <t>1 unit(s)</t>
        </is>
      </c>
      <c r="N239" s="44" t="inlineStr">
        <is>
          <t>World Bank (WBK/AF-2)</t>
        </is>
      </c>
      <c r="O239" s="44" t="inlineStr">
        <is>
          <t>Not awarded</t>
        </is>
      </c>
      <c r="P239" s="44" t="inlineStr">
        <is>
          <t>6. Supply and delivery of LLL</t>
        </is>
      </c>
      <c r="Q239" s="44" t="inlineStr"/>
      <c r="R239" s="44" t="inlineStr"/>
      <c r="S239" s="45" t="n"/>
      <c r="T239" s="46" t="inlineStr">
        <is>
          <t>IF(AQ239="","",AQ239)</t>
        </is>
      </c>
      <c r="U239" s="47" t="n">
        <v>46325</v>
      </c>
      <c r="V239" s="48" t="n"/>
      <c r="W239" s="47" t="n">
        <v>46418</v>
      </c>
      <c r="X239" s="46" t="inlineStr">
        <is>
          <t>IF(W239&lt;&gt;"",W239,IF(OR(T239="",V239=""),"",EDATE(T239,V239)))</t>
        </is>
      </c>
      <c r="Y239" s="47" t="n"/>
      <c r="Z239" s="48" t="n"/>
      <c r="AA239" s="44" t="inlineStr">
        <is>
          <t>Under Awarding</t>
        </is>
      </c>
      <c r="AB239" s="44" t="inlineStr">
        <is>
          <t>The Procurement process is initiated in April and PO will be issued late October 2026. and delivery will be done by End of December 2026 and onward in January 2027 it is planned to be distributed to the selected beneficiaries.</t>
        </is>
      </c>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outlineLevel="1" ht="18" customHeight="1">
      <c r="A240" s="42" t="inlineStr">
        <is>
          <t>IF(F240="","",ROW()-3)</t>
        </is>
      </c>
      <c r="B240" s="65" t="inlineStr">
        <is>
          <t>AF2-LLL-ALL</t>
        </is>
      </c>
      <c r="C240" s="65" t="inlineStr">
        <is>
          <t>EFSP-AF2 LLL supply and delivery (50 units)</t>
        </is>
      </c>
      <c r="D240" s="65" t="inlineStr">
        <is>
          <t>32 of 50</t>
        </is>
      </c>
      <c r="E240" s="52" t="inlineStr">
        <is>
          <t>AF2-LLL-N-032</t>
        </is>
      </c>
      <c r="F240" s="52" t="inlineStr">
        <is>
          <t>Pachajoy irrigation scheme</t>
        </is>
      </c>
      <c r="G240" s="52" t="inlineStr">
        <is>
          <t>Laser Land Leveler (LLL)</t>
        </is>
      </c>
      <c r="H240" s="52" t="inlineStr">
        <is>
          <t>LLL unit</t>
        </is>
      </c>
      <c r="I240" s="52" t="inlineStr">
        <is>
          <t>Emergency Food Security Project (EFSP) – WBK/AF-2</t>
        </is>
      </c>
      <c r="J240" s="52" t="inlineStr">
        <is>
          <t>East / Jalalabad</t>
        </is>
      </c>
      <c r="K240" s="52" t="inlineStr">
        <is>
          <t>Laghman</t>
        </is>
      </c>
      <c r="L240" s="52" t="inlineStr">
        <is>
          <t>Mehtherlam</t>
        </is>
      </c>
      <c r="M240" s="52" t="inlineStr">
        <is>
          <t>1 unit(s)</t>
        </is>
      </c>
      <c r="N240" s="52" t="inlineStr">
        <is>
          <t>World Bank (WBK/AF-2)</t>
        </is>
      </c>
      <c r="O240" s="52" t="inlineStr">
        <is>
          <t>Not awarded</t>
        </is>
      </c>
      <c r="P240" s="52" t="inlineStr">
        <is>
          <t>6. Supply and delivery of LLL</t>
        </is>
      </c>
      <c r="Q240" s="52" t="inlineStr"/>
      <c r="R240" s="52" t="inlineStr"/>
      <c r="S240" s="53" t="n"/>
      <c r="T240" s="46" t="inlineStr">
        <is>
          <t>IF(AQ240="","",AQ240)</t>
        </is>
      </c>
      <c r="U240" s="54" t="n">
        <v>46325</v>
      </c>
      <c r="V240" s="55" t="n"/>
      <c r="W240" s="54" t="n">
        <v>46418</v>
      </c>
      <c r="X240" s="46" t="inlineStr">
        <is>
          <t>IF(W240&lt;&gt;"",W240,IF(OR(T240="",V240=""),"",EDATE(T240,V240)))</t>
        </is>
      </c>
      <c r="Y240" s="54" t="n"/>
      <c r="Z240" s="55" t="n"/>
      <c r="AA240" s="52" t="inlineStr">
        <is>
          <t>Under Awarding</t>
        </is>
      </c>
      <c r="AB240" s="52" t="inlineStr">
        <is>
          <t>The Procurement process is initiated in April and PO will be issued late October 2026. and delivery will be done by End of December 2026 and onward in January 2027 it is planned to be distributed to the selected beneficiaries.</t>
        </is>
      </c>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outlineLevel="1" ht="18" customHeight="1">
      <c r="A241" s="42" t="inlineStr">
        <is>
          <t>IF(F241="","",ROW()-3)</t>
        </is>
      </c>
      <c r="B241" s="65" t="inlineStr">
        <is>
          <t>AF2-LLL-ALL</t>
        </is>
      </c>
      <c r="C241" s="65" t="inlineStr">
        <is>
          <t>EFSP-AF2 LLL supply and delivery (50 units)</t>
        </is>
      </c>
      <c r="D241" s="65" t="inlineStr">
        <is>
          <t>33 of 50</t>
        </is>
      </c>
      <c r="E241" s="44" t="inlineStr">
        <is>
          <t>AF2-LLL-N-033</t>
        </is>
      </c>
      <c r="F241" s="44" t="inlineStr">
        <is>
          <t>Patab irrigation scheme</t>
        </is>
      </c>
      <c r="G241" s="44" t="inlineStr">
        <is>
          <t>Laser Land Leveler (LLL)</t>
        </is>
      </c>
      <c r="H241" s="44" t="inlineStr">
        <is>
          <t>LLL unit</t>
        </is>
      </c>
      <c r="I241" s="44" t="inlineStr">
        <is>
          <t>Emergency Food Security Project (EFSP) – WBK/AF-2</t>
        </is>
      </c>
      <c r="J241" s="44" t="inlineStr">
        <is>
          <t>South / Kandahar</t>
        </is>
      </c>
      <c r="K241" s="44" t="inlineStr">
        <is>
          <t>Urozgan</t>
        </is>
      </c>
      <c r="L241" s="44" t="inlineStr">
        <is>
          <t>Khas Urozgan</t>
        </is>
      </c>
      <c r="M241" s="44" t="inlineStr">
        <is>
          <t>1 unit(s)</t>
        </is>
      </c>
      <c r="N241" s="44" t="inlineStr">
        <is>
          <t>World Bank (WBK/AF-2)</t>
        </is>
      </c>
      <c r="O241" s="44" t="inlineStr">
        <is>
          <t>Not awarded</t>
        </is>
      </c>
      <c r="P241" s="44" t="inlineStr">
        <is>
          <t>6. Supply and delivery of LLL</t>
        </is>
      </c>
      <c r="Q241" s="44" t="inlineStr"/>
      <c r="R241" s="44" t="inlineStr"/>
      <c r="S241" s="45" t="n"/>
      <c r="T241" s="46" t="inlineStr">
        <is>
          <t>IF(AQ241="","",AQ241)</t>
        </is>
      </c>
      <c r="U241" s="47" t="n">
        <v>46325</v>
      </c>
      <c r="V241" s="48" t="n"/>
      <c r="W241" s="47" t="n">
        <v>46418</v>
      </c>
      <c r="X241" s="46" t="inlineStr">
        <is>
          <t>IF(W241&lt;&gt;"",W241,IF(OR(T241="",V241=""),"",EDATE(T241,V241)))</t>
        </is>
      </c>
      <c r="Y241" s="47" t="n"/>
      <c r="Z241" s="48" t="n"/>
      <c r="AA241" s="44" t="inlineStr">
        <is>
          <t>Under Awarding</t>
        </is>
      </c>
      <c r="AB241" s="44" t="inlineStr">
        <is>
          <t>The Procurement process is initiated in April and PO will be issued late October 2026. and delivery will be done by End of December 2026 and onward in January 2027 it is planned to be distributed to the selected beneficiaries.</t>
        </is>
      </c>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outlineLevel="1" ht="18" customHeight="1">
      <c r="A242" s="42" t="inlineStr">
        <is>
          <t>IF(F242="","",ROW()-3)</t>
        </is>
      </c>
      <c r="B242" s="65" t="inlineStr">
        <is>
          <t>AF2-LLL-ALL</t>
        </is>
      </c>
      <c r="C242" s="65" t="inlineStr">
        <is>
          <t>EFSP-AF2 LLL supply and delivery (50 units)</t>
        </is>
      </c>
      <c r="D242" s="65" t="inlineStr">
        <is>
          <t>34 of 50</t>
        </is>
      </c>
      <c r="E242" s="52" t="inlineStr">
        <is>
          <t>AF2-LLL-N-034</t>
        </is>
      </c>
      <c r="F242" s="52" t="inlineStr">
        <is>
          <t>Patikharkay irrigation scheme</t>
        </is>
      </c>
      <c r="G242" s="52" t="inlineStr">
        <is>
          <t>Laser Land Leveler (LLL)</t>
        </is>
      </c>
      <c r="H242" s="52" t="inlineStr">
        <is>
          <t>LLL unit</t>
        </is>
      </c>
      <c r="I242" s="52" t="inlineStr">
        <is>
          <t>Emergency Food Security Project (EFSP) – WBK/AF-2</t>
        </is>
      </c>
      <c r="J242" s="52" t="inlineStr">
        <is>
          <t>East / Jalalabad</t>
        </is>
      </c>
      <c r="K242" s="52" t="inlineStr">
        <is>
          <t>Nangarhar</t>
        </is>
      </c>
      <c r="L242" s="52" t="inlineStr">
        <is>
          <t>Khogiani</t>
        </is>
      </c>
      <c r="M242" s="52" t="inlineStr">
        <is>
          <t>1 unit(s)</t>
        </is>
      </c>
      <c r="N242" s="52" t="inlineStr">
        <is>
          <t>World Bank (WBK/AF-2)</t>
        </is>
      </c>
      <c r="O242" s="52" t="inlineStr">
        <is>
          <t>Not awarded</t>
        </is>
      </c>
      <c r="P242" s="52" t="inlineStr">
        <is>
          <t>6. Supply and delivery of LLL</t>
        </is>
      </c>
      <c r="Q242" s="52" t="inlineStr"/>
      <c r="R242" s="52" t="inlineStr"/>
      <c r="S242" s="53" t="n"/>
      <c r="T242" s="46" t="inlineStr">
        <is>
          <t>IF(AQ242="","",AQ242)</t>
        </is>
      </c>
      <c r="U242" s="54" t="n">
        <v>46325</v>
      </c>
      <c r="V242" s="55" t="n"/>
      <c r="W242" s="54" t="n">
        <v>46418</v>
      </c>
      <c r="X242" s="46" t="inlineStr">
        <is>
          <t>IF(W242&lt;&gt;"",W242,IF(OR(T242="",V242=""),"",EDATE(T242,V242)))</t>
        </is>
      </c>
      <c r="Y242" s="54" t="n"/>
      <c r="Z242" s="55" t="n"/>
      <c r="AA242" s="52" t="inlineStr">
        <is>
          <t>Under Awarding</t>
        </is>
      </c>
      <c r="AB242" s="52" t="inlineStr">
        <is>
          <t>The Procurement process is initiated in April and PO will be issued late October 2026. and delivery will be done by End of December 2026 and onward in January 2027 it is planned to be distributed to the selected beneficiaries.</t>
        </is>
      </c>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outlineLevel="1" ht="18" customHeight="1">
      <c r="A243" s="42" t="inlineStr">
        <is>
          <t>IF(F243="","",ROW()-3)</t>
        </is>
      </c>
      <c r="B243" s="65" t="inlineStr">
        <is>
          <t>AF2-LLL-ALL</t>
        </is>
      </c>
      <c r="C243" s="65" t="inlineStr">
        <is>
          <t>EFSP-AF2 LLL supply and delivery (50 units)</t>
        </is>
      </c>
      <c r="D243" s="65" t="inlineStr">
        <is>
          <t>35 of 50</t>
        </is>
      </c>
      <c r="E243" s="44" t="inlineStr">
        <is>
          <t>AF2-LLL-N-035</t>
        </is>
      </c>
      <c r="F243" s="44" t="inlineStr">
        <is>
          <t>Qala-E-Wazir Irrigation Scheme</t>
        </is>
      </c>
      <c r="G243" s="44" t="inlineStr">
        <is>
          <t>Laser Land Leveler (LLL)</t>
        </is>
      </c>
      <c r="H243" s="44" t="inlineStr">
        <is>
          <t>LLL unit</t>
        </is>
      </c>
      <c r="I243" s="44" t="inlineStr">
        <is>
          <t>Emergency Food Security Project (EFSP) – WBK/AF-2</t>
        </is>
      </c>
      <c r="J243" s="44" t="inlineStr">
        <is>
          <t>Southeast / Gardez</t>
        </is>
      </c>
      <c r="K243" s="44" t="inlineStr">
        <is>
          <t>Logar</t>
        </is>
      </c>
      <c r="L243" s="44" t="inlineStr">
        <is>
          <t>Qala-E-Wazir</t>
        </is>
      </c>
      <c r="M243" s="44" t="inlineStr">
        <is>
          <t>1 unit(s)</t>
        </is>
      </c>
      <c r="N243" s="44" t="inlineStr">
        <is>
          <t>World Bank (WBK/AF-2)</t>
        </is>
      </c>
      <c r="O243" s="44" t="inlineStr">
        <is>
          <t>Not awarded</t>
        </is>
      </c>
      <c r="P243" s="44" t="inlineStr">
        <is>
          <t>6. Supply and delivery of LLL</t>
        </is>
      </c>
      <c r="Q243" s="44" t="inlineStr"/>
      <c r="R243" s="44" t="inlineStr"/>
      <c r="S243" s="45" t="n"/>
      <c r="T243" s="46" t="inlineStr">
        <is>
          <t>IF(AQ243="","",AQ243)</t>
        </is>
      </c>
      <c r="U243" s="47" t="n">
        <v>46325</v>
      </c>
      <c r="V243" s="48" t="n"/>
      <c r="W243" s="47" t="n">
        <v>46418</v>
      </c>
      <c r="X243" s="46" t="inlineStr">
        <is>
          <t>IF(W243&lt;&gt;"",W243,IF(OR(T243="",V243=""),"",EDATE(T243,V243)))</t>
        </is>
      </c>
      <c r="Y243" s="47" t="n"/>
      <c r="Z243" s="48" t="n"/>
      <c r="AA243" s="44" t="inlineStr">
        <is>
          <t>Under Awarding</t>
        </is>
      </c>
      <c r="AB243" s="44" t="inlineStr">
        <is>
          <t>The Procurement process is initiated in April and PO will be issued late October 2026. and delivery will be done by End of December 2026 and onward in January 2027 it is planned to be distributed to the selected beneficiaries.</t>
        </is>
      </c>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outlineLevel="1" ht="18" customHeight="1">
      <c r="A244" s="42" t="inlineStr">
        <is>
          <t>IF(F244="","",ROW()-3)</t>
        </is>
      </c>
      <c r="B244" s="65" t="inlineStr">
        <is>
          <t>AF2-LLL-ALL</t>
        </is>
      </c>
      <c r="C244" s="65" t="inlineStr">
        <is>
          <t>EFSP-AF2 LLL supply and delivery (50 units)</t>
        </is>
      </c>
      <c r="D244" s="65" t="inlineStr">
        <is>
          <t>36 of 50</t>
        </is>
      </c>
      <c r="E244" s="52" t="inlineStr">
        <is>
          <t>AF2-LLL-N-036</t>
        </is>
      </c>
      <c r="F244" s="52" t="inlineStr">
        <is>
          <t>Qala-e-Ahmad Big Canal</t>
        </is>
      </c>
      <c r="G244" s="52" t="inlineStr">
        <is>
          <t>Laser Land Leveler (LLL)</t>
        </is>
      </c>
      <c r="H244" s="52" t="inlineStr">
        <is>
          <t>LLL unit</t>
        </is>
      </c>
      <c r="I244" s="52" t="inlineStr">
        <is>
          <t>Emergency Food Security Project (EFSP) – WBK/AF-2</t>
        </is>
      </c>
      <c r="J244" s="52" t="inlineStr">
        <is>
          <t>Central / Kabul</t>
        </is>
      </c>
      <c r="K244" s="52" t="inlineStr">
        <is>
          <t>Kapisa</t>
        </is>
      </c>
      <c r="L244" s="52" t="inlineStr">
        <is>
          <t>Nijrab</t>
        </is>
      </c>
      <c r="M244" s="52" t="inlineStr">
        <is>
          <t>1 unit(s)</t>
        </is>
      </c>
      <c r="N244" s="52" t="inlineStr">
        <is>
          <t>World Bank (WBK/AF-2)</t>
        </is>
      </c>
      <c r="O244" s="52" t="inlineStr">
        <is>
          <t>Not awarded</t>
        </is>
      </c>
      <c r="P244" s="52" t="inlineStr">
        <is>
          <t>6. Supply and delivery of LLL</t>
        </is>
      </c>
      <c r="Q244" s="52" t="inlineStr"/>
      <c r="R244" s="52" t="inlineStr"/>
      <c r="S244" s="53" t="n"/>
      <c r="T244" s="46" t="inlineStr">
        <is>
          <t>IF(AQ244="","",AQ244)</t>
        </is>
      </c>
      <c r="U244" s="54" t="n">
        <v>46325</v>
      </c>
      <c r="V244" s="55" t="n"/>
      <c r="W244" s="54" t="n">
        <v>46418</v>
      </c>
      <c r="X244" s="46" t="inlineStr">
        <is>
          <t>IF(W244&lt;&gt;"",W244,IF(OR(T244="",V244=""),"",EDATE(T244,V244)))</t>
        </is>
      </c>
      <c r="Y244" s="54" t="n"/>
      <c r="Z244" s="55" t="n"/>
      <c r="AA244" s="52" t="inlineStr">
        <is>
          <t>Under Awarding</t>
        </is>
      </c>
      <c r="AB244" s="52" t="inlineStr">
        <is>
          <t>The Procurement process is initiated in April and PO will be issued late October 2026. and delivery will be done by End of December 2026 and onward in January 2027 it is planned to be distributed to the selected beneficiaries.</t>
        </is>
      </c>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outlineLevel="1" ht="18" customHeight="1">
      <c r="A245" s="42" t="inlineStr">
        <is>
          <t>IF(F245="","",ROW()-3)</t>
        </is>
      </c>
      <c r="B245" s="65" t="inlineStr">
        <is>
          <t>AF2-LLL-ALL</t>
        </is>
      </c>
      <c r="C245" s="65" t="inlineStr">
        <is>
          <t>EFSP-AF2 LLL supply and delivery (50 units)</t>
        </is>
      </c>
      <c r="D245" s="65" t="inlineStr">
        <is>
          <t>37 of 50</t>
        </is>
      </c>
      <c r="E245" s="44" t="inlineStr">
        <is>
          <t>AF2-LLL-N-037</t>
        </is>
      </c>
      <c r="F245" s="44" t="inlineStr">
        <is>
          <t>Qashqasai Canal Irrigation scheme</t>
        </is>
      </c>
      <c r="G245" s="44" t="inlineStr">
        <is>
          <t>Laser Land Leveler (LLL)</t>
        </is>
      </c>
      <c r="H245" s="44" t="inlineStr">
        <is>
          <t>LLL unit</t>
        </is>
      </c>
      <c r="I245" s="44" t="inlineStr">
        <is>
          <t>Emergency Food Security Project (EFSP) – WBK/AF-2</t>
        </is>
      </c>
      <c r="J245" s="44" t="inlineStr">
        <is>
          <t>North / Mazar</t>
        </is>
      </c>
      <c r="K245" s="44" t="inlineStr">
        <is>
          <t>Faryab</t>
        </is>
      </c>
      <c r="L245" s="44" t="inlineStr">
        <is>
          <t>Qaisar</t>
        </is>
      </c>
      <c r="M245" s="44" t="inlineStr">
        <is>
          <t>1 unit(s)</t>
        </is>
      </c>
      <c r="N245" s="44" t="inlineStr">
        <is>
          <t>World Bank (WBK/AF-2)</t>
        </is>
      </c>
      <c r="O245" s="44" t="inlineStr">
        <is>
          <t>Not awarded</t>
        </is>
      </c>
      <c r="P245" s="44" t="inlineStr">
        <is>
          <t>6. Supply and delivery of LLL</t>
        </is>
      </c>
      <c r="Q245" s="44" t="inlineStr"/>
      <c r="R245" s="44" t="inlineStr"/>
      <c r="S245" s="45" t="n"/>
      <c r="T245" s="46" t="inlineStr">
        <is>
          <t>IF(AQ245="","",AQ245)</t>
        </is>
      </c>
      <c r="U245" s="47" t="n">
        <v>46325</v>
      </c>
      <c r="V245" s="48" t="n"/>
      <c r="W245" s="47" t="n">
        <v>46418</v>
      </c>
      <c r="X245" s="46" t="inlineStr">
        <is>
          <t>IF(W245&lt;&gt;"",W245,IF(OR(T245="",V245=""),"",EDATE(T245,V245)))</t>
        </is>
      </c>
      <c r="Y245" s="47" t="n"/>
      <c r="Z245" s="48" t="n"/>
      <c r="AA245" s="44" t="inlineStr">
        <is>
          <t>Under Awarding</t>
        </is>
      </c>
      <c r="AB245" s="44" t="inlineStr">
        <is>
          <t>The Procurement process is initiated in April and PO will be issued late October 2026. and delivery will be done by End of December 2026 and onward in January 2027 it is planned to be distributed to the selected beneficiaries.</t>
        </is>
      </c>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outlineLevel="1" ht="18" customHeight="1">
      <c r="A246" s="42" t="inlineStr">
        <is>
          <t>IF(F246="","",ROW()-3)</t>
        </is>
      </c>
      <c r="B246" s="65" t="inlineStr">
        <is>
          <t>AF2-LLL-ALL</t>
        </is>
      </c>
      <c r="C246" s="65" t="inlineStr">
        <is>
          <t>EFSP-AF2 LLL supply and delivery (50 units)</t>
        </is>
      </c>
      <c r="D246" s="65" t="inlineStr">
        <is>
          <t>38 of 50</t>
        </is>
      </c>
      <c r="E246" s="52" t="inlineStr">
        <is>
          <t>AF2-LLL-N-038</t>
        </is>
      </c>
      <c r="F246" s="52" t="inlineStr">
        <is>
          <t>Sang Bast Irrigation Scheme</t>
        </is>
      </c>
      <c r="G246" s="52" t="inlineStr">
        <is>
          <t>Laser Land Leveler (LLL)</t>
        </is>
      </c>
      <c r="H246" s="52" t="inlineStr">
        <is>
          <t>LLL unit</t>
        </is>
      </c>
      <c r="I246" s="52" t="inlineStr">
        <is>
          <t>Emergency Food Security Project (EFSP) – WBK/AF-2</t>
        </is>
      </c>
      <c r="J246" s="52" t="inlineStr">
        <is>
          <t>West / Herat</t>
        </is>
      </c>
      <c r="K246" s="52" t="inlineStr">
        <is>
          <t>Herat</t>
        </is>
      </c>
      <c r="L246" s="52" t="inlineStr">
        <is>
          <t>Zinda Jan</t>
        </is>
      </c>
      <c r="M246" s="52" t="inlineStr">
        <is>
          <t>1 unit(s)</t>
        </is>
      </c>
      <c r="N246" s="52" t="inlineStr">
        <is>
          <t>World Bank (WBK/AF-2)</t>
        </is>
      </c>
      <c r="O246" s="52" t="inlineStr">
        <is>
          <t>Not awarded</t>
        </is>
      </c>
      <c r="P246" s="52" t="inlineStr">
        <is>
          <t>6. Supply and delivery of LLL</t>
        </is>
      </c>
      <c r="Q246" s="52" t="inlineStr"/>
      <c r="R246" s="52" t="inlineStr"/>
      <c r="S246" s="53" t="n"/>
      <c r="T246" s="46" t="inlineStr">
        <is>
          <t>IF(AQ246="","",AQ246)</t>
        </is>
      </c>
      <c r="U246" s="54" t="n">
        <v>46325</v>
      </c>
      <c r="V246" s="55" t="n"/>
      <c r="W246" s="54" t="n">
        <v>46418</v>
      </c>
      <c r="X246" s="46" t="inlineStr">
        <is>
          <t>IF(W246&lt;&gt;"",W246,IF(OR(T246="",V246=""),"",EDATE(T246,V246)))</t>
        </is>
      </c>
      <c r="Y246" s="54" t="n"/>
      <c r="Z246" s="55" t="n"/>
      <c r="AA246" s="52" t="inlineStr">
        <is>
          <t>Under Awarding</t>
        </is>
      </c>
      <c r="AB246" s="52" t="inlineStr">
        <is>
          <t>The Procurement process is initiated in April and PO will be issued late October 2026. and delivery will be done by End of December 2026 and onward in January 2027 it is planned to be distributed to the selected beneficiaries.</t>
        </is>
      </c>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outlineLevel="1" ht="18" customHeight="1">
      <c r="A247" s="42" t="inlineStr">
        <is>
          <t>IF(F247="","",ROW()-3)</t>
        </is>
      </c>
      <c r="B247" s="65" t="inlineStr">
        <is>
          <t>AF2-LLL-ALL</t>
        </is>
      </c>
      <c r="C247" s="65" t="inlineStr">
        <is>
          <t>EFSP-AF2 LLL supply and delivery (50 units)</t>
        </is>
      </c>
      <c r="D247" s="65" t="inlineStr">
        <is>
          <t>39 of 50</t>
        </is>
      </c>
      <c r="E247" s="44" t="inlineStr">
        <is>
          <t>AF2-LLL-N-039</t>
        </is>
      </c>
      <c r="F247" s="44" t="inlineStr">
        <is>
          <t>Sardar Ha IS</t>
        </is>
      </c>
      <c r="G247" s="44" t="inlineStr">
        <is>
          <t>Laser Land Leveler (LLL)</t>
        </is>
      </c>
      <c r="H247" s="44" t="inlineStr">
        <is>
          <t>LLL unit</t>
        </is>
      </c>
      <c r="I247" s="44" t="inlineStr">
        <is>
          <t>Emergency Food Security Project (EFSP) – WBK/AF-2</t>
        </is>
      </c>
      <c r="J247" s="44" t="inlineStr">
        <is>
          <t>Northeast / Kunduz</t>
        </is>
      </c>
      <c r="K247" s="44" t="inlineStr">
        <is>
          <t>Baghlan</t>
        </is>
      </c>
      <c r="L247" s="44" t="inlineStr">
        <is>
          <t>Deh Sala</t>
        </is>
      </c>
      <c r="M247" s="44" t="inlineStr">
        <is>
          <t>1 unit(s)</t>
        </is>
      </c>
      <c r="N247" s="44" t="inlineStr">
        <is>
          <t>World Bank (WBK/AF-2)</t>
        </is>
      </c>
      <c r="O247" s="44" t="inlineStr">
        <is>
          <t>Not awarded</t>
        </is>
      </c>
      <c r="P247" s="44" t="inlineStr">
        <is>
          <t>6. Supply and delivery of LLL</t>
        </is>
      </c>
      <c r="Q247" s="44" t="inlineStr"/>
      <c r="R247" s="44" t="inlineStr"/>
      <c r="S247" s="45" t="n"/>
      <c r="T247" s="46" t="inlineStr">
        <is>
          <t>IF(AQ247="","",AQ247)</t>
        </is>
      </c>
      <c r="U247" s="47" t="n">
        <v>46325</v>
      </c>
      <c r="V247" s="48" t="n"/>
      <c r="W247" s="47" t="n">
        <v>46418</v>
      </c>
      <c r="X247" s="46" t="inlineStr">
        <is>
          <t>IF(W247&lt;&gt;"",W247,IF(OR(T247="",V247=""),"",EDATE(T247,V247)))</t>
        </is>
      </c>
      <c r="Y247" s="47" t="n"/>
      <c r="Z247" s="48" t="n"/>
      <c r="AA247" s="44" t="inlineStr">
        <is>
          <t>Under Awarding</t>
        </is>
      </c>
      <c r="AB247" s="44" t="inlineStr">
        <is>
          <t>The Procurement process is initiated in April and PO will be issued late October 2026. and delivery will be done by End of December 2026 and onward in January 2027 it is planned to be distributed to the selected beneficiaries.</t>
        </is>
      </c>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outlineLevel="1" ht="18" customHeight="1">
      <c r="A248" s="42" t="inlineStr">
        <is>
          <t>IF(F248="","",ROW()-3)</t>
        </is>
      </c>
      <c r="B248" s="65" t="inlineStr">
        <is>
          <t>AF2-LLL-ALL</t>
        </is>
      </c>
      <c r="C248" s="65" t="inlineStr">
        <is>
          <t>EFSP-AF2 LLL supply and delivery (50 units)</t>
        </is>
      </c>
      <c r="D248" s="65" t="inlineStr">
        <is>
          <t>40 of 50</t>
        </is>
      </c>
      <c r="E248" s="52" t="inlineStr">
        <is>
          <t>AF2-LLL-N-040</t>
        </is>
      </c>
      <c r="F248" s="52" t="inlineStr">
        <is>
          <t>Sarkay Lazhey irrigation scheme</t>
        </is>
      </c>
      <c r="G248" s="52" t="inlineStr">
        <is>
          <t>Laser Land Leveler (LLL)</t>
        </is>
      </c>
      <c r="H248" s="52" t="inlineStr">
        <is>
          <t>LLL unit</t>
        </is>
      </c>
      <c r="I248" s="52" t="inlineStr">
        <is>
          <t>Emergency Food Security Project (EFSP) – WBK/AF-2</t>
        </is>
      </c>
      <c r="J248" s="52" t="inlineStr">
        <is>
          <t>South / Kandahar</t>
        </is>
      </c>
      <c r="K248" s="52" t="inlineStr">
        <is>
          <t>Kandahar</t>
        </is>
      </c>
      <c r="L248" s="52" t="inlineStr">
        <is>
          <t>Spin Boldak</t>
        </is>
      </c>
      <c r="M248" s="52" t="inlineStr">
        <is>
          <t>1 unit(s)</t>
        </is>
      </c>
      <c r="N248" s="52" t="inlineStr">
        <is>
          <t>World Bank (WBK/AF-2)</t>
        </is>
      </c>
      <c r="O248" s="52" t="inlineStr">
        <is>
          <t>Not awarded</t>
        </is>
      </c>
      <c r="P248" s="52" t="inlineStr">
        <is>
          <t>6. Supply and delivery of LLL</t>
        </is>
      </c>
      <c r="Q248" s="52" t="inlineStr"/>
      <c r="R248" s="52" t="inlineStr"/>
      <c r="S248" s="53" t="n"/>
      <c r="T248" s="46" t="inlineStr">
        <is>
          <t>IF(AQ248="","",AQ248)</t>
        </is>
      </c>
      <c r="U248" s="54" t="n">
        <v>46325</v>
      </c>
      <c r="V248" s="55" t="n"/>
      <c r="W248" s="54" t="n">
        <v>46418</v>
      </c>
      <c r="X248" s="46" t="inlineStr">
        <is>
          <t>IF(W248&lt;&gt;"",W248,IF(OR(T248="",V248=""),"",EDATE(T248,V248)))</t>
        </is>
      </c>
      <c r="Y248" s="54" t="n"/>
      <c r="Z248" s="55" t="n"/>
      <c r="AA248" s="52" t="inlineStr">
        <is>
          <t>Under Awarding</t>
        </is>
      </c>
      <c r="AB248" s="52" t="inlineStr">
        <is>
          <t>The Procurement process is initiated in April and PO will be issued late October 2026. and delivery will be done by End of December 2026 and onward in January 2027 it is planned to be distributed to the selected beneficiaries.</t>
        </is>
      </c>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outlineLevel="1" ht="18" customHeight="1">
      <c r="A249" s="42" t="inlineStr">
        <is>
          <t>IF(F249="","",ROW()-3)</t>
        </is>
      </c>
      <c r="B249" s="65" t="inlineStr">
        <is>
          <t>AF2-LLL-ALL</t>
        </is>
      </c>
      <c r="C249" s="65" t="inlineStr">
        <is>
          <t>EFSP-AF2 LLL supply and delivery (50 units)</t>
        </is>
      </c>
      <c r="D249" s="65" t="inlineStr">
        <is>
          <t>41 of 50</t>
        </is>
      </c>
      <c r="E249" s="44" t="inlineStr">
        <is>
          <t>AF2-LLL-N-041</t>
        </is>
      </c>
      <c r="F249" s="44" t="inlineStr">
        <is>
          <t>Shaflan Irrigation Canal</t>
        </is>
      </c>
      <c r="G249" s="44" t="inlineStr">
        <is>
          <t>Laser Land Leveler (LLL)</t>
        </is>
      </c>
      <c r="H249" s="44" t="inlineStr">
        <is>
          <t>LLL unit</t>
        </is>
      </c>
      <c r="I249" s="44" t="inlineStr">
        <is>
          <t>Emergency Food Security Project (EFSP) – WBK/AF-2</t>
        </is>
      </c>
      <c r="J249" s="44" t="inlineStr">
        <is>
          <t>West / Herat</t>
        </is>
      </c>
      <c r="K249" s="44" t="inlineStr">
        <is>
          <t>Herat</t>
        </is>
      </c>
      <c r="L249" s="44" t="inlineStr">
        <is>
          <t>Pashton Zarghon</t>
        </is>
      </c>
      <c r="M249" s="44" t="inlineStr">
        <is>
          <t>1 unit(s)</t>
        </is>
      </c>
      <c r="N249" s="44" t="inlineStr">
        <is>
          <t>World Bank (WBK/AF-2)</t>
        </is>
      </c>
      <c r="O249" s="44" t="inlineStr">
        <is>
          <t>Not awarded</t>
        </is>
      </c>
      <c r="P249" s="44" t="inlineStr">
        <is>
          <t>6. Supply and delivery of LLL</t>
        </is>
      </c>
      <c r="Q249" s="44" t="inlineStr"/>
      <c r="R249" s="44" t="inlineStr"/>
      <c r="S249" s="45" t="n"/>
      <c r="T249" s="46" t="inlineStr">
        <is>
          <t>IF(AQ249="","",AQ249)</t>
        </is>
      </c>
      <c r="U249" s="47" t="n">
        <v>46325</v>
      </c>
      <c r="V249" s="48" t="n"/>
      <c r="W249" s="47" t="n">
        <v>46418</v>
      </c>
      <c r="X249" s="46" t="inlineStr">
        <is>
          <t>IF(W249&lt;&gt;"",W249,IF(OR(T249="",V249=""),"",EDATE(T249,V249)))</t>
        </is>
      </c>
      <c r="Y249" s="47" t="n"/>
      <c r="Z249" s="48" t="n"/>
      <c r="AA249" s="44" t="inlineStr">
        <is>
          <t>Under Awarding</t>
        </is>
      </c>
      <c r="AB249" s="44" t="inlineStr">
        <is>
          <t>The Procurement process is initiated in April and PO will be issued late October 2026. and delivery will be done by End of December 2026 and onward in January 2027 it is planned to be distributed to the selected beneficiaries.</t>
        </is>
      </c>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outlineLevel="1" ht="18" customHeight="1">
      <c r="A250" s="42" t="inlineStr">
        <is>
          <t>IF(F250="","",ROW()-3)</t>
        </is>
      </c>
      <c r="B250" s="65" t="inlineStr">
        <is>
          <t>AF2-LLL-ALL</t>
        </is>
      </c>
      <c r="C250" s="65" t="inlineStr">
        <is>
          <t>EFSP-AF2 LLL supply and delivery (50 units)</t>
        </is>
      </c>
      <c r="D250" s="65" t="inlineStr">
        <is>
          <t>42 of 50</t>
        </is>
      </c>
      <c r="E250" s="52" t="inlineStr">
        <is>
          <t>AF2-LLL-N-042</t>
        </is>
      </c>
      <c r="F250" s="52" t="inlineStr">
        <is>
          <t>Shahidan, Dasht-e Lajam IS</t>
        </is>
      </c>
      <c r="G250" s="52" t="inlineStr">
        <is>
          <t>Laser Land Leveler (LLL)</t>
        </is>
      </c>
      <c r="H250" s="52" t="inlineStr">
        <is>
          <t>LLL unit</t>
        </is>
      </c>
      <c r="I250" s="52" t="inlineStr">
        <is>
          <t>Emergency Food Security Project (EFSP) – WBK/AF-2</t>
        </is>
      </c>
      <c r="J250" s="52" t="inlineStr">
        <is>
          <t>Northeast / Kunduz</t>
        </is>
      </c>
      <c r="K250" s="52" t="inlineStr">
        <is>
          <t>Baghlan</t>
        </is>
      </c>
      <c r="L250" s="52" t="inlineStr">
        <is>
          <t>Tala Wa Barfak</t>
        </is>
      </c>
      <c r="M250" s="52" t="inlineStr">
        <is>
          <t>1 unit(s)</t>
        </is>
      </c>
      <c r="N250" s="52" t="inlineStr">
        <is>
          <t>World Bank (WBK/AF-2)</t>
        </is>
      </c>
      <c r="O250" s="52" t="inlineStr">
        <is>
          <t>Not awarded</t>
        </is>
      </c>
      <c r="P250" s="52" t="inlineStr">
        <is>
          <t>6. Supply and delivery of LLL</t>
        </is>
      </c>
      <c r="Q250" s="52" t="inlineStr"/>
      <c r="R250" s="52" t="inlineStr"/>
      <c r="S250" s="53" t="n"/>
      <c r="T250" s="46" t="inlineStr">
        <is>
          <t>IF(AQ250="","",AQ250)</t>
        </is>
      </c>
      <c r="U250" s="54" t="n">
        <v>46325</v>
      </c>
      <c r="V250" s="55" t="n"/>
      <c r="W250" s="54" t="n">
        <v>46418</v>
      </c>
      <c r="X250" s="46" t="inlineStr">
        <is>
          <t>IF(W250&lt;&gt;"",W250,IF(OR(T250="",V250=""),"",EDATE(T250,V250)))</t>
        </is>
      </c>
      <c r="Y250" s="54" t="n"/>
      <c r="Z250" s="55" t="n"/>
      <c r="AA250" s="52" t="inlineStr">
        <is>
          <t>Under Awarding</t>
        </is>
      </c>
      <c r="AB250" s="52" t="inlineStr">
        <is>
          <t>The Procurement process is initiated in April and PO will be issued late October 2026. and delivery will be done by End of December 2026 and onward in January 2027 it is planned to be distributed to the selected beneficiaries.</t>
        </is>
      </c>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outlineLevel="1" ht="18" customHeight="1">
      <c r="A251" s="42" t="inlineStr">
        <is>
          <t>IF(F251="","",ROW()-3)</t>
        </is>
      </c>
      <c r="B251" s="65" t="inlineStr">
        <is>
          <t>AF2-LLL-ALL</t>
        </is>
      </c>
      <c r="C251" s="65" t="inlineStr">
        <is>
          <t>EFSP-AF2 LLL supply and delivery (50 units)</t>
        </is>
      </c>
      <c r="D251" s="65" t="inlineStr">
        <is>
          <t>43 of 50</t>
        </is>
      </c>
      <c r="E251" s="44" t="inlineStr">
        <is>
          <t>AF2-LLL-N-043</t>
        </is>
      </c>
      <c r="F251" s="44" t="inlineStr">
        <is>
          <t>Shawarooz irrigation scheme</t>
        </is>
      </c>
      <c r="G251" s="44" t="inlineStr">
        <is>
          <t>Laser Land Leveler (LLL)</t>
        </is>
      </c>
      <c r="H251" s="44" t="inlineStr">
        <is>
          <t>LLL unit</t>
        </is>
      </c>
      <c r="I251" s="44" t="inlineStr">
        <is>
          <t>Emergency Food Security Project (EFSP) – WBK/AF-2</t>
        </is>
      </c>
      <c r="J251" s="44" t="inlineStr">
        <is>
          <t>South / Kandahar</t>
        </is>
      </c>
      <c r="K251" s="44" t="inlineStr">
        <is>
          <t>Zabul</t>
        </is>
      </c>
      <c r="L251" s="44" t="inlineStr">
        <is>
          <t>Khak e Afghan</t>
        </is>
      </c>
      <c r="M251" s="44" t="inlineStr">
        <is>
          <t>1 unit(s)</t>
        </is>
      </c>
      <c r="N251" s="44" t="inlineStr">
        <is>
          <t>World Bank (WBK/AF-2)</t>
        </is>
      </c>
      <c r="O251" s="44" t="inlineStr">
        <is>
          <t>Not awarded</t>
        </is>
      </c>
      <c r="P251" s="44" t="inlineStr">
        <is>
          <t>6. Supply and delivery of LLL</t>
        </is>
      </c>
      <c r="Q251" s="44" t="inlineStr"/>
      <c r="R251" s="44" t="inlineStr"/>
      <c r="S251" s="45" t="n"/>
      <c r="T251" s="46" t="inlineStr">
        <is>
          <t>IF(AQ251="","",AQ251)</t>
        </is>
      </c>
      <c r="U251" s="47" t="n">
        <v>46325</v>
      </c>
      <c r="V251" s="48" t="n"/>
      <c r="W251" s="47" t="n">
        <v>46418</v>
      </c>
      <c r="X251" s="46" t="inlineStr">
        <is>
          <t>IF(W251&lt;&gt;"",W251,IF(OR(T251="",V251=""),"",EDATE(T251,V251)))</t>
        </is>
      </c>
      <c r="Y251" s="47" t="n"/>
      <c r="Z251" s="48" t="n"/>
      <c r="AA251" s="44" t="inlineStr">
        <is>
          <t>Under Awarding</t>
        </is>
      </c>
      <c r="AB251" s="44" t="inlineStr">
        <is>
          <t>The Procurement process is initiated in April and PO will be issued late October 2026. and delivery will be done by End of December 2026 and onward in January 2027 it is planned to be distributed to the selected beneficiaries.</t>
        </is>
      </c>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outlineLevel="1" ht="18" customHeight="1">
      <c r="A252" s="42" t="inlineStr">
        <is>
          <t>IF(F252="","",ROW()-3)</t>
        </is>
      </c>
      <c r="B252" s="65" t="inlineStr">
        <is>
          <t>AF2-LLL-ALL</t>
        </is>
      </c>
      <c r="C252" s="65" t="inlineStr">
        <is>
          <t>EFSP-AF2 LLL supply and delivery (50 units)</t>
        </is>
      </c>
      <c r="D252" s="65" t="inlineStr">
        <is>
          <t>44 of 50</t>
        </is>
      </c>
      <c r="E252" s="52" t="inlineStr">
        <is>
          <t>AF2-LLL-N-044</t>
        </is>
      </c>
      <c r="F252" s="52" t="inlineStr">
        <is>
          <t>Shir Abad Irrigation Scheme</t>
        </is>
      </c>
      <c r="G252" s="52" t="inlineStr">
        <is>
          <t>Laser Land Leveler (LLL)</t>
        </is>
      </c>
      <c r="H252" s="52" t="inlineStr">
        <is>
          <t>LLL unit</t>
        </is>
      </c>
      <c r="I252" s="52" t="inlineStr">
        <is>
          <t>Emergency Food Security Project (EFSP) – WBK/AF-2</t>
        </is>
      </c>
      <c r="J252" s="52" t="inlineStr">
        <is>
          <t>Southeast / Gardez</t>
        </is>
      </c>
      <c r="K252" s="52" t="inlineStr">
        <is>
          <t>Ghazni</t>
        </is>
      </c>
      <c r="L252" s="52" t="inlineStr">
        <is>
          <t>Qarabagh</t>
        </is>
      </c>
      <c r="M252" s="52" t="inlineStr">
        <is>
          <t>1 unit(s)</t>
        </is>
      </c>
      <c r="N252" s="52" t="inlineStr">
        <is>
          <t>World Bank (WBK/AF-2)</t>
        </is>
      </c>
      <c r="O252" s="52" t="inlineStr">
        <is>
          <t>Not awarded</t>
        </is>
      </c>
      <c r="P252" s="52" t="inlineStr">
        <is>
          <t>6. Supply and delivery of LLL</t>
        </is>
      </c>
      <c r="Q252" s="52" t="inlineStr"/>
      <c r="R252" s="52" t="inlineStr"/>
      <c r="S252" s="53" t="n"/>
      <c r="T252" s="46" t="inlineStr">
        <is>
          <t>IF(AQ252="","",AQ252)</t>
        </is>
      </c>
      <c r="U252" s="54" t="n">
        <v>46325</v>
      </c>
      <c r="V252" s="55" t="n"/>
      <c r="W252" s="54" t="n">
        <v>46418</v>
      </c>
      <c r="X252" s="46" t="inlineStr">
        <is>
          <t>IF(W252&lt;&gt;"",W252,IF(OR(T252="",V252=""),"",EDATE(T252,V252)))</t>
        </is>
      </c>
      <c r="Y252" s="54" t="n"/>
      <c r="Z252" s="55" t="n"/>
      <c r="AA252" s="52" t="inlineStr">
        <is>
          <t>Under Awarding</t>
        </is>
      </c>
      <c r="AB252" s="52" t="inlineStr">
        <is>
          <t>The Procurement process is initiated in April and PO will be issued late October 2026. and delivery will be done by End of December 2026 and onward in January 2027 it is planned to be distributed to the selected beneficiaries.</t>
        </is>
      </c>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outlineLevel="1" ht="18" customHeight="1">
      <c r="A253" s="42" t="inlineStr">
        <is>
          <t>IF(F253="","",ROW()-3)</t>
        </is>
      </c>
      <c r="B253" s="65" t="inlineStr">
        <is>
          <t>AF2-LLL-ALL</t>
        </is>
      </c>
      <c r="C253" s="65" t="inlineStr">
        <is>
          <t>EFSP-AF2 LLL supply and delivery (50 units)</t>
        </is>
      </c>
      <c r="D253" s="65" t="inlineStr">
        <is>
          <t>45 of 50</t>
        </is>
      </c>
      <c r="E253" s="44" t="inlineStr">
        <is>
          <t>AF2-LLL-N-045</t>
        </is>
      </c>
      <c r="F253" s="44" t="inlineStr">
        <is>
          <t>Teshkhan Irrigation Scheme</t>
        </is>
      </c>
      <c r="G253" s="44" t="inlineStr">
        <is>
          <t>Laser Land Leveler (LLL)</t>
        </is>
      </c>
      <c r="H253" s="44" t="inlineStr">
        <is>
          <t>LLL unit</t>
        </is>
      </c>
      <c r="I253" s="44" t="inlineStr">
        <is>
          <t>Emergency Food Security Project (EFSP) – WBK/AF-2</t>
        </is>
      </c>
      <c r="J253" s="44" t="inlineStr">
        <is>
          <t>Northeast / Kunduz</t>
        </is>
      </c>
      <c r="K253" s="44" t="inlineStr">
        <is>
          <t>Badakhshan</t>
        </is>
      </c>
      <c r="L253" s="44" t="inlineStr">
        <is>
          <t>Ishkashim</t>
        </is>
      </c>
      <c r="M253" s="44" t="inlineStr">
        <is>
          <t>1 unit(s)</t>
        </is>
      </c>
      <c r="N253" s="44" t="inlineStr">
        <is>
          <t>World Bank (WBK/AF-2)</t>
        </is>
      </c>
      <c r="O253" s="44" t="inlineStr">
        <is>
          <t>Not awarded</t>
        </is>
      </c>
      <c r="P253" s="44" t="inlineStr">
        <is>
          <t>6. Supply and delivery of LLL</t>
        </is>
      </c>
      <c r="Q253" s="44" t="inlineStr"/>
      <c r="R253" s="44" t="inlineStr"/>
      <c r="S253" s="45" t="n"/>
      <c r="T253" s="46" t="inlineStr">
        <is>
          <t>IF(AQ253="","",AQ253)</t>
        </is>
      </c>
      <c r="U253" s="47" t="n">
        <v>46325</v>
      </c>
      <c r="V253" s="48" t="n"/>
      <c r="W253" s="47" t="n">
        <v>46418</v>
      </c>
      <c r="X253" s="46" t="inlineStr">
        <is>
          <t>IF(W253&lt;&gt;"",W253,IF(OR(T253="",V253=""),"",EDATE(T253,V253)))</t>
        </is>
      </c>
      <c r="Y253" s="47" t="n"/>
      <c r="Z253" s="48" t="n"/>
      <c r="AA253" s="44" t="inlineStr">
        <is>
          <t>Under Awarding</t>
        </is>
      </c>
      <c r="AB253" s="44" t="inlineStr">
        <is>
          <t>The Procurement process is initiated in April and PO will be issued late October 2026. and delivery will be done by End of December 2026 and onward in January 2027 it is planned to be distributed to the selected beneficiaries.</t>
        </is>
      </c>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outlineLevel="1" ht="18" customHeight="1">
      <c r="A254" s="42" t="inlineStr">
        <is>
          <t>IF(F254="","",ROW()-3)</t>
        </is>
      </c>
      <c r="B254" s="65" t="inlineStr">
        <is>
          <t>AF2-LLL-ALL</t>
        </is>
      </c>
      <c r="C254" s="65" t="inlineStr">
        <is>
          <t>EFSP-AF2 LLL supply and delivery (50 units)</t>
        </is>
      </c>
      <c r="D254" s="65" t="inlineStr">
        <is>
          <t>46 of 50</t>
        </is>
      </c>
      <c r="E254" s="52" t="inlineStr">
        <is>
          <t>AF2-LLL-N-046</t>
        </is>
      </c>
      <c r="F254" s="52" t="inlineStr">
        <is>
          <t>Urdokas irrigation scheme</t>
        </is>
      </c>
      <c r="G254" s="52" t="inlineStr">
        <is>
          <t>Laser Land Leveler (LLL)</t>
        </is>
      </c>
      <c r="H254" s="52" t="inlineStr">
        <is>
          <t>LLL unit</t>
        </is>
      </c>
      <c r="I254" s="52" t="inlineStr">
        <is>
          <t>Emergency Food Security Project (EFSP) – WBK/AF-2</t>
        </is>
      </c>
      <c r="J254" s="52" t="inlineStr">
        <is>
          <t>South / Kandahar</t>
        </is>
      </c>
      <c r="K254" s="52" t="inlineStr">
        <is>
          <t>Kandahar</t>
        </is>
      </c>
      <c r="L254" s="52" t="inlineStr">
        <is>
          <t>Shawalikot</t>
        </is>
      </c>
      <c r="M254" s="52" t="inlineStr">
        <is>
          <t>1 unit(s)</t>
        </is>
      </c>
      <c r="N254" s="52" t="inlineStr">
        <is>
          <t>World Bank (WBK/AF-2)</t>
        </is>
      </c>
      <c r="O254" s="52" t="inlineStr">
        <is>
          <t>Not awarded</t>
        </is>
      </c>
      <c r="P254" s="52" t="inlineStr">
        <is>
          <t>6. Supply and delivery of LLL</t>
        </is>
      </c>
      <c r="Q254" s="52" t="inlineStr"/>
      <c r="R254" s="52" t="inlineStr"/>
      <c r="S254" s="53" t="n"/>
      <c r="T254" s="46" t="inlineStr">
        <is>
          <t>IF(AQ254="","",AQ254)</t>
        </is>
      </c>
      <c r="U254" s="54" t="n">
        <v>46325</v>
      </c>
      <c r="V254" s="55" t="n"/>
      <c r="W254" s="54" t="n">
        <v>46418</v>
      </c>
      <c r="X254" s="46" t="inlineStr">
        <is>
          <t>IF(W254&lt;&gt;"",W254,IF(OR(T254="",V254=""),"",EDATE(T254,V254)))</t>
        </is>
      </c>
      <c r="Y254" s="54" t="n"/>
      <c r="Z254" s="55" t="n"/>
      <c r="AA254" s="52" t="inlineStr">
        <is>
          <t>Under Awarding</t>
        </is>
      </c>
      <c r="AB254" s="52" t="inlineStr">
        <is>
          <t>The Procurement process is initiated in April and PO will be issued late October 2026. and delivery will be done by End of December 2026 and onward in January 2027 it is planned to be distributed to the selected beneficiaries.</t>
        </is>
      </c>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outlineLevel="1" ht="18" customHeight="1">
      <c r="A255" s="42" t="inlineStr">
        <is>
          <t>IF(F255="","",ROW()-3)</t>
        </is>
      </c>
      <c r="B255" s="65" t="inlineStr">
        <is>
          <t>AF2-LLL-ALL</t>
        </is>
      </c>
      <c r="C255" s="65" t="inlineStr">
        <is>
          <t>EFSP-AF2 LLL supply and delivery (50 units)</t>
        </is>
      </c>
      <c r="D255" s="65" t="inlineStr">
        <is>
          <t>47 of 50</t>
        </is>
      </c>
      <c r="E255" s="44" t="inlineStr">
        <is>
          <t>AF2-LLL-N-047</t>
        </is>
      </c>
      <c r="F255" s="44" t="inlineStr">
        <is>
          <t>Welgai Irrigation Scheme</t>
        </is>
      </c>
      <c r="G255" s="44" t="inlineStr">
        <is>
          <t>Laser Land Leveler (LLL)</t>
        </is>
      </c>
      <c r="H255" s="44" t="inlineStr">
        <is>
          <t>LLL unit</t>
        </is>
      </c>
      <c r="I255" s="44" t="inlineStr">
        <is>
          <t>Emergency Food Security Project (EFSP) – WBK/AF-2</t>
        </is>
      </c>
      <c r="J255" s="44" t="inlineStr">
        <is>
          <t>Southeast / Gardez</t>
        </is>
      </c>
      <c r="K255" s="44" t="inlineStr">
        <is>
          <t>Khost</t>
        </is>
      </c>
      <c r="L255" s="44" t="inlineStr">
        <is>
          <t>Matoon</t>
        </is>
      </c>
      <c r="M255" s="44" t="inlineStr">
        <is>
          <t>1 unit(s)</t>
        </is>
      </c>
      <c r="N255" s="44" t="inlineStr">
        <is>
          <t>World Bank (WBK/AF-2)</t>
        </is>
      </c>
      <c r="O255" s="44" t="inlineStr">
        <is>
          <t>Not awarded</t>
        </is>
      </c>
      <c r="P255" s="44" t="inlineStr">
        <is>
          <t>6. Supply and delivery of LLL</t>
        </is>
      </c>
      <c r="Q255" s="44" t="inlineStr"/>
      <c r="R255" s="44" t="inlineStr"/>
      <c r="S255" s="45" t="n"/>
      <c r="T255" s="46" t="inlineStr">
        <is>
          <t>IF(AQ255="","",AQ255)</t>
        </is>
      </c>
      <c r="U255" s="47" t="n">
        <v>46325</v>
      </c>
      <c r="V255" s="48" t="n"/>
      <c r="W255" s="47" t="n">
        <v>46418</v>
      </c>
      <c r="X255" s="46" t="inlineStr">
        <is>
          <t>IF(W255&lt;&gt;"",W255,IF(OR(T255="",V255=""),"",EDATE(T255,V255)))</t>
        </is>
      </c>
      <c r="Y255" s="47" t="n"/>
      <c r="Z255" s="48" t="n"/>
      <c r="AA255" s="44" t="inlineStr">
        <is>
          <t>Under Awarding</t>
        </is>
      </c>
      <c r="AB255" s="44" t="inlineStr">
        <is>
          <t>The Procurement process is initiated in April and PO will be issued late October 2026. and delivery will be done by End of December 2026 and onward in January 2027 it is planned to be distributed to the selected beneficiaries.</t>
        </is>
      </c>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outlineLevel="1" ht="18" customHeight="1">
      <c r="A256" s="42" t="inlineStr">
        <is>
          <t>IF(F256="","",ROW()-3)</t>
        </is>
      </c>
      <c r="B256" s="65" t="inlineStr">
        <is>
          <t>AF2-LLL-ALL</t>
        </is>
      </c>
      <c r="C256" s="65" t="inlineStr">
        <is>
          <t>EFSP-AF2 LLL supply and delivery (50 units)</t>
        </is>
      </c>
      <c r="D256" s="65" t="inlineStr">
        <is>
          <t>48 of 50</t>
        </is>
      </c>
      <c r="E256" s="52" t="inlineStr">
        <is>
          <t>AF2-LLL-N-048</t>
        </is>
      </c>
      <c r="F256" s="52" t="inlineStr">
        <is>
          <t>Yar Mohammad Khan Irrigation Scheme</t>
        </is>
      </c>
      <c r="G256" s="52" t="inlineStr">
        <is>
          <t>Laser Land Leveler (LLL)</t>
        </is>
      </c>
      <c r="H256" s="52" t="inlineStr">
        <is>
          <t>LLL unit</t>
        </is>
      </c>
      <c r="I256" s="52" t="inlineStr">
        <is>
          <t>Emergency Food Security Project (EFSP) – WBK/AF-2</t>
        </is>
      </c>
      <c r="J256" s="52" t="inlineStr">
        <is>
          <t>West / Herat</t>
        </is>
      </c>
      <c r="K256" s="52" t="inlineStr">
        <is>
          <t>Herat</t>
        </is>
      </c>
      <c r="L256" s="52" t="inlineStr">
        <is>
          <t>Obe</t>
        </is>
      </c>
      <c r="M256" s="52" t="inlineStr">
        <is>
          <t>1 unit(s)</t>
        </is>
      </c>
      <c r="N256" s="52" t="inlineStr">
        <is>
          <t>World Bank (WBK/AF-2)</t>
        </is>
      </c>
      <c r="O256" s="52" t="inlineStr">
        <is>
          <t>Not awarded</t>
        </is>
      </c>
      <c r="P256" s="52" t="inlineStr">
        <is>
          <t>6. Supply and delivery of LLL</t>
        </is>
      </c>
      <c r="Q256" s="52" t="inlineStr"/>
      <c r="R256" s="52" t="inlineStr"/>
      <c r="S256" s="53" t="n"/>
      <c r="T256" s="46" t="inlineStr">
        <is>
          <t>IF(AQ256="","",AQ256)</t>
        </is>
      </c>
      <c r="U256" s="54" t="n">
        <v>46325</v>
      </c>
      <c r="V256" s="55" t="n"/>
      <c r="W256" s="54" t="n">
        <v>46418</v>
      </c>
      <c r="X256" s="46" t="inlineStr">
        <is>
          <t>IF(W256&lt;&gt;"",W256,IF(OR(T256="",V256=""),"",EDATE(T256,V256)))</t>
        </is>
      </c>
      <c r="Y256" s="54" t="n"/>
      <c r="Z256" s="55" t="n"/>
      <c r="AA256" s="52" t="inlineStr">
        <is>
          <t>Under Awarding</t>
        </is>
      </c>
      <c r="AB256" s="52" t="inlineStr">
        <is>
          <t>The Procurement process is initiated in April and PO will be issued late October 2026. and delivery will be done by End of December 2026 and onward in January 2027 it is planned to be distributed to the selected beneficiaries.</t>
        </is>
      </c>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outlineLevel="1" ht="18" customHeight="1">
      <c r="A257" s="42" t="inlineStr">
        <is>
          <t>IF(F257="","",ROW()-3)</t>
        </is>
      </c>
      <c r="B257" s="65" t="inlineStr">
        <is>
          <t>AF2-LLL-ALL</t>
        </is>
      </c>
      <c r="C257" s="65" t="inlineStr">
        <is>
          <t>EFSP-AF2 LLL supply and delivery (50 units)</t>
        </is>
      </c>
      <c r="D257" s="65" t="inlineStr">
        <is>
          <t>49 of 50</t>
        </is>
      </c>
      <c r="E257" s="44" t="inlineStr">
        <is>
          <t>AF2-LLL-N-049</t>
        </is>
      </c>
      <c r="F257" s="44" t="inlineStr">
        <is>
          <t>Zard Sang Irrigation Scheme</t>
        </is>
      </c>
      <c r="G257" s="44" t="inlineStr">
        <is>
          <t>Laser Land Leveler (LLL)</t>
        </is>
      </c>
      <c r="H257" s="44" t="inlineStr">
        <is>
          <t>LLL unit</t>
        </is>
      </c>
      <c r="I257" s="44" t="inlineStr">
        <is>
          <t>Emergency Food Security Project (EFSP) – WBK/AF-2</t>
        </is>
      </c>
      <c r="J257" s="44" t="inlineStr">
        <is>
          <t>Central Highland / Bamyan</t>
        </is>
      </c>
      <c r="K257" s="44" t="inlineStr">
        <is>
          <t>Bamyan</t>
        </is>
      </c>
      <c r="L257" s="44" t="inlineStr">
        <is>
          <t>Bamiyan</t>
        </is>
      </c>
      <c r="M257" s="44" t="inlineStr">
        <is>
          <t>1 unit(s)</t>
        </is>
      </c>
      <c r="N257" s="44" t="inlineStr">
        <is>
          <t>World Bank (WBK/AF-2)</t>
        </is>
      </c>
      <c r="O257" s="44" t="inlineStr">
        <is>
          <t>Not awarded</t>
        </is>
      </c>
      <c r="P257" s="44" t="inlineStr">
        <is>
          <t>6. Supply and delivery of LLL</t>
        </is>
      </c>
      <c r="Q257" s="44" t="inlineStr"/>
      <c r="R257" s="44" t="inlineStr"/>
      <c r="S257" s="45" t="n"/>
      <c r="T257" s="46" t="inlineStr">
        <is>
          <t>IF(AQ257="","",AQ257)</t>
        </is>
      </c>
      <c r="U257" s="47" t="n">
        <v>46325</v>
      </c>
      <c r="V257" s="48" t="n"/>
      <c r="W257" s="47" t="n">
        <v>46418</v>
      </c>
      <c r="X257" s="46" t="inlineStr">
        <is>
          <t>IF(W257&lt;&gt;"",W257,IF(OR(T257="",V257=""),"",EDATE(T257,V257)))</t>
        </is>
      </c>
      <c r="Y257" s="47" t="n"/>
      <c r="Z257" s="48" t="n"/>
      <c r="AA257" s="44" t="inlineStr">
        <is>
          <t>Under Awarding</t>
        </is>
      </c>
      <c r="AB257" s="44" t="inlineStr">
        <is>
          <t>The Procurement process is initiated in April and PO will be issued late October 2026. and delivery will be done by End of December 2026 and onward in January 2027 it is planned to be distributed to the selected beneficiaries.</t>
        </is>
      </c>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outlineLevel="1" ht="18" customHeight="1">
      <c r="A258" s="42" t="inlineStr">
        <is>
          <t>IF(F258="","",ROW()-3)</t>
        </is>
      </c>
      <c r="B258" s="65" t="inlineStr">
        <is>
          <t>AF2-LLL-ALL</t>
        </is>
      </c>
      <c r="C258" s="65" t="inlineStr">
        <is>
          <t>EFSP-AF2 LLL supply and delivery (50 units)</t>
        </is>
      </c>
      <c r="D258" s="65" t="inlineStr">
        <is>
          <t>50 of 50</t>
        </is>
      </c>
      <c r="E258" s="52" t="inlineStr">
        <is>
          <t>AF2-LLL-N-050</t>
        </is>
      </c>
      <c r="F258" s="52" t="inlineStr">
        <is>
          <t>Zema Canal</t>
        </is>
      </c>
      <c r="G258" s="52" t="inlineStr">
        <is>
          <t>Laser Land Leveler (LLL)</t>
        </is>
      </c>
      <c r="H258" s="52" t="inlineStr">
        <is>
          <t>LLL unit</t>
        </is>
      </c>
      <c r="I258" s="52" t="inlineStr">
        <is>
          <t>Emergency Food Security Project (EFSP) – WBK/AF-2</t>
        </is>
      </c>
      <c r="J258" s="52" t="inlineStr">
        <is>
          <t>Central / Kabul</t>
        </is>
      </c>
      <c r="K258" s="52" t="inlineStr">
        <is>
          <t>Kabul</t>
        </is>
      </c>
      <c r="L258" s="52" t="inlineStr">
        <is>
          <t>Kalakan</t>
        </is>
      </c>
      <c r="M258" s="52" t="inlineStr">
        <is>
          <t>1 unit(s)</t>
        </is>
      </c>
      <c r="N258" s="52" t="inlineStr">
        <is>
          <t>World Bank (WBK/AF-2)</t>
        </is>
      </c>
      <c r="O258" s="52" t="inlineStr">
        <is>
          <t>Not awarded</t>
        </is>
      </c>
      <c r="P258" s="52" t="inlineStr">
        <is>
          <t>6. Supply and delivery of LLL</t>
        </is>
      </c>
      <c r="Q258" s="52" t="inlineStr"/>
      <c r="R258" s="52" t="inlineStr"/>
      <c r="S258" s="53" t="n"/>
      <c r="T258" s="46" t="inlineStr">
        <is>
          <t>IF(AQ258="","",AQ258)</t>
        </is>
      </c>
      <c r="U258" s="54" t="n">
        <v>46325</v>
      </c>
      <c r="V258" s="55" t="n"/>
      <c r="W258" s="54" t="n">
        <v>46418</v>
      </c>
      <c r="X258" s="46" t="inlineStr">
        <is>
          <t>IF(W258&lt;&gt;"",W258,IF(OR(T258="",V258=""),"",EDATE(T258,V258)))</t>
        </is>
      </c>
      <c r="Y258" s="54" t="n"/>
      <c r="Z258" s="55" t="n"/>
      <c r="AA258" s="52" t="inlineStr">
        <is>
          <t>Under Awarding</t>
        </is>
      </c>
      <c r="AB258" s="52" t="inlineStr">
        <is>
          <t>The Procurement process is initiated in April and PO will be issued late October 2026. and delivery will be done by End of December 2026 and onward in January 2027 it is planned to be distributed to the selected beneficiaries.</t>
        </is>
      </c>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32" t="inlineStr">
        <is>
          <t>IF(F259="","",ROW()-3)</t>
        </is>
      </c>
      <c r="B259" s="33" t="inlineStr">
        <is>
          <t>AF2-WSM-01</t>
        </is>
      </c>
      <c r="C259" s="33" t="inlineStr">
        <is>
          <t>Package #1-AF2 WSM: Construction of Dara Garmak Check dam, located in Qadis districts of Badghis province</t>
        </is>
      </c>
      <c r="D259" s="33" t="inlineStr">
        <is>
          <t>1 of 1</t>
        </is>
      </c>
      <c r="E259" s="57" t="inlineStr">
        <is>
          <t>AF2-WSM-N-001</t>
        </is>
      </c>
      <c r="F259" s="57" t="inlineStr">
        <is>
          <t>Dara Garmak Check dam</t>
        </is>
      </c>
      <c r="G259" s="57" t="inlineStr">
        <is>
          <t>Watershed Management</t>
        </is>
      </c>
      <c r="H259" s="57" t="inlineStr">
        <is>
          <t>Check Dam</t>
        </is>
      </c>
      <c r="I259" s="57" t="inlineStr">
        <is>
          <t>Emergency Food Security Project (EFSP) – WBK/AF-2</t>
        </is>
      </c>
      <c r="J259" s="57" t="inlineStr">
        <is>
          <t>West / Herat</t>
        </is>
      </c>
      <c r="K259" s="57" t="inlineStr">
        <is>
          <t>Badghis</t>
        </is>
      </c>
      <c r="L259" s="57" t="inlineStr">
        <is>
          <t>Qadis</t>
        </is>
      </c>
      <c r="M259" s="57" t="inlineStr">
        <is>
          <t>Langar</t>
        </is>
      </c>
      <c r="N259" s="57" t="inlineStr">
        <is>
          <t>World Bank (WBK/AF-2)</t>
        </is>
      </c>
      <c r="O259" s="57" t="inlineStr">
        <is>
          <t>Not awarded</t>
        </is>
      </c>
      <c r="P259" s="57" t="inlineStr">
        <is>
          <t>4.WSM remaining contracts</t>
        </is>
      </c>
      <c r="Q259" s="57" t="inlineStr"/>
      <c r="R259" s="57" t="inlineStr"/>
      <c r="S259" s="58" t="n">
        <v>131000</v>
      </c>
      <c r="T259" s="36" t="inlineStr">
        <is>
          <t>IF(AQ259="","",AQ259)</t>
        </is>
      </c>
      <c r="U259" s="59" t="n">
        <v>46361</v>
      </c>
      <c r="V259" s="60" t="n">
        <v>8.9</v>
      </c>
      <c r="W259" s="59" t="n">
        <v>46631</v>
      </c>
      <c r="X259" s="36" t="inlineStr">
        <is>
          <t>IF(W259&lt;&gt;"",W259,IF(OR(T259="",V259=""),"",EDATE(T259,V259)))</t>
        </is>
      </c>
      <c r="Y259" s="59" t="n"/>
      <c r="Z259" s="60" t="n"/>
      <c r="AA259" s="57" t="inlineStr">
        <is>
          <t>PR to be Raised</t>
        </is>
      </c>
      <c r="AB259" s="57" t="inlineStr">
        <is>
          <t>Construction of the check dam will be completed in six months. Additional three months have been kept as slack period during Jan-March.</t>
        </is>
      </c>
      <c r="AC259" s="32" t="inlineStr">
        <is>
          <t>IF(F259="","",IF(COUNT(AI259:AV259)=0,IF(AA259="","Not started",AA259),SUBSTITUTE(LOOKUP(2,1/(AI259:AV259&lt;&gt;""),$AI$3:$AV$3),"Date: ","")))</t>
        </is>
      </c>
      <c r="AD259" s="39" t="inlineStr">
        <is>
          <t>IF(OR(F259="",COUNT(AI259:AV259)=0),"",TODAY()-LOOKUP(2,1/(AI259:AV259&lt;&gt;""),AI259:AV259))</t>
        </is>
      </c>
      <c r="AE259" s="39" t="inlineStr">
        <is>
          <t>IF(OR(F259="",COUNT(AI259:AV259)&lt;2),"",LOOKUP(2,1/(AI259:AV259&lt;&gt;""),AI259:AV259)-MIN(AI259:AV259))</t>
        </is>
      </c>
      <c r="AF259" s="39" t="inlineStr">
        <is>
          <t>IF(OR(AD259="",AC259="Not started",AC259=""),"",IFERROR(AD259-IF(VLOOKUP(AC259,'06_Status_Pipeline'!$B$3:$E$20,4,FALSE)="",0,VLOOKUP(AC259,'06_Status_Pipeline'!$B$3:$E$20,4,FALSE)),""))</t>
        </is>
      </c>
      <c r="AG259" s="3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39" t="inlineStr">
        <is>
          <t>IF(OR(F259="",AC259="Completed / Handover",AC259="Cancelled"),"",IF(O259="Not awarded",IF(U259&lt;&gt;"",U259-TODAY(),IF(X259="","",X259-TODAY())),IF(X259="","",X259-TODAY())))</t>
        </is>
      </c>
      <c r="AI259" s="59" t="n"/>
      <c r="AJ259" s="59" t="n"/>
      <c r="AK259" s="59" t="n"/>
      <c r="AL259" s="59" t="n"/>
      <c r="AM259" s="59" t="n"/>
      <c r="AN259" s="59" t="n"/>
      <c r="AO259" s="59" t="n"/>
      <c r="AP259" s="59" t="n"/>
      <c r="AQ259" s="59" t="n"/>
      <c r="AR259" s="59" t="n"/>
      <c r="AS259" s="59" t="n"/>
      <c r="AT259" s="40" t="n"/>
      <c r="AU259" s="40" t="n"/>
      <c r="AV259" s="40" t="n"/>
      <c r="AW259" s="39" t="inlineStr">
        <is>
          <t>IF(OR(F259="",AJ259=""),"",IF(COUNT(AI259:AI259)=0,"",AJ259-LOOKUP(2,1/(AI259:AI259&lt;&gt;""),AI259:AI259)))</t>
        </is>
      </c>
      <c r="AX259" s="39" t="inlineStr">
        <is>
          <t>IF(OR(F259="",AK259=""),"",IF(COUNT(AI259:AJ259)=0,"",AK259-LOOKUP(2,1/(AI259:AJ259&lt;&gt;""),AI259:AJ259)))</t>
        </is>
      </c>
      <c r="AY259" s="39" t="inlineStr">
        <is>
          <t>IF(OR(F259="",AL259=""),"",IF(COUNT(AI259:AK259)=0,"",AL259-LOOKUP(2,1/(AI259:AK259&lt;&gt;""),AI259:AK259)))</t>
        </is>
      </c>
      <c r="AZ259" s="39" t="inlineStr">
        <is>
          <t>IF(OR(F259="",AM259=""),"",IF(COUNT(AI259:AL259)=0,"",AM259-LOOKUP(2,1/(AI259:AL259&lt;&gt;""),AI259:AL259)))</t>
        </is>
      </c>
      <c r="BA259" s="39" t="inlineStr">
        <is>
          <t>IF(OR(F259="",AN259=""),"",IF(COUNT(AI259:AM259)=0,"",AN259-LOOKUP(2,1/(AI259:AM259&lt;&gt;""),AI259:AM259)))</t>
        </is>
      </c>
      <c r="BB259" s="39" t="inlineStr">
        <is>
          <t>IF(OR(F259="",AO259=""),"",IF(COUNT(AI259:AN259)=0,"",AO259-LOOKUP(2,1/(AI259:AN259&lt;&gt;""),AI259:AN259)))</t>
        </is>
      </c>
      <c r="BC259" s="39" t="inlineStr">
        <is>
          <t>IF(OR(F259="",AP259=""),"",IF(COUNT(AI259:AO259)=0,"",AP259-LOOKUP(2,1/(AI259:AO259&lt;&gt;""),AI259:AO259)))</t>
        </is>
      </c>
      <c r="BD259" s="39" t="inlineStr">
        <is>
          <t>IF(OR(F259="",AQ259=""),"",IF(COUNT(AI259:AP259)=0,"",AQ259-LOOKUP(2,1/(AI259:AP259&lt;&gt;""),AI259:AP259)))</t>
        </is>
      </c>
      <c r="BE259" s="39" t="inlineStr">
        <is>
          <t>IF(OR(F259="",AR259=""),"",IF(COUNT(AI259:AQ259)=0,"",AR259-LOOKUP(2,1/(AI259:AQ259&lt;&gt;""),AI259:AQ259)))</t>
        </is>
      </c>
      <c r="BF259" s="39" t="inlineStr">
        <is>
          <t>IF(OR(F259="",AS259=""),"",IF(COUNT(AI259:AR259)=0,"",AS259-LOOKUP(2,1/(AI259:AR259&lt;&gt;""),AI259:AR259)))</t>
        </is>
      </c>
      <c r="BG259" s="39" t="inlineStr">
        <is>
          <t>IF(OR(F259="",AT259=""),"",IF(COUNT(AI259:AS259)=0,"",AT259-LOOKUP(2,1/(AI259:AS259&lt;&gt;""),AI259:AS259)))</t>
        </is>
      </c>
      <c r="BH259" s="39" t="inlineStr">
        <is>
          <t>IF(OR(F259="",AU259=""),"",IF(COUNT(AI259:AT259)=0,"",AU259-LOOKUP(2,1/(AI259:AT259&lt;&gt;""),AI259:AT259)))</t>
        </is>
      </c>
      <c r="BI259" s="39" t="inlineStr">
        <is>
          <t>IF(OR(F259="",AV259=""),"",IF(COUNT(AI259:AU259)=0,"",AV259-LOOKUP(2,1/(AI259:AU259&lt;&gt;""),AI259:AU259)))</t>
        </is>
      </c>
      <c r="BJ259" s="41" t="inlineStr">
        <is>
          <t>IF(J259="","All_Provinces",IFERROR(VLOOKUP(J259,'09_Lookups'!$A$4:$B$20,2,FALSE),"All_Provinces"))</t>
        </is>
      </c>
      <c r="BK259" s="41" t="inlineStr">
        <is>
          <t>IF(K259="","All_Districts",IFERROR(VLOOKUP(K259,'09_Lookups'!$E$4:$F$42,2,FALSE),"All_Districts"))</t>
        </is>
      </c>
    </row>
    <row r="260" ht="18" customHeight="1">
      <c r="A260" s="32" t="inlineStr">
        <is>
          <t>IF(F260="","",ROW()-3)</t>
        </is>
      </c>
      <c r="B260" s="56" t="inlineStr">
        <is>
          <t>AF2-WSM-02</t>
        </is>
      </c>
      <c r="C260" s="56" t="inlineStr">
        <is>
          <t>Package #2 -AF2 WSM: Construction of 1. Dareh Shah Toot-1, 2. Dareh ShahToot-2, and 3. Jar Sono check dams in Obe District of Herat Province</t>
        </is>
      </c>
      <c r="D260" s="56" t="inlineStr">
        <is>
          <t>1 of 3</t>
        </is>
      </c>
      <c r="E260" s="34" t="inlineStr">
        <is>
          <t>AF2-WSM-A-001</t>
        </is>
      </c>
      <c r="F260" s="34" t="inlineStr">
        <is>
          <t>Dareh Shah Toot Check dam-1</t>
        </is>
      </c>
      <c r="G260" s="34" t="inlineStr">
        <is>
          <t>Watershed Management</t>
        </is>
      </c>
      <c r="H260" s="34" t="inlineStr">
        <is>
          <t>Check Dam</t>
        </is>
      </c>
      <c r="I260" s="34" t="inlineStr">
        <is>
          <t>Emergency Food Security Project (EFSP) – WBK/AF-2</t>
        </is>
      </c>
      <c r="J260" s="34" t="inlineStr">
        <is>
          <t>West / Herat</t>
        </is>
      </c>
      <c r="K260" s="34" t="inlineStr">
        <is>
          <t>Herat</t>
        </is>
      </c>
      <c r="L260" s="34" t="inlineStr">
        <is>
          <t>Obe</t>
        </is>
      </c>
      <c r="M260" s="34" t="inlineStr">
        <is>
          <t>Gonabad, Qala Yar Mohammad Khan, Zori ha, Dasht Servan</t>
        </is>
      </c>
      <c r="N260" s="34" t="inlineStr">
        <is>
          <t>World Bank (WBK/AF-2)</t>
        </is>
      </c>
      <c r="O260" s="34" t="inlineStr">
        <is>
          <t>Awarded</t>
        </is>
      </c>
      <c r="P260" s="34" t="inlineStr">
        <is>
          <t>3.WSM awarded contracts</t>
        </is>
      </c>
      <c r="Q260" s="34" t="inlineStr">
        <is>
          <t>Shams Afghan Vision Construction and Logistic Services (SAVCC)</t>
        </is>
      </c>
      <c r="R260" s="34" t="inlineStr">
        <is>
          <t>014/2026</t>
        </is>
      </c>
      <c r="S260" s="35" t="n">
        <v>194033</v>
      </c>
      <c r="T260" s="36" t="inlineStr">
        <is>
          <t>IF(AQ260="","",AQ260)</t>
        </is>
      </c>
      <c r="U260" s="37" t="n"/>
      <c r="V260" s="38" t="n">
        <v>9.9</v>
      </c>
      <c r="W260" s="37" t="n">
        <v>46364</v>
      </c>
      <c r="X260" s="36" t="inlineStr">
        <is>
          <t>IF(W260&lt;&gt;"",W260,IF(OR(T260="",V260=""),"",EDATE(T260,V260)))</t>
        </is>
      </c>
      <c r="Y260" s="37" t="n"/>
      <c r="Z260" s="38" t="n">
        <v>95</v>
      </c>
      <c r="AA260" s="34" t="inlineStr">
        <is>
          <t>Under Construction</t>
        </is>
      </c>
      <c r="AB260" s="34" t="inlineStr">
        <is>
          <t>Expected to complete by the end of the contract NTE.</t>
        </is>
      </c>
      <c r="AC260" s="32" t="inlineStr">
        <is>
          <t>IF(F260="","",IF(COUNT(AI260:AV260)=0,IF(AA260="","Not started",AA260),SUBSTITUTE(LOOKUP(2,1/(AI260:AV260&lt;&gt;""),$AI$3:$AV$3),"Date: ","")))</t>
        </is>
      </c>
      <c r="AD260" s="39" t="inlineStr">
        <is>
          <t>IF(OR(F260="",COUNT(AI260:AV260)=0),"",TODAY()-LOOKUP(2,1/(AI260:AV260&lt;&gt;""),AI260:AV260))</t>
        </is>
      </c>
      <c r="AE260" s="39" t="inlineStr">
        <is>
          <t>IF(OR(F260="",COUNT(AI260:AV260)&lt;2),"",LOOKUP(2,1/(AI260:AV260&lt;&gt;""),AI260:AV260)-MIN(AI260:AV260))</t>
        </is>
      </c>
      <c r="AF260" s="39" t="inlineStr">
        <is>
          <t>IF(OR(AD260="",AC260="Not started",AC260=""),"",IFERROR(AD260-IF(VLOOKUP(AC260,'06_Status_Pipeline'!$B$3:$E$20,4,FALSE)="",0,VLOOKUP(AC260,'06_Status_Pipeline'!$B$3:$E$20,4,FALSE)),""))</t>
        </is>
      </c>
      <c r="AG260" s="3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39" t="inlineStr">
        <is>
          <t>IF(OR(F260="",AC260="Completed / Handover",AC260="Cancelled"),"",IF(O260="Not awarded",IF(U260&lt;&gt;"",U260-TODAY(),IF(X260="","",X260-TODAY())),IF(X260="","",X260-TODAY())))</t>
        </is>
      </c>
      <c r="AI260" s="66" t="n"/>
      <c r="AJ260" s="66" t="n"/>
      <c r="AK260" s="66" t="n"/>
      <c r="AL260" s="66" t="n"/>
      <c r="AM260" s="66" t="n"/>
      <c r="AN260" s="66" t="n"/>
      <c r="AO260" s="66" t="n"/>
      <c r="AP260" s="66" t="n"/>
      <c r="AQ260" s="66" t="n">
        <v>46062</v>
      </c>
      <c r="AR260" s="66" t="n">
        <v>46062</v>
      </c>
      <c r="AS260" s="66" t="n"/>
      <c r="AT260" s="40" t="n"/>
      <c r="AU260" s="40" t="n"/>
      <c r="AV260" s="40" t="n"/>
      <c r="AW260" s="39" t="inlineStr">
        <is>
          <t>IF(OR(F260="",AJ260=""),"",IF(COUNT(AI260:AI260)=0,"",AJ260-LOOKUP(2,1/(AI260:AI260&lt;&gt;""),AI260:AI260)))</t>
        </is>
      </c>
      <c r="AX260" s="39" t="inlineStr">
        <is>
          <t>IF(OR(F260="",AK260=""),"",IF(COUNT(AI260:AJ260)=0,"",AK260-LOOKUP(2,1/(AI260:AJ260&lt;&gt;""),AI260:AJ260)))</t>
        </is>
      </c>
      <c r="AY260" s="39" t="inlineStr">
        <is>
          <t>IF(OR(F260="",AL260=""),"",IF(COUNT(AI260:AK260)=0,"",AL260-LOOKUP(2,1/(AI260:AK260&lt;&gt;""),AI260:AK260)))</t>
        </is>
      </c>
      <c r="AZ260" s="39" t="inlineStr">
        <is>
          <t>IF(OR(F260="",AM260=""),"",IF(COUNT(AI260:AL260)=0,"",AM260-LOOKUP(2,1/(AI260:AL260&lt;&gt;""),AI260:AL260)))</t>
        </is>
      </c>
      <c r="BA260" s="39" t="inlineStr">
        <is>
          <t>IF(OR(F260="",AN260=""),"",IF(COUNT(AI260:AM260)=0,"",AN260-LOOKUP(2,1/(AI260:AM260&lt;&gt;""),AI260:AM260)))</t>
        </is>
      </c>
      <c r="BB260" s="39" t="inlineStr">
        <is>
          <t>IF(OR(F260="",AO260=""),"",IF(COUNT(AI260:AN260)=0,"",AO260-LOOKUP(2,1/(AI260:AN260&lt;&gt;""),AI260:AN260)))</t>
        </is>
      </c>
      <c r="BC260" s="39" t="inlineStr">
        <is>
          <t>IF(OR(F260="",AP260=""),"",IF(COUNT(AI260:AO260)=0,"",AP260-LOOKUP(2,1/(AI260:AO260&lt;&gt;""),AI260:AO260)))</t>
        </is>
      </c>
      <c r="BD260" s="39" t="inlineStr">
        <is>
          <t>IF(OR(F260="",AQ260=""),"",IF(COUNT(AI260:AP260)=0,"",AQ260-LOOKUP(2,1/(AI260:AP260&lt;&gt;""),AI260:AP260)))</t>
        </is>
      </c>
      <c r="BE260" s="39" t="inlineStr">
        <is>
          <t>IF(OR(F260="",AR260=""),"",IF(COUNT(AI260:AQ260)=0,"",AR260-LOOKUP(2,1/(AI260:AQ260&lt;&gt;""),AI260:AQ260)))</t>
        </is>
      </c>
      <c r="BF260" s="39" t="inlineStr">
        <is>
          <t>IF(OR(F260="",AS260=""),"",IF(COUNT(AI260:AR260)=0,"",AS260-LOOKUP(2,1/(AI260:AR260&lt;&gt;""),AI260:AR260)))</t>
        </is>
      </c>
      <c r="BG260" s="39" t="inlineStr">
        <is>
          <t>IF(OR(F260="",AT260=""),"",IF(COUNT(AI260:AS260)=0,"",AT260-LOOKUP(2,1/(AI260:AS260&lt;&gt;""),AI260:AS260)))</t>
        </is>
      </c>
      <c r="BH260" s="39" t="inlineStr">
        <is>
          <t>IF(OR(F260="",AU260=""),"",IF(COUNT(AI260:AT260)=0,"",AU260-LOOKUP(2,1/(AI260:AT260&lt;&gt;""),AI260:AT260)))</t>
        </is>
      </c>
      <c r="BI260" s="39" t="inlineStr">
        <is>
          <t>IF(OR(F260="",AV260=""),"",IF(COUNT(AI260:AU260)=0,"",AV260-LOOKUP(2,1/(AI260:AU260&lt;&gt;""),AI260:AU260)))</t>
        </is>
      </c>
      <c r="BJ260" s="41" t="inlineStr">
        <is>
          <t>IF(J260="","All_Provinces",IFERROR(VLOOKUP(J260,'09_Lookups'!$A$4:$B$20,2,FALSE),"All_Provinces"))</t>
        </is>
      </c>
      <c r="BK260" s="41" t="inlineStr">
        <is>
          <t>IF(K260="","All_Districts",IFERROR(VLOOKUP(K260,'09_Lookups'!$E$4:$F$42,2,FALSE),"All_Districts"))</t>
        </is>
      </c>
    </row>
    <row r="261" outlineLevel="1" ht="18" customHeight="1">
      <c r="A261" s="42" t="inlineStr">
        <is>
          <t>IF(F261="","",ROW()-3)</t>
        </is>
      </c>
      <c r="B261" s="61" t="inlineStr">
        <is>
          <t>AF2-WSM-02</t>
        </is>
      </c>
      <c r="C261" s="61" t="inlineStr">
        <is>
          <t>Package #2 -AF2 WSM: Construction of 1. Dareh Shah Toot-1, 2. Dareh ShahToot-2, and 3. Jar Sono check dams in Obe District of Herat Province</t>
        </is>
      </c>
      <c r="D261" s="61" t="inlineStr">
        <is>
          <t>2 of 3</t>
        </is>
      </c>
      <c r="E261" s="44" t="inlineStr">
        <is>
          <t>AF2-WSM-A-002</t>
        </is>
      </c>
      <c r="F261" s="44" t="inlineStr">
        <is>
          <t>Dareh Shah Toot Check dam-2</t>
        </is>
      </c>
      <c r="G261" s="44" t="inlineStr">
        <is>
          <t>Watershed Management</t>
        </is>
      </c>
      <c r="H261" s="44" t="inlineStr">
        <is>
          <t>Check Dam</t>
        </is>
      </c>
      <c r="I261" s="44" t="inlineStr">
        <is>
          <t>Emergency Food Security Project (EFSP) – WBK/AF-2</t>
        </is>
      </c>
      <c r="J261" s="44" t="inlineStr">
        <is>
          <t>West / Herat</t>
        </is>
      </c>
      <c r="K261" s="44" t="inlineStr">
        <is>
          <t>Herat</t>
        </is>
      </c>
      <c r="L261" s="44" t="inlineStr">
        <is>
          <t>Obe</t>
        </is>
      </c>
      <c r="M261" s="44" t="inlineStr"/>
      <c r="N261" s="44" t="inlineStr">
        <is>
          <t>World Bank (WBK/AF-2)</t>
        </is>
      </c>
      <c r="O261" s="44" t="inlineStr">
        <is>
          <t>Awarded</t>
        </is>
      </c>
      <c r="P261" s="44" t="inlineStr">
        <is>
          <t>3.WSM awarded contracts</t>
        </is>
      </c>
      <c r="Q261" s="44" t="inlineStr">
        <is>
          <t>Shams Afghan Vision Construction and Logistic Services (SAVCC)</t>
        </is>
      </c>
      <c r="R261" s="44" t="inlineStr">
        <is>
          <t>014/2026</t>
        </is>
      </c>
      <c r="S261" s="45" t="n"/>
      <c r="T261" s="46" t="inlineStr">
        <is>
          <t>IF(AQ261="","",AQ261)</t>
        </is>
      </c>
      <c r="U261" s="47" t="n"/>
      <c r="V261" s="48" t="n">
        <v>9.9</v>
      </c>
      <c r="W261" s="47" t="n">
        <v>46364</v>
      </c>
      <c r="X261" s="46" t="inlineStr">
        <is>
          <t>IF(W261&lt;&gt;"",W261,IF(OR(T261="",V261=""),"",EDATE(T261,V261)))</t>
        </is>
      </c>
      <c r="Y261" s="47" t="n"/>
      <c r="Z261" s="48" t="n">
        <v>75</v>
      </c>
      <c r="AA261" s="44" t="inlineStr">
        <is>
          <t>Under Construction</t>
        </is>
      </c>
      <c r="AB261" s="44" t="inlineStr">
        <is>
          <t>Expected to complete by the end of the contract NTE.</t>
        </is>
      </c>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67" t="n"/>
      <c r="AJ261" s="67" t="n"/>
      <c r="AK261" s="67" t="n"/>
      <c r="AL261" s="67" t="n"/>
      <c r="AM261" s="67" t="n"/>
      <c r="AN261" s="67" t="n"/>
      <c r="AO261" s="67" t="n"/>
      <c r="AP261" s="67" t="n"/>
      <c r="AQ261" s="67" t="n">
        <v>46062</v>
      </c>
      <c r="AR261" s="67" t="n">
        <v>46062</v>
      </c>
      <c r="AS261" s="6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outlineLevel="1" ht="18" customHeight="1">
      <c r="A262" s="42" t="inlineStr">
        <is>
          <t>IF(F262="","",ROW()-3)</t>
        </is>
      </c>
      <c r="B262" s="61" t="inlineStr">
        <is>
          <t>AF2-WSM-02</t>
        </is>
      </c>
      <c r="C262" s="61" t="inlineStr">
        <is>
          <t>Package #2 -AF2 WSM: Construction of 1. Dareh Shah Toot-1, 2. Dareh ShahToot-2, and 3. Jar Sono check dams in Obe District of Herat Province</t>
        </is>
      </c>
      <c r="D262" s="61" t="inlineStr">
        <is>
          <t>3 of 3</t>
        </is>
      </c>
      <c r="E262" s="52" t="inlineStr">
        <is>
          <t>AF2-WSM-A-003</t>
        </is>
      </c>
      <c r="F262" s="52" t="inlineStr">
        <is>
          <t>Jar Sunu Check dam-3</t>
        </is>
      </c>
      <c r="G262" s="52" t="inlineStr">
        <is>
          <t>Watershed Management</t>
        </is>
      </c>
      <c r="H262" s="52" t="inlineStr">
        <is>
          <t>Check Dam</t>
        </is>
      </c>
      <c r="I262" s="52" t="inlineStr">
        <is>
          <t>Emergency Food Security Project (EFSP) – WBK/AF-2</t>
        </is>
      </c>
      <c r="J262" s="52" t="inlineStr">
        <is>
          <t>West / Herat</t>
        </is>
      </c>
      <c r="K262" s="52" t="inlineStr">
        <is>
          <t>Herat</t>
        </is>
      </c>
      <c r="L262" s="52" t="inlineStr">
        <is>
          <t>Obe</t>
        </is>
      </c>
      <c r="M262" s="52" t="inlineStr"/>
      <c r="N262" s="52" t="inlineStr">
        <is>
          <t>World Bank (WBK/AF-2)</t>
        </is>
      </c>
      <c r="O262" s="52" t="inlineStr">
        <is>
          <t>Awarded</t>
        </is>
      </c>
      <c r="P262" s="52" t="inlineStr">
        <is>
          <t>3.WSM awarded contracts</t>
        </is>
      </c>
      <c r="Q262" s="52" t="inlineStr">
        <is>
          <t>Shams Afghan Vision Construction and Logistic Services (SAVCC)</t>
        </is>
      </c>
      <c r="R262" s="52" t="inlineStr">
        <is>
          <t>014/2026</t>
        </is>
      </c>
      <c r="S262" s="53" t="n"/>
      <c r="T262" s="46" t="inlineStr">
        <is>
          <t>IF(AQ262="","",AQ262)</t>
        </is>
      </c>
      <c r="U262" s="54" t="n"/>
      <c r="V262" s="55" t="n">
        <v>9.9</v>
      </c>
      <c r="W262" s="54" t="n">
        <v>46364</v>
      </c>
      <c r="X262" s="46" t="inlineStr">
        <is>
          <t>IF(W262&lt;&gt;"",W262,IF(OR(T262="",V262=""),"",EDATE(T262,V262)))</t>
        </is>
      </c>
      <c r="Y262" s="54" t="n"/>
      <c r="Z262" s="55" t="n">
        <v>55</v>
      </c>
      <c r="AA262" s="52" t="inlineStr">
        <is>
          <t>Under Construction</t>
        </is>
      </c>
      <c r="AB262" s="52" t="inlineStr">
        <is>
          <t>Expected to complete by the end of the contract NTE.</t>
        </is>
      </c>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67" t="n"/>
      <c r="AJ262" s="67" t="n"/>
      <c r="AK262" s="67" t="n"/>
      <c r="AL262" s="67" t="n"/>
      <c r="AM262" s="67" t="n"/>
      <c r="AN262" s="67" t="n"/>
      <c r="AO262" s="67" t="n"/>
      <c r="AP262" s="67" t="n"/>
      <c r="AQ262" s="67" t="n">
        <v>46062</v>
      </c>
      <c r="AR262" s="67" t="n">
        <v>46062</v>
      </c>
      <c r="AS262" s="67"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32" t="inlineStr">
        <is>
          <t>IF(F263="","",ROW()-3)</t>
        </is>
      </c>
      <c r="B263" s="62" t="inlineStr">
        <is>
          <t>AF2-WSM-03</t>
        </is>
      </c>
      <c r="C263" s="62" t="inlineStr">
        <is>
          <t>Package #3 -AF2 WSM: Construction of Koklam three Check Dams (# 1, # 2 and # 3 ) in Kushk-e-Kohna District of Herat Province</t>
        </is>
      </c>
      <c r="D263" s="62" t="inlineStr">
        <is>
          <t>1 of 3</t>
        </is>
      </c>
      <c r="E263" s="57" t="inlineStr">
        <is>
          <t>AF2-WSM-A-004</t>
        </is>
      </c>
      <c r="F263" s="57" t="inlineStr">
        <is>
          <t>Baland Bazar, Jar Ahmad Check Dam # 2</t>
        </is>
      </c>
      <c r="G263" s="57" t="inlineStr">
        <is>
          <t>Watershed Management</t>
        </is>
      </c>
      <c r="H263" s="57" t="inlineStr">
        <is>
          <t>Check Dam</t>
        </is>
      </c>
      <c r="I263" s="57" t="inlineStr">
        <is>
          <t>Emergency Food Security Project (EFSP) – WBK/AF-2</t>
        </is>
      </c>
      <c r="J263" s="57" t="inlineStr">
        <is>
          <t>West / Herat</t>
        </is>
      </c>
      <c r="K263" s="57" t="inlineStr">
        <is>
          <t>Herat</t>
        </is>
      </c>
      <c r="L263" s="57" t="inlineStr">
        <is>
          <t>Koshk-e-Kohna</t>
        </is>
      </c>
      <c r="M263" s="57" t="inlineStr"/>
      <c r="N263" s="57" t="inlineStr">
        <is>
          <t>World Bank (WBK/AF-2)</t>
        </is>
      </c>
      <c r="O263" s="57" t="inlineStr">
        <is>
          <t>Awarded</t>
        </is>
      </c>
      <c r="P263" s="57" t="inlineStr">
        <is>
          <t>3.WSM awarded contracts</t>
        </is>
      </c>
      <c r="Q263" s="57" t="inlineStr">
        <is>
          <t>Afghan Aakam Construction and Road Company. JV with D- Amini Mashwani Construction Company (AACC)</t>
        </is>
      </c>
      <c r="R263" s="57" t="inlineStr">
        <is>
          <t>006/2026</t>
        </is>
      </c>
      <c r="S263" s="58" t="n">
        <v>68058.60000000001</v>
      </c>
      <c r="T263" s="36" t="inlineStr">
        <is>
          <t>IF(AQ263="","",AQ263)</t>
        </is>
      </c>
      <c r="U263" s="59" t="n"/>
      <c r="V263" s="60" t="n">
        <v>10</v>
      </c>
      <c r="W263" s="59" t="n">
        <v>46346</v>
      </c>
      <c r="X263" s="36" t="inlineStr">
        <is>
          <t>IF(W263&lt;&gt;"",W263,IF(OR(T263="",V263=""),"",EDATE(T263,V263)))</t>
        </is>
      </c>
      <c r="Y263" s="59" t="n"/>
      <c r="Z263" s="60" t="n">
        <v>70</v>
      </c>
      <c r="AA263" s="57" t="inlineStr">
        <is>
          <t>Under Construction</t>
        </is>
      </c>
      <c r="AB263" s="57" t="inlineStr">
        <is>
          <t>Expected to complete by the end of the contract NTE.</t>
        </is>
      </c>
      <c r="AC263" s="32" t="inlineStr">
        <is>
          <t>IF(F263="","",IF(COUNT(AI263:AV263)=0,IF(AA263="","Not started",AA263),SUBSTITUTE(LOOKUP(2,1/(AI263:AV263&lt;&gt;""),$AI$3:$AV$3),"Date: ","")))</t>
        </is>
      </c>
      <c r="AD263" s="39" t="inlineStr">
        <is>
          <t>IF(OR(F263="",COUNT(AI263:AV263)=0),"",TODAY()-LOOKUP(2,1/(AI263:AV263&lt;&gt;""),AI263:AV263))</t>
        </is>
      </c>
      <c r="AE263" s="39" t="inlineStr">
        <is>
          <t>IF(OR(F263="",COUNT(AI263:AV263)&lt;2),"",LOOKUP(2,1/(AI263:AV263&lt;&gt;""),AI263:AV263)-MIN(AI263:AV263))</t>
        </is>
      </c>
      <c r="AF263" s="39" t="inlineStr">
        <is>
          <t>IF(OR(AD263="",AC263="Not started",AC263=""),"",IFERROR(AD263-IF(VLOOKUP(AC263,'06_Status_Pipeline'!$B$3:$E$20,4,FALSE)="",0,VLOOKUP(AC263,'06_Status_Pipeline'!$B$3:$E$20,4,FALSE)),""))</t>
        </is>
      </c>
      <c r="AG263" s="3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39" t="inlineStr">
        <is>
          <t>IF(OR(F263="",AC263="Completed / Handover",AC263="Cancelled"),"",IF(O263="Not awarded",IF(U263&lt;&gt;"",U263-TODAY(),IF(X263="","",X263-TODAY())),IF(X263="","",X263-TODAY())))</t>
        </is>
      </c>
      <c r="AI263" s="66" t="n"/>
      <c r="AJ263" s="66" t="n"/>
      <c r="AK263" s="66" t="n"/>
      <c r="AL263" s="66" t="n"/>
      <c r="AM263" s="66" t="n"/>
      <c r="AN263" s="66" t="n"/>
      <c r="AO263" s="66" t="n"/>
      <c r="AP263" s="66" t="n"/>
      <c r="AQ263" s="66" t="n">
        <v>46043</v>
      </c>
      <c r="AR263" s="66" t="n">
        <v>46043</v>
      </c>
      <c r="AS263" s="66" t="n"/>
      <c r="AT263" s="40" t="n"/>
      <c r="AU263" s="40" t="n"/>
      <c r="AV263" s="40" t="n"/>
      <c r="AW263" s="39" t="inlineStr">
        <is>
          <t>IF(OR(F263="",AJ263=""),"",IF(COUNT(AI263:AI263)=0,"",AJ263-LOOKUP(2,1/(AI263:AI263&lt;&gt;""),AI263:AI263)))</t>
        </is>
      </c>
      <c r="AX263" s="39" t="inlineStr">
        <is>
          <t>IF(OR(F263="",AK263=""),"",IF(COUNT(AI263:AJ263)=0,"",AK263-LOOKUP(2,1/(AI263:AJ263&lt;&gt;""),AI263:AJ263)))</t>
        </is>
      </c>
      <c r="AY263" s="39" t="inlineStr">
        <is>
          <t>IF(OR(F263="",AL263=""),"",IF(COUNT(AI263:AK263)=0,"",AL263-LOOKUP(2,1/(AI263:AK263&lt;&gt;""),AI263:AK263)))</t>
        </is>
      </c>
      <c r="AZ263" s="39" t="inlineStr">
        <is>
          <t>IF(OR(F263="",AM263=""),"",IF(COUNT(AI263:AL263)=0,"",AM263-LOOKUP(2,1/(AI263:AL263&lt;&gt;""),AI263:AL263)))</t>
        </is>
      </c>
      <c r="BA263" s="39" t="inlineStr">
        <is>
          <t>IF(OR(F263="",AN263=""),"",IF(COUNT(AI263:AM263)=0,"",AN263-LOOKUP(2,1/(AI263:AM263&lt;&gt;""),AI263:AM263)))</t>
        </is>
      </c>
      <c r="BB263" s="39" t="inlineStr">
        <is>
          <t>IF(OR(F263="",AO263=""),"",IF(COUNT(AI263:AN263)=0,"",AO263-LOOKUP(2,1/(AI263:AN263&lt;&gt;""),AI263:AN263)))</t>
        </is>
      </c>
      <c r="BC263" s="39" t="inlineStr">
        <is>
          <t>IF(OR(F263="",AP263=""),"",IF(COUNT(AI263:AO263)=0,"",AP263-LOOKUP(2,1/(AI263:AO263&lt;&gt;""),AI263:AO263)))</t>
        </is>
      </c>
      <c r="BD263" s="39" t="inlineStr">
        <is>
          <t>IF(OR(F263="",AQ263=""),"",IF(COUNT(AI263:AP263)=0,"",AQ263-LOOKUP(2,1/(AI263:AP263&lt;&gt;""),AI263:AP263)))</t>
        </is>
      </c>
      <c r="BE263" s="39" t="inlineStr">
        <is>
          <t>IF(OR(F263="",AR263=""),"",IF(COUNT(AI263:AQ263)=0,"",AR263-LOOKUP(2,1/(AI263:AQ263&lt;&gt;""),AI263:AQ263)))</t>
        </is>
      </c>
      <c r="BF263" s="39" t="inlineStr">
        <is>
          <t>IF(OR(F263="",AS263=""),"",IF(COUNT(AI263:AR263)=0,"",AS263-LOOKUP(2,1/(AI263:AR263&lt;&gt;""),AI263:AR263)))</t>
        </is>
      </c>
      <c r="BG263" s="39" t="inlineStr">
        <is>
          <t>IF(OR(F263="",AT263=""),"",IF(COUNT(AI263:AS263)=0,"",AT263-LOOKUP(2,1/(AI263:AS263&lt;&gt;""),AI263:AS263)))</t>
        </is>
      </c>
      <c r="BH263" s="39" t="inlineStr">
        <is>
          <t>IF(OR(F263="",AU263=""),"",IF(COUNT(AI263:AT263)=0,"",AU263-LOOKUP(2,1/(AI263:AT263&lt;&gt;""),AI263:AT263)))</t>
        </is>
      </c>
      <c r="BI263" s="39" t="inlineStr">
        <is>
          <t>IF(OR(F263="",AV263=""),"",IF(COUNT(AI263:AU263)=0,"",AV263-LOOKUP(2,1/(AI263:AU263&lt;&gt;""),AI263:AU263)))</t>
        </is>
      </c>
      <c r="BJ263" s="41" t="inlineStr">
        <is>
          <t>IF(J263="","All_Provinces",IFERROR(VLOOKUP(J263,'09_Lookups'!$A$4:$B$20,2,FALSE),"All_Provinces"))</t>
        </is>
      </c>
      <c r="BK263" s="41" t="inlineStr">
        <is>
          <t>IF(K263="","All_Districts",IFERROR(VLOOKUP(K263,'09_Lookups'!$E$4:$F$42,2,FALSE),"All_Districts"))</t>
        </is>
      </c>
    </row>
    <row r="264" outlineLevel="1" ht="18" customHeight="1">
      <c r="A264" s="42" t="inlineStr">
        <is>
          <t>IF(F264="","",ROW()-3)</t>
        </is>
      </c>
      <c r="B264" s="63" t="inlineStr">
        <is>
          <t>AF2-WSM-03</t>
        </is>
      </c>
      <c r="C264" s="63" t="inlineStr">
        <is>
          <t>Package #3 -AF2 WSM: Construction of Koklam three Check Dams (# 1, # 2 and # 3 ) in Kushk-e-Kohna District of Herat Province</t>
        </is>
      </c>
      <c r="D264" s="63" t="inlineStr">
        <is>
          <t>2 of 3</t>
        </is>
      </c>
      <c r="E264" s="52" t="inlineStr">
        <is>
          <t>AF2-WSM-A-005</t>
        </is>
      </c>
      <c r="F264" s="52" t="inlineStr">
        <is>
          <t>Jar Koklam, Dara Koklam Bala Check Dam # 1</t>
        </is>
      </c>
      <c r="G264" s="52" t="inlineStr">
        <is>
          <t>Watershed Management</t>
        </is>
      </c>
      <c r="H264" s="52" t="inlineStr">
        <is>
          <t>Check Dam</t>
        </is>
      </c>
      <c r="I264" s="52" t="inlineStr">
        <is>
          <t>Emergency Food Security Project (EFSP) – WBK/AF-2</t>
        </is>
      </c>
      <c r="J264" s="52" t="inlineStr">
        <is>
          <t>West / Herat</t>
        </is>
      </c>
      <c r="K264" s="52" t="inlineStr">
        <is>
          <t>Herat</t>
        </is>
      </c>
      <c r="L264" s="52" t="inlineStr">
        <is>
          <t>Koshk-e-Kohna</t>
        </is>
      </c>
      <c r="M264" s="52" t="inlineStr">
        <is>
          <t>Koklam village (Jar Koklam, Dara Koklam Bala, Baland Bazar, Jar Ahmad and Pastaliq Bazar)</t>
        </is>
      </c>
      <c r="N264" s="52" t="inlineStr">
        <is>
          <t>World Bank (WBK/AF-2)</t>
        </is>
      </c>
      <c r="O264" s="52" t="inlineStr">
        <is>
          <t>Awarded</t>
        </is>
      </c>
      <c r="P264" s="52" t="inlineStr">
        <is>
          <t>3.WSM awarded contracts</t>
        </is>
      </c>
      <c r="Q264" s="52" t="inlineStr">
        <is>
          <t>Afghan Aakam Construction and Road Company. JV with D- Amini Mashwani Construction Company (AACC)</t>
        </is>
      </c>
      <c r="R264" s="52" t="inlineStr">
        <is>
          <t>006/2026</t>
        </is>
      </c>
      <c r="S264" s="53" t="n">
        <v>71140.92</v>
      </c>
      <c r="T264" s="46" t="inlineStr">
        <is>
          <t>IF(AQ264="","",AQ264)</t>
        </is>
      </c>
      <c r="U264" s="54" t="n"/>
      <c r="V264" s="55" t="n">
        <v>10</v>
      </c>
      <c r="W264" s="54" t="n">
        <v>46346</v>
      </c>
      <c r="X264" s="46" t="inlineStr">
        <is>
          <t>IF(W264&lt;&gt;"",W264,IF(OR(T264="",V264=""),"",EDATE(T264,V264)))</t>
        </is>
      </c>
      <c r="Y264" s="54" t="n"/>
      <c r="Z264" s="55" t="n">
        <v>89</v>
      </c>
      <c r="AA264" s="52" t="inlineStr">
        <is>
          <t>Under Construction</t>
        </is>
      </c>
      <c r="AB264" s="52" t="inlineStr">
        <is>
          <t>Expected to complete by the end of the contract NTE.</t>
        </is>
      </c>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67" t="n"/>
      <c r="AJ264" s="67" t="n"/>
      <c r="AK264" s="67" t="n"/>
      <c r="AL264" s="67" t="n"/>
      <c r="AM264" s="67" t="n"/>
      <c r="AN264" s="67" t="n"/>
      <c r="AO264" s="67" t="n"/>
      <c r="AP264" s="67" t="n"/>
      <c r="AQ264" s="67" t="n">
        <v>46043</v>
      </c>
      <c r="AR264" s="67" t="n">
        <v>46043</v>
      </c>
      <c r="AS264" s="67"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outlineLevel="1" ht="18" customHeight="1">
      <c r="A265" s="42" t="inlineStr">
        <is>
          <t>IF(F265="","",ROW()-3)</t>
        </is>
      </c>
      <c r="B265" s="63" t="inlineStr">
        <is>
          <t>AF2-WSM-03</t>
        </is>
      </c>
      <c r="C265" s="63" t="inlineStr">
        <is>
          <t>Package #3 -AF2 WSM: Construction of Koklam three Check Dams (# 1, # 2 and # 3 ) in Kushk-e-Kohna District of Herat Province</t>
        </is>
      </c>
      <c r="D265" s="63" t="inlineStr">
        <is>
          <t>3 of 3</t>
        </is>
      </c>
      <c r="E265" s="44" t="inlineStr">
        <is>
          <t>AF2-WSM-A-006</t>
        </is>
      </c>
      <c r="F265" s="44" t="inlineStr">
        <is>
          <t>Pastaliq Bazar Check Dam # 3</t>
        </is>
      </c>
      <c r="G265" s="44" t="inlineStr">
        <is>
          <t>Watershed Management</t>
        </is>
      </c>
      <c r="H265" s="44" t="inlineStr">
        <is>
          <t>Check Dam</t>
        </is>
      </c>
      <c r="I265" s="44" t="inlineStr">
        <is>
          <t>Emergency Food Security Project (EFSP) – WBK/AF-2</t>
        </is>
      </c>
      <c r="J265" s="44" t="inlineStr">
        <is>
          <t>West / Herat</t>
        </is>
      </c>
      <c r="K265" s="44" t="inlineStr">
        <is>
          <t>Herat</t>
        </is>
      </c>
      <c r="L265" s="44" t="inlineStr">
        <is>
          <t>Koshk-e-Kohna</t>
        </is>
      </c>
      <c r="M265" s="44" t="inlineStr"/>
      <c r="N265" s="44" t="inlineStr">
        <is>
          <t>World Bank (WBK/AF-2)</t>
        </is>
      </c>
      <c r="O265" s="44" t="inlineStr">
        <is>
          <t>Awarded</t>
        </is>
      </c>
      <c r="P265" s="44" t="inlineStr">
        <is>
          <t>3.WSM awarded contracts</t>
        </is>
      </c>
      <c r="Q265" s="44" t="inlineStr">
        <is>
          <t>Afghan Aakam Construction and Road Company. JV with D- Amini Mashwani Construction Company (AACC)</t>
        </is>
      </c>
      <c r="R265" s="44" t="inlineStr">
        <is>
          <t>006/2026</t>
        </is>
      </c>
      <c r="S265" s="45" t="n">
        <v>74256.67999999999</v>
      </c>
      <c r="T265" s="46" t="inlineStr">
        <is>
          <t>IF(AQ265="","",AQ265)</t>
        </is>
      </c>
      <c r="U265" s="47" t="n"/>
      <c r="V265" s="48" t="n">
        <v>10</v>
      </c>
      <c r="W265" s="47" t="n">
        <v>46346</v>
      </c>
      <c r="X265" s="46" t="inlineStr">
        <is>
          <t>IF(W265&lt;&gt;"",W265,IF(OR(T265="",V265=""),"",EDATE(T265,V265)))</t>
        </is>
      </c>
      <c r="Y265" s="47" t="n"/>
      <c r="Z265" s="48" t="n">
        <v>30</v>
      </c>
      <c r="AA265" s="44" t="inlineStr">
        <is>
          <t>Under Construction</t>
        </is>
      </c>
      <c r="AB265" s="44" t="inlineStr">
        <is>
          <t>Expected to complete by the end of the contract NTE.</t>
        </is>
      </c>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67" t="n"/>
      <c r="AJ265" s="67" t="n"/>
      <c r="AK265" s="67" t="n"/>
      <c r="AL265" s="67" t="n"/>
      <c r="AM265" s="67" t="n"/>
      <c r="AN265" s="67" t="n"/>
      <c r="AO265" s="67" t="n"/>
      <c r="AP265" s="67" t="n"/>
      <c r="AQ265" s="67" t="n">
        <v>46043</v>
      </c>
      <c r="AR265" s="67" t="n">
        <v>46043</v>
      </c>
      <c r="AS265" s="6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32" t="inlineStr">
        <is>
          <t>IF(F266="","",ROW()-3)</t>
        </is>
      </c>
      <c r="B266" s="64" t="inlineStr">
        <is>
          <t>AF2-WSM-04</t>
        </is>
      </c>
      <c r="C266" s="64" t="inlineStr">
        <is>
          <t>Package #4-AF2 WSM: Construction of .Qalai Gerd check dam in Firozkoh dustrict of Ghor province.</t>
        </is>
      </c>
      <c r="D266" s="64" t="inlineStr">
        <is>
          <t>1 of 1</t>
        </is>
      </c>
      <c r="E266" s="34" t="inlineStr">
        <is>
          <t>AF2-WSM-N-002</t>
        </is>
      </c>
      <c r="F266" s="34" t="inlineStr">
        <is>
          <t>Qalai Gerd Check dam</t>
        </is>
      </c>
      <c r="G266" s="34" t="inlineStr">
        <is>
          <t>Watershed Management</t>
        </is>
      </c>
      <c r="H266" s="34" t="inlineStr">
        <is>
          <t>Check Dam</t>
        </is>
      </c>
      <c r="I266" s="34" t="inlineStr">
        <is>
          <t>Emergency Food Security Project (EFSP) – WBK/AF-2</t>
        </is>
      </c>
      <c r="J266" s="34" t="inlineStr">
        <is>
          <t>West / Herat</t>
        </is>
      </c>
      <c r="K266" s="34" t="inlineStr">
        <is>
          <t>Ghor</t>
        </is>
      </c>
      <c r="L266" s="34" t="inlineStr">
        <is>
          <t>Firozkoh</t>
        </is>
      </c>
      <c r="M266" s="34" t="inlineStr">
        <is>
          <t>Qalai Gerd</t>
        </is>
      </c>
      <c r="N266" s="34" t="inlineStr">
        <is>
          <t>World Bank (WBK/AF-2)</t>
        </is>
      </c>
      <c r="O266" s="34" t="inlineStr">
        <is>
          <t>Not awarded</t>
        </is>
      </c>
      <c r="P266" s="34" t="inlineStr">
        <is>
          <t>4.WSM remaining contracts</t>
        </is>
      </c>
      <c r="Q266" s="34" t="inlineStr"/>
      <c r="R266" s="34" t="inlineStr"/>
      <c r="S266" s="35" t="n">
        <v>219000</v>
      </c>
      <c r="T266" s="36" t="inlineStr">
        <is>
          <t>IF(AQ266="","",AQ266)</t>
        </is>
      </c>
      <c r="U266" s="37" t="n">
        <v>46366</v>
      </c>
      <c r="V266" s="38" t="n">
        <v>9.9</v>
      </c>
      <c r="W266" s="37" t="n">
        <v>46666</v>
      </c>
      <c r="X266" s="36" t="inlineStr">
        <is>
          <t>IF(W266&lt;&gt;"",W266,IF(OR(T266="",V266=""),"",EDATE(T266,V266)))</t>
        </is>
      </c>
      <c r="Y266" s="37" t="n"/>
      <c r="Z266" s="38" t="n"/>
      <c r="AA266" s="34" t="inlineStr">
        <is>
          <t>PR to be Raised</t>
        </is>
      </c>
      <c r="AB266" s="34" t="inlineStr">
        <is>
          <t>Construction of the check dam will be completed in seven months. Additional three months have been kept as slack period during Jan-March.</t>
        </is>
      </c>
      <c r="AC266" s="32" t="inlineStr">
        <is>
          <t>IF(F266="","",IF(COUNT(AI266:AV266)=0,IF(AA266="","Not started",AA266),SUBSTITUTE(LOOKUP(2,1/(AI266:AV266&lt;&gt;""),$AI$3:$AV$3),"Date: ","")))</t>
        </is>
      </c>
      <c r="AD266" s="39" t="inlineStr">
        <is>
          <t>IF(OR(F266="",COUNT(AI266:AV266)=0),"",TODAY()-LOOKUP(2,1/(AI266:AV266&lt;&gt;""),AI266:AV266))</t>
        </is>
      </c>
      <c r="AE266" s="39" t="inlineStr">
        <is>
          <t>IF(OR(F266="",COUNT(AI266:AV266)&lt;2),"",LOOKUP(2,1/(AI266:AV266&lt;&gt;""),AI266:AV266)-MIN(AI266:AV266))</t>
        </is>
      </c>
      <c r="AF266" s="39" t="inlineStr">
        <is>
          <t>IF(OR(AD266="",AC266="Not started",AC266=""),"",IFERROR(AD266-IF(VLOOKUP(AC266,'06_Status_Pipeline'!$B$3:$E$20,4,FALSE)="",0,VLOOKUP(AC266,'06_Status_Pipeline'!$B$3:$E$20,4,FALSE)),""))</t>
        </is>
      </c>
      <c r="AG266" s="3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39" t="inlineStr">
        <is>
          <t>IF(OR(F266="",AC266="Completed / Handover",AC266="Cancelled"),"",IF(O266="Not awarded",IF(U266&lt;&gt;"",U266-TODAY(),IF(X266="","",X266-TODAY())),IF(X266="","",X266-TODAY())))</t>
        </is>
      </c>
      <c r="AI266" s="37" t="n"/>
      <c r="AJ266" s="37" t="n"/>
      <c r="AK266" s="37" t="n"/>
      <c r="AL266" s="37" t="n"/>
      <c r="AM266" s="37" t="n"/>
      <c r="AN266" s="37" t="n"/>
      <c r="AO266" s="37" t="n"/>
      <c r="AP266" s="37" t="n"/>
      <c r="AQ266" s="37" t="n"/>
      <c r="AR266" s="37" t="n"/>
      <c r="AS266" s="37" t="n"/>
      <c r="AT266" s="40" t="n"/>
      <c r="AU266" s="40" t="n"/>
      <c r="AV266" s="40" t="n"/>
      <c r="AW266" s="39" t="inlineStr">
        <is>
          <t>IF(OR(F266="",AJ266=""),"",IF(COUNT(AI266:AI266)=0,"",AJ266-LOOKUP(2,1/(AI266:AI266&lt;&gt;""),AI266:AI266)))</t>
        </is>
      </c>
      <c r="AX266" s="39" t="inlineStr">
        <is>
          <t>IF(OR(F266="",AK266=""),"",IF(COUNT(AI266:AJ266)=0,"",AK266-LOOKUP(2,1/(AI266:AJ266&lt;&gt;""),AI266:AJ266)))</t>
        </is>
      </c>
      <c r="AY266" s="39" t="inlineStr">
        <is>
          <t>IF(OR(F266="",AL266=""),"",IF(COUNT(AI266:AK266)=0,"",AL266-LOOKUP(2,1/(AI266:AK266&lt;&gt;""),AI266:AK266)))</t>
        </is>
      </c>
      <c r="AZ266" s="39" t="inlineStr">
        <is>
          <t>IF(OR(F266="",AM266=""),"",IF(COUNT(AI266:AL266)=0,"",AM266-LOOKUP(2,1/(AI266:AL266&lt;&gt;""),AI266:AL266)))</t>
        </is>
      </c>
      <c r="BA266" s="39" t="inlineStr">
        <is>
          <t>IF(OR(F266="",AN266=""),"",IF(COUNT(AI266:AM266)=0,"",AN266-LOOKUP(2,1/(AI266:AM266&lt;&gt;""),AI266:AM266)))</t>
        </is>
      </c>
      <c r="BB266" s="39" t="inlineStr">
        <is>
          <t>IF(OR(F266="",AO266=""),"",IF(COUNT(AI266:AN266)=0,"",AO266-LOOKUP(2,1/(AI266:AN266&lt;&gt;""),AI266:AN266)))</t>
        </is>
      </c>
      <c r="BC266" s="39" t="inlineStr">
        <is>
          <t>IF(OR(F266="",AP266=""),"",IF(COUNT(AI266:AO266)=0,"",AP266-LOOKUP(2,1/(AI266:AO266&lt;&gt;""),AI266:AO266)))</t>
        </is>
      </c>
      <c r="BD266" s="39" t="inlineStr">
        <is>
          <t>IF(OR(F266="",AQ266=""),"",IF(COUNT(AI266:AP266)=0,"",AQ266-LOOKUP(2,1/(AI266:AP266&lt;&gt;""),AI266:AP266)))</t>
        </is>
      </c>
      <c r="BE266" s="39" t="inlineStr">
        <is>
          <t>IF(OR(F266="",AR266=""),"",IF(COUNT(AI266:AQ266)=0,"",AR266-LOOKUP(2,1/(AI266:AQ266&lt;&gt;""),AI266:AQ266)))</t>
        </is>
      </c>
      <c r="BF266" s="39" t="inlineStr">
        <is>
          <t>IF(OR(F266="",AS266=""),"",IF(COUNT(AI266:AR266)=0,"",AS266-LOOKUP(2,1/(AI266:AR266&lt;&gt;""),AI266:AR266)))</t>
        </is>
      </c>
      <c r="BG266" s="39" t="inlineStr">
        <is>
          <t>IF(OR(F266="",AT266=""),"",IF(COUNT(AI266:AS266)=0,"",AT266-LOOKUP(2,1/(AI266:AS266&lt;&gt;""),AI266:AS266)))</t>
        </is>
      </c>
      <c r="BH266" s="39" t="inlineStr">
        <is>
          <t>IF(OR(F266="",AU266=""),"",IF(COUNT(AI266:AT266)=0,"",AU266-LOOKUP(2,1/(AI266:AT266&lt;&gt;""),AI266:AT266)))</t>
        </is>
      </c>
      <c r="BI266" s="39" t="inlineStr">
        <is>
          <t>IF(OR(F266="",AV266=""),"",IF(COUNT(AI266:AU266)=0,"",AV266-LOOKUP(2,1/(AI266:AU266&lt;&gt;""),AI266:AU266)))</t>
        </is>
      </c>
      <c r="BJ266" s="41" t="inlineStr">
        <is>
          <t>IF(J266="","All_Provinces",IFERROR(VLOOKUP(J266,'09_Lookups'!$A$4:$B$20,2,FALSE),"All_Provinces"))</t>
        </is>
      </c>
      <c r="BK266" s="41" t="inlineStr">
        <is>
          <t>IF(K266="","All_Districts",IFERROR(VLOOKUP(K266,'09_Lookups'!$E$4:$F$42,2,FALSE),"All_Districts"))</t>
        </is>
      </c>
    </row>
    <row r="267" ht="18" customHeight="1">
      <c r="A267" s="32" t="inlineStr">
        <is>
          <t>IF(F267="","",ROW()-3)</t>
        </is>
      </c>
      <c r="B267" s="33" t="inlineStr">
        <is>
          <t>AF2-WSM-05</t>
        </is>
      </c>
      <c r="C267" s="33" t="inlineStr">
        <is>
          <t>Package #5-AF2 WSM/Part-2: Construction of 4 Check dams of 1.Farman Khil and 2.Kharoti in Qarghaee district of Laghman province; 3. Lokhy Solozi and 4. Lala Kali in Chaparhar districts of Nangarhar province.</t>
        </is>
      </c>
      <c r="D267" s="33" t="inlineStr">
        <is>
          <t>1 of 4</t>
        </is>
      </c>
      <c r="E267" s="57" t="inlineStr">
        <is>
          <t>AF2-WSM-A-007</t>
        </is>
      </c>
      <c r="F267" s="57" t="inlineStr">
        <is>
          <t>1. Farman khill Check dam</t>
        </is>
      </c>
      <c r="G267" s="57" t="inlineStr">
        <is>
          <t>Watershed Management</t>
        </is>
      </c>
      <c r="H267" s="57" t="inlineStr">
        <is>
          <t>Check Dam</t>
        </is>
      </c>
      <c r="I267" s="57" t="inlineStr">
        <is>
          <t>Emergency Food Security Project (EFSP) – WBK/AF-2</t>
        </is>
      </c>
      <c r="J267" s="57" t="inlineStr">
        <is>
          <t>East / Jalalabad</t>
        </is>
      </c>
      <c r="K267" s="57" t="inlineStr">
        <is>
          <t>Laghman</t>
        </is>
      </c>
      <c r="L267" s="57" t="inlineStr">
        <is>
          <t>Qarghaee</t>
        </is>
      </c>
      <c r="M267" s="57" t="inlineStr">
        <is>
          <t>Farmankhil</t>
        </is>
      </c>
      <c r="N267" s="57" t="inlineStr">
        <is>
          <t>World Bank (WBK/AF-2)</t>
        </is>
      </c>
      <c r="O267" s="57" t="inlineStr">
        <is>
          <t>Awarded</t>
        </is>
      </c>
      <c r="P267" s="57" t="inlineStr">
        <is>
          <t>3.WSM awarded contracts</t>
        </is>
      </c>
      <c r="Q267" s="57" t="inlineStr">
        <is>
          <t>Khaliqi Building &amp; Road Construction Company (KBRCC)</t>
        </is>
      </c>
      <c r="R267" s="57" t="inlineStr">
        <is>
          <t>040/2026</t>
        </is>
      </c>
      <c r="S267" s="58" t="n">
        <v>29781.88</v>
      </c>
      <c r="T267" s="36" t="inlineStr">
        <is>
          <t>IF(AQ267="","",AQ267)</t>
        </is>
      </c>
      <c r="U267" s="59" t="n"/>
      <c r="V267" s="60" t="n">
        <v>5</v>
      </c>
      <c r="W267" s="59" t="n">
        <v>46324</v>
      </c>
      <c r="X267" s="36" t="inlineStr">
        <is>
          <t>IF(W267&lt;&gt;"",W267,IF(OR(T267="",V267=""),"",EDATE(T267,V267)))</t>
        </is>
      </c>
      <c r="Y267" s="59" t="n"/>
      <c r="Z267" s="60" t="n">
        <v>50</v>
      </c>
      <c r="AA267" s="57" t="inlineStr">
        <is>
          <t>Under Construction</t>
        </is>
      </c>
      <c r="AB267" s="57" t="inlineStr">
        <is>
          <t>A check dam, a pond and a social structure. Contract extension needs to be sought.</t>
        </is>
      </c>
      <c r="AC267" s="32" t="inlineStr">
        <is>
          <t>IF(F267="","",IF(COUNT(AI267:AV267)=0,IF(AA267="","Not started",AA267),SUBSTITUTE(LOOKUP(2,1/(AI267:AV267&lt;&gt;""),$AI$3:$AV$3),"Date: ","")))</t>
        </is>
      </c>
      <c r="AD267" s="39" t="inlineStr">
        <is>
          <t>IF(OR(F267="",COUNT(AI267:AV267)=0),"",TODAY()-LOOKUP(2,1/(AI267:AV267&lt;&gt;""),AI267:AV267))</t>
        </is>
      </c>
      <c r="AE267" s="39" t="inlineStr">
        <is>
          <t>IF(OR(F267="",COUNT(AI267:AV267)&lt;2),"",LOOKUP(2,1/(AI267:AV267&lt;&gt;""),AI267:AV267)-MIN(AI267:AV267))</t>
        </is>
      </c>
      <c r="AF267" s="39" t="inlineStr">
        <is>
          <t>IF(OR(AD267="",AC267="Not started",AC267=""),"",IFERROR(AD267-IF(VLOOKUP(AC267,'06_Status_Pipeline'!$B$3:$E$20,4,FALSE)="",0,VLOOKUP(AC267,'06_Status_Pipeline'!$B$3:$E$20,4,FALSE)),""))</t>
        </is>
      </c>
      <c r="AG267" s="3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39" t="inlineStr">
        <is>
          <t>IF(OR(F267="",AC267="Completed / Handover",AC267="Cancelled"),"",IF(O267="Not awarded",IF(U267&lt;&gt;"",U267-TODAY(),IF(X267="","",X267-TODAY())),IF(X267="","",X267-TODAY())))</t>
        </is>
      </c>
      <c r="AI267" s="66" t="n"/>
      <c r="AJ267" s="66" t="n"/>
      <c r="AK267" s="66" t="n"/>
      <c r="AL267" s="66" t="n"/>
      <c r="AM267" s="66" t="n"/>
      <c r="AN267" s="66" t="n"/>
      <c r="AO267" s="66" t="n"/>
      <c r="AP267" s="66" t="n"/>
      <c r="AQ267" s="66" t="n">
        <v>46172</v>
      </c>
      <c r="AR267" s="66" t="n">
        <v>46172</v>
      </c>
      <c r="AS267" s="66" t="n"/>
      <c r="AT267" s="40" t="n"/>
      <c r="AU267" s="40" t="n"/>
      <c r="AV267" s="40" t="n"/>
      <c r="AW267" s="39" t="inlineStr">
        <is>
          <t>IF(OR(F267="",AJ267=""),"",IF(COUNT(AI267:AI267)=0,"",AJ267-LOOKUP(2,1/(AI267:AI267&lt;&gt;""),AI267:AI267)))</t>
        </is>
      </c>
      <c r="AX267" s="39" t="inlineStr">
        <is>
          <t>IF(OR(F267="",AK267=""),"",IF(COUNT(AI267:AJ267)=0,"",AK267-LOOKUP(2,1/(AI267:AJ267&lt;&gt;""),AI267:AJ267)))</t>
        </is>
      </c>
      <c r="AY267" s="39" t="inlineStr">
        <is>
          <t>IF(OR(F267="",AL267=""),"",IF(COUNT(AI267:AK267)=0,"",AL267-LOOKUP(2,1/(AI267:AK267&lt;&gt;""),AI267:AK267)))</t>
        </is>
      </c>
      <c r="AZ267" s="39" t="inlineStr">
        <is>
          <t>IF(OR(F267="",AM267=""),"",IF(COUNT(AI267:AL267)=0,"",AM267-LOOKUP(2,1/(AI267:AL267&lt;&gt;""),AI267:AL267)))</t>
        </is>
      </c>
      <c r="BA267" s="39" t="inlineStr">
        <is>
          <t>IF(OR(F267="",AN267=""),"",IF(COUNT(AI267:AM267)=0,"",AN267-LOOKUP(2,1/(AI267:AM267&lt;&gt;""),AI267:AM267)))</t>
        </is>
      </c>
      <c r="BB267" s="39" t="inlineStr">
        <is>
          <t>IF(OR(F267="",AO267=""),"",IF(COUNT(AI267:AN267)=0,"",AO267-LOOKUP(2,1/(AI267:AN267&lt;&gt;""),AI267:AN267)))</t>
        </is>
      </c>
      <c r="BC267" s="39" t="inlineStr">
        <is>
          <t>IF(OR(F267="",AP267=""),"",IF(COUNT(AI267:AO267)=0,"",AP267-LOOKUP(2,1/(AI267:AO267&lt;&gt;""),AI267:AO267)))</t>
        </is>
      </c>
      <c r="BD267" s="39" t="inlineStr">
        <is>
          <t>IF(OR(F267="",AQ267=""),"",IF(COUNT(AI267:AP267)=0,"",AQ267-LOOKUP(2,1/(AI267:AP267&lt;&gt;""),AI267:AP267)))</t>
        </is>
      </c>
      <c r="BE267" s="39" t="inlineStr">
        <is>
          <t>IF(OR(F267="",AR267=""),"",IF(COUNT(AI267:AQ267)=0,"",AR267-LOOKUP(2,1/(AI267:AQ267&lt;&gt;""),AI267:AQ267)))</t>
        </is>
      </c>
      <c r="BF267" s="39" t="inlineStr">
        <is>
          <t>IF(OR(F267="",AS267=""),"",IF(COUNT(AI267:AR267)=0,"",AS267-LOOKUP(2,1/(AI267:AR267&lt;&gt;""),AI267:AR267)))</t>
        </is>
      </c>
      <c r="BG267" s="39" t="inlineStr">
        <is>
          <t>IF(OR(F267="",AT267=""),"",IF(COUNT(AI267:AS267)=0,"",AT267-LOOKUP(2,1/(AI267:AS267&lt;&gt;""),AI267:AS267)))</t>
        </is>
      </c>
      <c r="BH267" s="39" t="inlineStr">
        <is>
          <t>IF(OR(F267="",AU267=""),"",IF(COUNT(AI267:AT267)=0,"",AU267-LOOKUP(2,1/(AI267:AT267&lt;&gt;""),AI267:AT267)))</t>
        </is>
      </c>
      <c r="BI267" s="39" t="inlineStr">
        <is>
          <t>IF(OR(F267="",AV267=""),"",IF(COUNT(AI267:AU267)=0,"",AV267-LOOKUP(2,1/(AI267:AU267&lt;&gt;""),AI267:AU267)))</t>
        </is>
      </c>
      <c r="BJ267" s="41" t="inlineStr">
        <is>
          <t>IF(J267="","All_Provinces",IFERROR(VLOOKUP(J267,'09_Lookups'!$A$4:$B$20,2,FALSE),"All_Provinces"))</t>
        </is>
      </c>
      <c r="BK267" s="41" t="inlineStr">
        <is>
          <t>IF(K267="","All_Districts",IFERROR(VLOOKUP(K267,'09_Lookups'!$E$4:$F$42,2,FALSE),"All_Districts"))</t>
        </is>
      </c>
    </row>
    <row r="268" outlineLevel="1" ht="18" customHeight="1">
      <c r="A268" s="42" t="inlineStr">
        <is>
          <t>IF(F268="","",ROW()-3)</t>
        </is>
      </c>
      <c r="B268" s="43" t="inlineStr">
        <is>
          <t>AF2-WSM-05</t>
        </is>
      </c>
      <c r="C268" s="43" t="inlineStr">
        <is>
          <t>Package #5-AF2 WSM/Part-2: Construction of 4 Check dams of 1.Farman Khil and 2.Kharoti in Qarghaee district of Laghman province; 3. Lokhy Solozi and 4. Lala Kali in Chaparhar districts of Nangarhar province.</t>
        </is>
      </c>
      <c r="D268" s="43" t="inlineStr">
        <is>
          <t>2 of 4</t>
        </is>
      </c>
      <c r="E268" s="52" t="inlineStr">
        <is>
          <t>AF2-WSM-A-008</t>
        </is>
      </c>
      <c r="F268" s="52" t="inlineStr">
        <is>
          <t>2. Kharoti Check dam</t>
        </is>
      </c>
      <c r="G268" s="52" t="inlineStr">
        <is>
          <t>Watershed Management</t>
        </is>
      </c>
      <c r="H268" s="52" t="inlineStr">
        <is>
          <t>Check Dam</t>
        </is>
      </c>
      <c r="I268" s="52" t="inlineStr">
        <is>
          <t>Emergency Food Security Project (EFSP) – WBK/AF-2</t>
        </is>
      </c>
      <c r="J268" s="52" t="inlineStr">
        <is>
          <t>East / Jalalabad</t>
        </is>
      </c>
      <c r="K268" s="52" t="inlineStr">
        <is>
          <t>Laghman</t>
        </is>
      </c>
      <c r="L268" s="52" t="inlineStr">
        <is>
          <t>Qarghaee</t>
        </is>
      </c>
      <c r="M268" s="52" t="inlineStr">
        <is>
          <t>Kharoti</t>
        </is>
      </c>
      <c r="N268" s="52" t="inlineStr">
        <is>
          <t>World Bank (WBK/AF-2)</t>
        </is>
      </c>
      <c r="O268" s="52" t="inlineStr">
        <is>
          <t>Awarded</t>
        </is>
      </c>
      <c r="P268" s="52" t="inlineStr">
        <is>
          <t>3.WSM awarded contracts</t>
        </is>
      </c>
      <c r="Q268" s="52" t="inlineStr">
        <is>
          <t>Khaliqi Building &amp; Road Construction Company (KBRCC)</t>
        </is>
      </c>
      <c r="R268" s="52" t="inlineStr">
        <is>
          <t>040/2026</t>
        </is>
      </c>
      <c r="S268" s="53" t="n">
        <v>24682.65</v>
      </c>
      <c r="T268" s="46" t="inlineStr">
        <is>
          <t>IF(AQ268="","",AQ268)</t>
        </is>
      </c>
      <c r="U268" s="54" t="n"/>
      <c r="V268" s="55" t="n">
        <v>5</v>
      </c>
      <c r="W268" s="54" t="n">
        <v>46324</v>
      </c>
      <c r="X268" s="46" t="inlineStr">
        <is>
          <t>IF(W268&lt;&gt;"",W268,IF(OR(T268="",V268=""),"",EDATE(T268,V268)))</t>
        </is>
      </c>
      <c r="Y268" s="54" t="n"/>
      <c r="Z268" s="55" t="n">
        <v>68</v>
      </c>
      <c r="AA268" s="52" t="inlineStr">
        <is>
          <t>Under Construction</t>
        </is>
      </c>
      <c r="AB268" s="52" t="inlineStr">
        <is>
          <t>A check dam, a pond and a social structure. Contract extension needs to be sought.</t>
        </is>
      </c>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67" t="n"/>
      <c r="AJ268" s="67" t="n"/>
      <c r="AK268" s="67" t="n"/>
      <c r="AL268" s="67" t="n"/>
      <c r="AM268" s="67" t="n"/>
      <c r="AN268" s="67" t="n"/>
      <c r="AO268" s="67" t="n"/>
      <c r="AP268" s="67" t="n"/>
      <c r="AQ268" s="67" t="n">
        <v>46172</v>
      </c>
      <c r="AR268" s="67" t="n">
        <v>46172</v>
      </c>
      <c r="AS268" s="67"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outlineLevel="1" ht="18" customHeight="1">
      <c r="A269" s="42" t="inlineStr">
        <is>
          <t>IF(F269="","",ROW()-3)</t>
        </is>
      </c>
      <c r="B269" s="43" t="inlineStr">
        <is>
          <t>AF2-WSM-05</t>
        </is>
      </c>
      <c r="C269" s="43" t="inlineStr">
        <is>
          <t>Package #5-AF2 WSM/Part-2: Construction of 4 Check dams of 1.Farman Khil and 2.Kharoti in Qarghaee district of Laghman province; 3. Lokhy Solozi and 4. Lala Kali in Chaparhar districts of Nangarhar province.</t>
        </is>
      </c>
      <c r="D269" s="43" t="inlineStr">
        <is>
          <t>3 of 4</t>
        </is>
      </c>
      <c r="E269" s="44" t="inlineStr">
        <is>
          <t>AF2-WSM-A-009</t>
        </is>
      </c>
      <c r="F269" s="44" t="inlineStr">
        <is>
          <t>3. Lokhy Solozi Check dam</t>
        </is>
      </c>
      <c r="G269" s="44" t="inlineStr">
        <is>
          <t>Watershed Management</t>
        </is>
      </c>
      <c r="H269" s="44" t="inlineStr">
        <is>
          <t>Check Dam</t>
        </is>
      </c>
      <c r="I269" s="44" t="inlineStr">
        <is>
          <t>Emergency Food Security Project (EFSP) – WBK/AF-2</t>
        </is>
      </c>
      <c r="J269" s="44" t="inlineStr">
        <is>
          <t>East / Jalalabad</t>
        </is>
      </c>
      <c r="K269" s="44" t="inlineStr">
        <is>
          <t>Nangarhar</t>
        </is>
      </c>
      <c r="L269" s="44" t="inlineStr">
        <is>
          <t>Chaparhar</t>
        </is>
      </c>
      <c r="M269" s="44" t="inlineStr">
        <is>
          <t>Lokhy Solozi</t>
        </is>
      </c>
      <c r="N269" s="44" t="inlineStr">
        <is>
          <t>World Bank (WBK/AF-2)</t>
        </is>
      </c>
      <c r="O269" s="44" t="inlineStr">
        <is>
          <t>Awarded</t>
        </is>
      </c>
      <c r="P269" s="44" t="inlineStr">
        <is>
          <t>3.WSM awarded contracts</t>
        </is>
      </c>
      <c r="Q269" s="44" t="inlineStr">
        <is>
          <t>Khaliqi Building &amp; Road Construction Company (KBRCC)</t>
        </is>
      </c>
      <c r="R269" s="44" t="inlineStr">
        <is>
          <t>040/2026</t>
        </is>
      </c>
      <c r="S269" s="45" t="n">
        <v>38189.61</v>
      </c>
      <c r="T269" s="46" t="inlineStr">
        <is>
          <t>IF(AQ269="","",AQ269)</t>
        </is>
      </c>
      <c r="U269" s="47" t="n"/>
      <c r="V269" s="48" t="n">
        <v>5</v>
      </c>
      <c r="W269" s="47" t="n">
        <v>46324</v>
      </c>
      <c r="X269" s="46" t="inlineStr">
        <is>
          <t>IF(W269&lt;&gt;"",W269,IF(OR(T269="",V269=""),"",EDATE(T269,V269)))</t>
        </is>
      </c>
      <c r="Y269" s="47" t="n"/>
      <c r="Z269" s="48" t="n">
        <v>60</v>
      </c>
      <c r="AA269" s="44" t="inlineStr">
        <is>
          <t>Under Construction</t>
        </is>
      </c>
      <c r="AB269" s="44" t="inlineStr">
        <is>
          <t>A check dam, a pond and a social structure. Contract extension needs to be sought.</t>
        </is>
      </c>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67" t="n"/>
      <c r="AJ269" s="67" t="n"/>
      <c r="AK269" s="67" t="n"/>
      <c r="AL269" s="67" t="n"/>
      <c r="AM269" s="67" t="n"/>
      <c r="AN269" s="67" t="n"/>
      <c r="AO269" s="67" t="n"/>
      <c r="AP269" s="67" t="n"/>
      <c r="AQ269" s="67" t="n">
        <v>46172</v>
      </c>
      <c r="AR269" s="67" t="n">
        <v>46172</v>
      </c>
      <c r="AS269" s="6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outlineLevel="1" ht="18" customHeight="1">
      <c r="A270" s="42" t="inlineStr">
        <is>
          <t>IF(F270="","",ROW()-3)</t>
        </is>
      </c>
      <c r="B270" s="43" t="inlineStr">
        <is>
          <t>AF2-WSM-05</t>
        </is>
      </c>
      <c r="C270" s="43" t="inlineStr">
        <is>
          <t>Package #5-AF2 WSM/Part-2: Construction of 4 Check dams of 1.Farman Khil and 2.Kharoti in Qarghaee district of Laghman province; 3. Lokhy Solozi and 4. Lala Kali in Chaparhar districts of Nangarhar province.</t>
        </is>
      </c>
      <c r="D270" s="43" t="inlineStr">
        <is>
          <t>4 of 4</t>
        </is>
      </c>
      <c r="E270" s="52" t="inlineStr">
        <is>
          <t>AF2-WSM-A-010</t>
        </is>
      </c>
      <c r="F270" s="52" t="inlineStr">
        <is>
          <t>4. Lala Kali/Ranju Ghar Check dam</t>
        </is>
      </c>
      <c r="G270" s="52" t="inlineStr">
        <is>
          <t>Watershed Management</t>
        </is>
      </c>
      <c r="H270" s="52" t="inlineStr">
        <is>
          <t>Check Dam</t>
        </is>
      </c>
      <c r="I270" s="52" t="inlineStr">
        <is>
          <t>Emergency Food Security Project (EFSP) – WBK/AF-2</t>
        </is>
      </c>
      <c r="J270" s="52" t="inlineStr">
        <is>
          <t>East / Jalalabad</t>
        </is>
      </c>
      <c r="K270" s="52" t="inlineStr">
        <is>
          <t>Nangarhar</t>
        </is>
      </c>
      <c r="L270" s="52" t="inlineStr">
        <is>
          <t>Chaparhar</t>
        </is>
      </c>
      <c r="M270" s="52" t="inlineStr">
        <is>
          <t>Lala Kali/Ranjo ghar</t>
        </is>
      </c>
      <c r="N270" s="52" t="inlineStr">
        <is>
          <t>World Bank (WBK/AF-2)</t>
        </is>
      </c>
      <c r="O270" s="52" t="inlineStr">
        <is>
          <t>Awarded</t>
        </is>
      </c>
      <c r="P270" s="52" t="inlineStr">
        <is>
          <t>3.WSM awarded contracts</t>
        </is>
      </c>
      <c r="Q270" s="52" t="inlineStr">
        <is>
          <t>Khaliqi Building &amp; Road Construction Company (KBRCC)</t>
        </is>
      </c>
      <c r="R270" s="52" t="inlineStr">
        <is>
          <t>040/2026</t>
        </is>
      </c>
      <c r="S270" s="53" t="n">
        <v>17344.51</v>
      </c>
      <c r="T270" s="46" t="inlineStr">
        <is>
          <t>IF(AQ270="","",AQ270)</t>
        </is>
      </c>
      <c r="U270" s="54" t="n"/>
      <c r="V270" s="55" t="n">
        <v>5</v>
      </c>
      <c r="W270" s="54" t="n">
        <v>46324</v>
      </c>
      <c r="X270" s="46" t="inlineStr">
        <is>
          <t>IF(W270&lt;&gt;"",W270,IF(OR(T270="",V270=""),"",EDATE(T270,V270)))</t>
        </is>
      </c>
      <c r="Y270" s="54" t="n"/>
      <c r="Z270" s="55" t="n">
        <v>0</v>
      </c>
      <c r="AA270" s="52" t="inlineStr">
        <is>
          <t>Awarded</t>
        </is>
      </c>
      <c r="AB270" s="52" t="inlineStr">
        <is>
          <t>A check dam, a pond and a social structure. Contract extension needs to be sought.</t>
        </is>
      </c>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67" t="n"/>
      <c r="AJ270" s="67" t="n"/>
      <c r="AK270" s="67" t="n"/>
      <c r="AL270" s="67" t="n"/>
      <c r="AM270" s="67" t="n"/>
      <c r="AN270" s="67" t="n"/>
      <c r="AO270" s="67" t="n"/>
      <c r="AP270" s="67" t="n"/>
      <c r="AQ270" s="67" t="n">
        <v>46172</v>
      </c>
      <c r="AR270" s="67" t="n"/>
      <c r="AS270" s="67"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32" t="inlineStr">
        <is>
          <t>IF(F271="","",ROW()-3)</t>
        </is>
      </c>
      <c r="B271" s="56" t="inlineStr">
        <is>
          <t>AF2-WSM-06</t>
        </is>
      </c>
      <c r="C271" s="56" t="inlineStr">
        <is>
          <t>Package #6-AF2 WSM: Construction of Jarobi Tangi, Chaghari and Adore check dams, located in Shirzad, Rodat, and Khogyani, districts of Nangarhar province.</t>
        </is>
      </c>
      <c r="D271" s="56" t="inlineStr">
        <is>
          <t>1 of 3</t>
        </is>
      </c>
      <c r="E271" s="57" t="inlineStr">
        <is>
          <t>AF2-WSM-A-011</t>
        </is>
      </c>
      <c r="F271" s="57" t="inlineStr">
        <is>
          <t>1. Markikhil/Jarobi Tangi Check dam</t>
        </is>
      </c>
      <c r="G271" s="57" t="inlineStr">
        <is>
          <t>Watershed Management</t>
        </is>
      </c>
      <c r="H271" s="57" t="inlineStr">
        <is>
          <t>Check Dam</t>
        </is>
      </c>
      <c r="I271" s="57" t="inlineStr">
        <is>
          <t>Emergency Food Security Project (EFSP) – WBK/AF-2</t>
        </is>
      </c>
      <c r="J271" s="57" t="inlineStr">
        <is>
          <t>East / Jalalabad</t>
        </is>
      </c>
      <c r="K271" s="57" t="inlineStr">
        <is>
          <t>Nangarhar</t>
        </is>
      </c>
      <c r="L271" s="57" t="inlineStr">
        <is>
          <t>Sherzad</t>
        </is>
      </c>
      <c r="M271" s="57" t="inlineStr">
        <is>
          <t>Jarobi Tangi</t>
        </is>
      </c>
      <c r="N271" s="57" t="inlineStr">
        <is>
          <t>World Bank (WBK/AF-2)</t>
        </is>
      </c>
      <c r="O271" s="57" t="inlineStr">
        <is>
          <t>Awarded</t>
        </is>
      </c>
      <c r="P271" s="57" t="inlineStr">
        <is>
          <t>3.WSM awarded contracts</t>
        </is>
      </c>
      <c r="Q271" s="57" t="inlineStr">
        <is>
          <t>Naeemi Safi Construction &amp; Construction Material Company (NSCC)</t>
        </is>
      </c>
      <c r="R271" s="57" t="inlineStr">
        <is>
          <t>065/2026</t>
        </is>
      </c>
      <c r="S271" s="58" t="n">
        <v>51209.99</v>
      </c>
      <c r="T271" s="36" t="inlineStr">
        <is>
          <t>IF(AQ271="","",AQ271)</t>
        </is>
      </c>
      <c r="U271" s="59" t="n"/>
      <c r="V271" s="60" t="n">
        <v>6.9</v>
      </c>
      <c r="W271" s="59" t="n">
        <v>46225</v>
      </c>
      <c r="X271" s="36" t="inlineStr">
        <is>
          <t>IF(W271&lt;&gt;"",W271,IF(OR(T271="",V271=""),"",EDATE(T271,V271)))</t>
        </is>
      </c>
      <c r="Y271" s="59" t="n"/>
      <c r="Z271" s="60" t="n">
        <v>100</v>
      </c>
      <c r="AA271" s="57" t="inlineStr">
        <is>
          <t>Completed / Handover</t>
        </is>
      </c>
      <c r="AB271" s="57" t="inlineStr">
        <is>
          <t>Completed on July, 2026</t>
        </is>
      </c>
      <c r="AC271" s="32" t="inlineStr">
        <is>
          <t>IF(F271="","",IF(COUNT(AI271:AV271)=0,IF(AA271="","Not started",AA271),SUBSTITUTE(LOOKUP(2,1/(AI271:AV271&lt;&gt;""),$AI$3:$AV$3),"Date: ","")))</t>
        </is>
      </c>
      <c r="AD271" s="39" t="inlineStr">
        <is>
          <t>IF(OR(F271="",COUNT(AI271:AV271)=0),"",TODAY()-LOOKUP(2,1/(AI271:AV271&lt;&gt;""),AI271:AV271))</t>
        </is>
      </c>
      <c r="AE271" s="39" t="inlineStr">
        <is>
          <t>IF(OR(F271="",COUNT(AI271:AV271)&lt;2),"",LOOKUP(2,1/(AI271:AV271&lt;&gt;""),AI271:AV271)-MIN(AI271:AV271))</t>
        </is>
      </c>
      <c r="AF271" s="39" t="inlineStr">
        <is>
          <t>IF(OR(AD271="",AC271="Not started",AC271=""),"",IFERROR(AD271-IF(VLOOKUP(AC271,'06_Status_Pipeline'!$B$3:$E$20,4,FALSE)="",0,VLOOKUP(AC271,'06_Status_Pipeline'!$B$3:$E$20,4,FALSE)),""))</t>
        </is>
      </c>
      <c r="AG271" s="3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39" t="inlineStr">
        <is>
          <t>IF(OR(F271="",AC271="Completed / Handover",AC271="Cancelled"),"",IF(O271="Not awarded",IF(U271&lt;&gt;"",U271-TODAY(),IF(X271="","",X271-TODAY())),IF(X271="","",X271-TODAY())))</t>
        </is>
      </c>
      <c r="AI271" s="66" t="n"/>
      <c r="AJ271" s="66" t="n"/>
      <c r="AK271" s="66" t="n"/>
      <c r="AL271" s="66" t="n"/>
      <c r="AM271" s="66" t="n"/>
      <c r="AN271" s="66" t="n"/>
      <c r="AO271" s="66" t="n"/>
      <c r="AP271" s="66" t="n"/>
      <c r="AQ271" s="66" t="n">
        <v>46014</v>
      </c>
      <c r="AR271" s="66" t="n">
        <v>46014</v>
      </c>
      <c r="AS271" s="66" t="n">
        <v>46225</v>
      </c>
      <c r="AT271" s="40" t="n"/>
      <c r="AU271" s="40" t="n"/>
      <c r="AV271" s="40" t="n"/>
      <c r="AW271" s="39" t="inlineStr">
        <is>
          <t>IF(OR(F271="",AJ271=""),"",IF(COUNT(AI271:AI271)=0,"",AJ271-LOOKUP(2,1/(AI271:AI271&lt;&gt;""),AI271:AI271)))</t>
        </is>
      </c>
      <c r="AX271" s="39" t="inlineStr">
        <is>
          <t>IF(OR(F271="",AK271=""),"",IF(COUNT(AI271:AJ271)=0,"",AK271-LOOKUP(2,1/(AI271:AJ271&lt;&gt;""),AI271:AJ271)))</t>
        </is>
      </c>
      <c r="AY271" s="39" t="inlineStr">
        <is>
          <t>IF(OR(F271="",AL271=""),"",IF(COUNT(AI271:AK271)=0,"",AL271-LOOKUP(2,1/(AI271:AK271&lt;&gt;""),AI271:AK271)))</t>
        </is>
      </c>
      <c r="AZ271" s="39" t="inlineStr">
        <is>
          <t>IF(OR(F271="",AM271=""),"",IF(COUNT(AI271:AL271)=0,"",AM271-LOOKUP(2,1/(AI271:AL271&lt;&gt;""),AI271:AL271)))</t>
        </is>
      </c>
      <c r="BA271" s="39" t="inlineStr">
        <is>
          <t>IF(OR(F271="",AN271=""),"",IF(COUNT(AI271:AM271)=0,"",AN271-LOOKUP(2,1/(AI271:AM271&lt;&gt;""),AI271:AM271)))</t>
        </is>
      </c>
      <c r="BB271" s="39" t="inlineStr">
        <is>
          <t>IF(OR(F271="",AO271=""),"",IF(COUNT(AI271:AN271)=0,"",AO271-LOOKUP(2,1/(AI271:AN271&lt;&gt;""),AI271:AN271)))</t>
        </is>
      </c>
      <c r="BC271" s="39" t="inlineStr">
        <is>
          <t>IF(OR(F271="",AP271=""),"",IF(COUNT(AI271:AO271)=0,"",AP271-LOOKUP(2,1/(AI271:AO271&lt;&gt;""),AI271:AO271)))</t>
        </is>
      </c>
      <c r="BD271" s="39" t="inlineStr">
        <is>
          <t>IF(OR(F271="",AQ271=""),"",IF(COUNT(AI271:AP271)=0,"",AQ271-LOOKUP(2,1/(AI271:AP271&lt;&gt;""),AI271:AP271)))</t>
        </is>
      </c>
      <c r="BE271" s="39" t="inlineStr">
        <is>
          <t>IF(OR(F271="",AR271=""),"",IF(COUNT(AI271:AQ271)=0,"",AR271-LOOKUP(2,1/(AI271:AQ271&lt;&gt;""),AI271:AQ271)))</t>
        </is>
      </c>
      <c r="BF271" s="39" t="inlineStr">
        <is>
          <t>IF(OR(F271="",AS271=""),"",IF(COUNT(AI271:AR271)=0,"",AS271-LOOKUP(2,1/(AI271:AR271&lt;&gt;""),AI271:AR271)))</t>
        </is>
      </c>
      <c r="BG271" s="39" t="inlineStr">
        <is>
          <t>IF(OR(F271="",AT271=""),"",IF(COUNT(AI271:AS271)=0,"",AT271-LOOKUP(2,1/(AI271:AS271&lt;&gt;""),AI271:AS271)))</t>
        </is>
      </c>
      <c r="BH271" s="39" t="inlineStr">
        <is>
          <t>IF(OR(F271="",AU271=""),"",IF(COUNT(AI271:AT271)=0,"",AU271-LOOKUP(2,1/(AI271:AT271&lt;&gt;""),AI271:AT271)))</t>
        </is>
      </c>
      <c r="BI271" s="39" t="inlineStr">
        <is>
          <t>IF(OR(F271="",AV271=""),"",IF(COUNT(AI271:AU271)=0,"",AV271-LOOKUP(2,1/(AI271:AU271&lt;&gt;""),AI271:AU271)))</t>
        </is>
      </c>
      <c r="BJ271" s="41" t="inlineStr">
        <is>
          <t>IF(J271="","All_Provinces",IFERROR(VLOOKUP(J271,'09_Lookups'!$A$4:$B$20,2,FALSE),"All_Provinces"))</t>
        </is>
      </c>
      <c r="BK271" s="41" t="inlineStr">
        <is>
          <t>IF(K271="","All_Districts",IFERROR(VLOOKUP(K271,'09_Lookups'!$E$4:$F$42,2,FALSE),"All_Districts"))</t>
        </is>
      </c>
    </row>
    <row r="272" outlineLevel="1" ht="18" customHeight="1">
      <c r="A272" s="42" t="inlineStr">
        <is>
          <t>IF(F272="","",ROW()-3)</t>
        </is>
      </c>
      <c r="B272" s="61" t="inlineStr">
        <is>
          <t>AF2-WSM-06</t>
        </is>
      </c>
      <c r="C272" s="61" t="inlineStr">
        <is>
          <t>Package #6-AF2 WSM: Construction of Jarobi Tangi, Chaghari and Adore check dams, located in Shirzad, Rodat, and Khogyani, districts of Nangarhar province.</t>
        </is>
      </c>
      <c r="D272" s="61" t="inlineStr">
        <is>
          <t>2 of 3</t>
        </is>
      </c>
      <c r="E272" s="52" t="inlineStr">
        <is>
          <t>AF2-WSM-A-012</t>
        </is>
      </c>
      <c r="F272" s="52" t="inlineStr">
        <is>
          <t>2. Chaghari Check dams</t>
        </is>
      </c>
      <c r="G272" s="52" t="inlineStr">
        <is>
          <t>Watershed Management</t>
        </is>
      </c>
      <c r="H272" s="52" t="inlineStr">
        <is>
          <t>Check Dam</t>
        </is>
      </c>
      <c r="I272" s="52" t="inlineStr">
        <is>
          <t>Emergency Food Security Project (EFSP) – WBK/AF-2</t>
        </is>
      </c>
      <c r="J272" s="52" t="inlineStr">
        <is>
          <t>East / Jalalabad</t>
        </is>
      </c>
      <c r="K272" s="52" t="inlineStr">
        <is>
          <t>Nangarhar</t>
        </is>
      </c>
      <c r="L272" s="52" t="inlineStr">
        <is>
          <t>Rodat</t>
        </is>
      </c>
      <c r="M272" s="52" t="inlineStr">
        <is>
          <t>Chaghari</t>
        </is>
      </c>
      <c r="N272" s="52" t="inlineStr">
        <is>
          <t>World Bank (WBK/AF-2)</t>
        </is>
      </c>
      <c r="O272" s="52" t="inlineStr">
        <is>
          <t>Awarded</t>
        </is>
      </c>
      <c r="P272" s="52" t="inlineStr">
        <is>
          <t>3.WSM awarded contracts</t>
        </is>
      </c>
      <c r="Q272" s="52" t="inlineStr">
        <is>
          <t>Naeemi Safi Construction &amp; Construction Material Company (NSCC)</t>
        </is>
      </c>
      <c r="R272" s="52" t="inlineStr">
        <is>
          <t>065/2026</t>
        </is>
      </c>
      <c r="S272" s="53" t="n">
        <v>27989.43</v>
      </c>
      <c r="T272" s="46" t="inlineStr">
        <is>
          <t>IF(AQ272="","",AQ272)</t>
        </is>
      </c>
      <c r="U272" s="54" t="n"/>
      <c r="V272" s="55" t="n">
        <v>6.9</v>
      </c>
      <c r="W272" s="54" t="n">
        <v>46225</v>
      </c>
      <c r="X272" s="46" t="inlineStr">
        <is>
          <t>IF(W272&lt;&gt;"",W272,IF(OR(T272="",V272=""),"",EDATE(T272,V272)))</t>
        </is>
      </c>
      <c r="Y272" s="54" t="n"/>
      <c r="Z272" s="55" t="n">
        <v>100</v>
      </c>
      <c r="AA272" s="52" t="inlineStr">
        <is>
          <t>Completed / Handover</t>
        </is>
      </c>
      <c r="AB272" s="52" t="inlineStr">
        <is>
          <t>Completed on July, 2026</t>
        </is>
      </c>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67" t="n"/>
      <c r="AJ272" s="67" t="n"/>
      <c r="AK272" s="67" t="n"/>
      <c r="AL272" s="67" t="n"/>
      <c r="AM272" s="67" t="n"/>
      <c r="AN272" s="67" t="n"/>
      <c r="AO272" s="67" t="n"/>
      <c r="AP272" s="67" t="n"/>
      <c r="AQ272" s="67" t="n">
        <v>46014</v>
      </c>
      <c r="AR272" s="67" t="n">
        <v>46014</v>
      </c>
      <c r="AS272" s="67" t="n">
        <v>46225</v>
      </c>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outlineLevel="1" ht="18" customHeight="1">
      <c r="A273" s="42" t="inlineStr">
        <is>
          <t>IF(F273="","",ROW()-3)</t>
        </is>
      </c>
      <c r="B273" s="61" t="inlineStr">
        <is>
          <t>AF2-WSM-06</t>
        </is>
      </c>
      <c r="C273" s="61" t="inlineStr">
        <is>
          <t>Package #6-AF2 WSM: Construction of Jarobi Tangi, Chaghari and Adore check dams, located in Shirzad, Rodat, and Khogyani, districts of Nangarhar province.</t>
        </is>
      </c>
      <c r="D273" s="61" t="inlineStr">
        <is>
          <t>3 of 3</t>
        </is>
      </c>
      <c r="E273" s="44" t="inlineStr">
        <is>
          <t>AF2-WSM-A-013</t>
        </is>
      </c>
      <c r="F273" s="44" t="inlineStr">
        <is>
          <t>3. Adore check dam</t>
        </is>
      </c>
      <c r="G273" s="44" t="inlineStr">
        <is>
          <t>Watershed Management</t>
        </is>
      </c>
      <c r="H273" s="44" t="inlineStr">
        <is>
          <t>Check Dam</t>
        </is>
      </c>
      <c r="I273" s="44" t="inlineStr">
        <is>
          <t>Emergency Food Security Project (EFSP) – WBK/AF-2</t>
        </is>
      </c>
      <c r="J273" s="44" t="inlineStr">
        <is>
          <t>East / Jalalabad</t>
        </is>
      </c>
      <c r="K273" s="44" t="inlineStr">
        <is>
          <t>Nangarhar</t>
        </is>
      </c>
      <c r="L273" s="44" t="inlineStr">
        <is>
          <t>Khogyani</t>
        </is>
      </c>
      <c r="M273" s="44" t="inlineStr">
        <is>
          <t>Adore</t>
        </is>
      </c>
      <c r="N273" s="44" t="inlineStr">
        <is>
          <t>World Bank (WBK/AF-2)</t>
        </is>
      </c>
      <c r="O273" s="44" t="inlineStr">
        <is>
          <t>Awarded</t>
        </is>
      </c>
      <c r="P273" s="44" t="inlineStr">
        <is>
          <t>3.WSM awarded contracts</t>
        </is>
      </c>
      <c r="Q273" s="44" t="inlineStr">
        <is>
          <t>Naeemi Safi Construction &amp; Construction Material Company (NSCC)</t>
        </is>
      </c>
      <c r="R273" s="44" t="inlineStr">
        <is>
          <t>065/2026</t>
        </is>
      </c>
      <c r="S273" s="45" t="n">
        <v>50713.55</v>
      </c>
      <c r="T273" s="46" t="inlineStr">
        <is>
          <t>IF(AQ273="","",AQ273)</t>
        </is>
      </c>
      <c r="U273" s="47" t="n"/>
      <c r="V273" s="48" t="n">
        <v>6.9</v>
      </c>
      <c r="W273" s="47" t="n">
        <v>46225</v>
      </c>
      <c r="X273" s="46" t="inlineStr">
        <is>
          <t>IF(W273&lt;&gt;"",W273,IF(OR(T273="",V273=""),"",EDATE(T273,V273)))</t>
        </is>
      </c>
      <c r="Y273" s="47" t="n"/>
      <c r="Z273" s="48" t="n">
        <v>100</v>
      </c>
      <c r="AA273" s="44" t="inlineStr">
        <is>
          <t>Completed / Handover</t>
        </is>
      </c>
      <c r="AB273" s="44" t="inlineStr">
        <is>
          <t>Completed on July, 2026</t>
        </is>
      </c>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67" t="n"/>
      <c r="AJ273" s="67" t="n"/>
      <c r="AK273" s="67" t="n"/>
      <c r="AL273" s="67" t="n"/>
      <c r="AM273" s="67" t="n"/>
      <c r="AN273" s="67" t="n"/>
      <c r="AO273" s="67" t="n"/>
      <c r="AP273" s="67" t="n"/>
      <c r="AQ273" s="67" t="n">
        <v>46014</v>
      </c>
      <c r="AR273" s="67" t="n">
        <v>46014</v>
      </c>
      <c r="AS273" s="67" t="n">
        <v>46225</v>
      </c>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32" t="inlineStr">
        <is>
          <t>IF(F274="","",ROW()-3)</t>
        </is>
      </c>
      <c r="B274" s="62" t="inlineStr">
        <is>
          <t>AF2-WSM-07</t>
        </is>
      </c>
      <c r="C274" s="62" t="inlineStr">
        <is>
          <t>Package #7-AF2 WSM: Construction of 3 Check dams of 1.Dargrak, 2. Migano, and 3.Lachagali the Sawkai, Khas Kunar and Narang districts of Kunar province.</t>
        </is>
      </c>
      <c r="D274" s="62" t="inlineStr">
        <is>
          <t>1 of 3</t>
        </is>
      </c>
      <c r="E274" s="34" t="inlineStr">
        <is>
          <t>AF2-WSM-A-014</t>
        </is>
      </c>
      <c r="F274" s="34" t="inlineStr">
        <is>
          <t>Dargarak Check Dam</t>
        </is>
      </c>
      <c r="G274" s="34" t="inlineStr">
        <is>
          <t>Watershed Management</t>
        </is>
      </c>
      <c r="H274" s="34" t="inlineStr">
        <is>
          <t>Check Dam</t>
        </is>
      </c>
      <c r="I274" s="34" t="inlineStr">
        <is>
          <t>Emergency Food Security Project (EFSP) – WBK/AF-2</t>
        </is>
      </c>
      <c r="J274" s="34" t="inlineStr">
        <is>
          <t>East / Jalalabad</t>
        </is>
      </c>
      <c r="K274" s="34" t="inlineStr">
        <is>
          <t>Kunar</t>
        </is>
      </c>
      <c r="L274" s="34" t="inlineStr">
        <is>
          <t>Sawkai</t>
        </is>
      </c>
      <c r="M274" s="34" t="inlineStr">
        <is>
          <t>Daar Garak</t>
        </is>
      </c>
      <c r="N274" s="34" t="inlineStr">
        <is>
          <t>World Bank (WBK/AF-2)</t>
        </is>
      </c>
      <c r="O274" s="34" t="inlineStr">
        <is>
          <t>Awarded</t>
        </is>
      </c>
      <c r="P274" s="34" t="inlineStr">
        <is>
          <t>3.WSM awarded contracts</t>
        </is>
      </c>
      <c r="Q274" s="34" t="inlineStr">
        <is>
          <t>Green Bentley construction Company (GBCC)</t>
        </is>
      </c>
      <c r="R274" s="34" t="inlineStr">
        <is>
          <t>064/2026</t>
        </is>
      </c>
      <c r="S274" s="35" t="n"/>
      <c r="T274" s="36" t="inlineStr">
        <is>
          <t>IF(AQ274="","",AQ274)</t>
        </is>
      </c>
      <c r="U274" s="37" t="n"/>
      <c r="V274" s="38" t="n">
        <v>4.9</v>
      </c>
      <c r="W274" s="37" t="n">
        <v>46456</v>
      </c>
      <c r="X274" s="36" t="inlineStr">
        <is>
          <t>IF(W274&lt;&gt;"",W274,IF(OR(T274="",V274=""),"",EDATE(T274,V274)))</t>
        </is>
      </c>
      <c r="Y274" s="37" t="n"/>
      <c r="Z274" s="38" t="n">
        <v>0</v>
      </c>
      <c r="AA274" s="34" t="inlineStr">
        <is>
          <t>Awarded</t>
        </is>
      </c>
      <c r="AB274" s="34" t="inlineStr">
        <is>
          <t>Awarded on 11 oct.2026</t>
        </is>
      </c>
      <c r="AC274" s="32" t="inlineStr">
        <is>
          <t>IF(F274="","",IF(COUNT(AI274:AV274)=0,IF(AA274="","Not started",AA274),SUBSTITUTE(LOOKUP(2,1/(AI274:AV274&lt;&gt;""),$AI$3:$AV$3),"Date: ","")))</t>
        </is>
      </c>
      <c r="AD274" s="39" t="inlineStr">
        <is>
          <t>IF(OR(F274="",COUNT(AI274:AV274)=0),"",TODAY()-LOOKUP(2,1/(AI274:AV274&lt;&gt;""),AI274:AV274))</t>
        </is>
      </c>
      <c r="AE274" s="39" t="inlineStr">
        <is>
          <t>IF(OR(F274="",COUNT(AI274:AV274)&lt;2),"",LOOKUP(2,1/(AI274:AV274&lt;&gt;""),AI274:AV274)-MIN(AI274:AV274))</t>
        </is>
      </c>
      <c r="AF274" s="39" t="inlineStr">
        <is>
          <t>IF(OR(AD274="",AC274="Not started",AC274=""),"",IFERROR(AD274-IF(VLOOKUP(AC274,'06_Status_Pipeline'!$B$3:$E$20,4,FALSE)="",0,VLOOKUP(AC274,'06_Status_Pipeline'!$B$3:$E$20,4,FALSE)),""))</t>
        </is>
      </c>
      <c r="AG274" s="3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39" t="inlineStr">
        <is>
          <t>IF(OR(F274="",AC274="Completed / Handover",AC274="Cancelled"),"",IF(O274="Not awarded",IF(U274&lt;&gt;"",U274-TODAY(),IF(X274="","",X274-TODAY())),IF(X274="","",X274-TODAY())))</t>
        </is>
      </c>
      <c r="AI274" s="66" t="n"/>
      <c r="AJ274" s="66" t="n"/>
      <c r="AK274" s="66" t="n"/>
      <c r="AL274" s="66" t="n"/>
      <c r="AM274" s="66" t="n"/>
      <c r="AN274" s="66" t="n"/>
      <c r="AO274" s="66" t="n"/>
      <c r="AP274" s="66" t="n"/>
      <c r="AQ274" s="66" t="n">
        <v>46306</v>
      </c>
      <c r="AR274" s="66" t="n"/>
      <c r="AS274" s="66" t="n"/>
      <c r="AT274" s="40" t="n"/>
      <c r="AU274" s="40" t="n"/>
      <c r="AV274" s="40" t="n"/>
      <c r="AW274" s="39" t="inlineStr">
        <is>
          <t>IF(OR(F274="",AJ274=""),"",IF(COUNT(AI274:AI274)=0,"",AJ274-LOOKUP(2,1/(AI274:AI274&lt;&gt;""),AI274:AI274)))</t>
        </is>
      </c>
      <c r="AX274" s="39" t="inlineStr">
        <is>
          <t>IF(OR(F274="",AK274=""),"",IF(COUNT(AI274:AJ274)=0,"",AK274-LOOKUP(2,1/(AI274:AJ274&lt;&gt;""),AI274:AJ274)))</t>
        </is>
      </c>
      <c r="AY274" s="39" t="inlineStr">
        <is>
          <t>IF(OR(F274="",AL274=""),"",IF(COUNT(AI274:AK274)=0,"",AL274-LOOKUP(2,1/(AI274:AK274&lt;&gt;""),AI274:AK274)))</t>
        </is>
      </c>
      <c r="AZ274" s="39" t="inlineStr">
        <is>
          <t>IF(OR(F274="",AM274=""),"",IF(COUNT(AI274:AL274)=0,"",AM274-LOOKUP(2,1/(AI274:AL274&lt;&gt;""),AI274:AL274)))</t>
        </is>
      </c>
      <c r="BA274" s="39" t="inlineStr">
        <is>
          <t>IF(OR(F274="",AN274=""),"",IF(COUNT(AI274:AM274)=0,"",AN274-LOOKUP(2,1/(AI274:AM274&lt;&gt;""),AI274:AM274)))</t>
        </is>
      </c>
      <c r="BB274" s="39" t="inlineStr">
        <is>
          <t>IF(OR(F274="",AO274=""),"",IF(COUNT(AI274:AN274)=0,"",AO274-LOOKUP(2,1/(AI274:AN274&lt;&gt;""),AI274:AN274)))</t>
        </is>
      </c>
      <c r="BC274" s="39" t="inlineStr">
        <is>
          <t>IF(OR(F274="",AP274=""),"",IF(COUNT(AI274:AO274)=0,"",AP274-LOOKUP(2,1/(AI274:AO274&lt;&gt;""),AI274:AO274)))</t>
        </is>
      </c>
      <c r="BD274" s="39" t="inlineStr">
        <is>
          <t>IF(OR(F274="",AQ274=""),"",IF(COUNT(AI274:AP274)=0,"",AQ274-LOOKUP(2,1/(AI274:AP274&lt;&gt;""),AI274:AP274)))</t>
        </is>
      </c>
      <c r="BE274" s="39" t="inlineStr">
        <is>
          <t>IF(OR(F274="",AR274=""),"",IF(COUNT(AI274:AQ274)=0,"",AR274-LOOKUP(2,1/(AI274:AQ274&lt;&gt;""),AI274:AQ274)))</t>
        </is>
      </c>
      <c r="BF274" s="39" t="inlineStr">
        <is>
          <t>IF(OR(F274="",AS274=""),"",IF(COUNT(AI274:AR274)=0,"",AS274-LOOKUP(2,1/(AI274:AR274&lt;&gt;""),AI274:AR274)))</t>
        </is>
      </c>
      <c r="BG274" s="39" t="inlineStr">
        <is>
          <t>IF(OR(F274="",AT274=""),"",IF(COUNT(AI274:AS274)=0,"",AT274-LOOKUP(2,1/(AI274:AS274&lt;&gt;""),AI274:AS274)))</t>
        </is>
      </c>
      <c r="BH274" s="39" t="inlineStr">
        <is>
          <t>IF(OR(F274="",AU274=""),"",IF(COUNT(AI274:AT274)=0,"",AU274-LOOKUP(2,1/(AI274:AT274&lt;&gt;""),AI274:AT274)))</t>
        </is>
      </c>
      <c r="BI274" s="39" t="inlineStr">
        <is>
          <t>IF(OR(F274="",AV274=""),"",IF(COUNT(AI274:AU274)=0,"",AV274-LOOKUP(2,1/(AI274:AU274&lt;&gt;""),AI274:AU274)))</t>
        </is>
      </c>
      <c r="BJ274" s="41" t="inlineStr">
        <is>
          <t>IF(J274="","All_Provinces",IFERROR(VLOOKUP(J274,'09_Lookups'!$A$4:$B$20,2,FALSE),"All_Provinces"))</t>
        </is>
      </c>
      <c r="BK274" s="41" t="inlineStr">
        <is>
          <t>IF(K274="","All_Districts",IFERROR(VLOOKUP(K274,'09_Lookups'!$E$4:$F$42,2,FALSE),"All_Districts"))</t>
        </is>
      </c>
    </row>
    <row r="275" outlineLevel="1" ht="18" customHeight="1">
      <c r="A275" s="42" t="inlineStr">
        <is>
          <t>IF(F275="","",ROW()-3)</t>
        </is>
      </c>
      <c r="B275" s="63" t="inlineStr">
        <is>
          <t>AF2-WSM-07</t>
        </is>
      </c>
      <c r="C275" s="63" t="inlineStr">
        <is>
          <t>Package #7-AF2 WSM: Construction of 3 Check dams of 1.Dargrak, 2. Migano, and 3.Lachagali the Sawkai, Khas Kunar and Narang districts of Kunar province.</t>
        </is>
      </c>
      <c r="D275" s="63" t="inlineStr">
        <is>
          <t>2 of 3</t>
        </is>
      </c>
      <c r="E275" s="44" t="inlineStr">
        <is>
          <t>AF2-WSM-A-015</t>
        </is>
      </c>
      <c r="F275" s="44" t="inlineStr">
        <is>
          <t>Lachagali Boulder Check Dam and Water Pond</t>
        </is>
      </c>
      <c r="G275" s="44" t="inlineStr">
        <is>
          <t>Watershed Management</t>
        </is>
      </c>
      <c r="H275" s="44" t="inlineStr">
        <is>
          <t>Check Dam and Water Pond</t>
        </is>
      </c>
      <c r="I275" s="44" t="inlineStr">
        <is>
          <t>Emergency Food Security Project (EFSP) – WBK/AF-2</t>
        </is>
      </c>
      <c r="J275" s="44" t="inlineStr">
        <is>
          <t>East / Jalalabad</t>
        </is>
      </c>
      <c r="K275" s="44" t="inlineStr">
        <is>
          <t>Kunar</t>
        </is>
      </c>
      <c r="L275" s="44" t="inlineStr">
        <is>
          <t>Narang</t>
        </is>
      </c>
      <c r="M275" s="44" t="inlineStr">
        <is>
          <t>Lachagali/ Jaroobi</t>
        </is>
      </c>
      <c r="N275" s="44" t="inlineStr">
        <is>
          <t>World Bank (WBK/AF-2)</t>
        </is>
      </c>
      <c r="O275" s="44" t="inlineStr">
        <is>
          <t>Awarded</t>
        </is>
      </c>
      <c r="P275" s="44" t="inlineStr">
        <is>
          <t>3.WSM awarded contracts</t>
        </is>
      </c>
      <c r="Q275" s="44" t="inlineStr">
        <is>
          <t>Green Bentley construction Company (GBCC)</t>
        </is>
      </c>
      <c r="R275" s="44" t="inlineStr">
        <is>
          <t>064/2026</t>
        </is>
      </c>
      <c r="S275" s="45" t="n">
        <v>99590</v>
      </c>
      <c r="T275" s="46" t="inlineStr">
        <is>
          <t>IF(AQ275="","",AQ275)</t>
        </is>
      </c>
      <c r="U275" s="47" t="n"/>
      <c r="V275" s="48" t="n">
        <v>4.9</v>
      </c>
      <c r="W275" s="47" t="n">
        <v>46456</v>
      </c>
      <c r="X275" s="46" t="inlineStr">
        <is>
          <t>IF(W275&lt;&gt;"",W275,IF(OR(T275="",V275=""),"",EDATE(T275,V275)))</t>
        </is>
      </c>
      <c r="Y275" s="47" t="n"/>
      <c r="Z275" s="48" t="n">
        <v>0</v>
      </c>
      <c r="AA275" s="44" t="inlineStr">
        <is>
          <t>Awarded</t>
        </is>
      </c>
      <c r="AB275" s="44" t="inlineStr">
        <is>
          <t>Completed on July, 2026</t>
        </is>
      </c>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67" t="n"/>
      <c r="AJ275" s="67" t="n"/>
      <c r="AK275" s="67" t="n"/>
      <c r="AL275" s="67" t="n"/>
      <c r="AM275" s="67" t="n"/>
      <c r="AN275" s="67" t="n"/>
      <c r="AO275" s="67" t="n"/>
      <c r="AP275" s="67" t="n"/>
      <c r="AQ275" s="67" t="n">
        <v>46306</v>
      </c>
      <c r="AR275" s="67" t="n"/>
      <c r="AS275" s="6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outlineLevel="1" ht="18" customHeight="1">
      <c r="A276" s="42" t="inlineStr">
        <is>
          <t>IF(F276="","",ROW()-3)</t>
        </is>
      </c>
      <c r="B276" s="63" t="inlineStr">
        <is>
          <t>AF2-WSM-07</t>
        </is>
      </c>
      <c r="C276" s="63" t="inlineStr">
        <is>
          <t>Package #7-AF2 WSM: Construction of 3 Check dams of 1.Dargrak, 2. Migano, and 3.Lachagali the Sawkai, Khas Kunar and Narang districts of Kunar province.</t>
        </is>
      </c>
      <c r="D276" s="63" t="inlineStr">
        <is>
          <t>3 of 3</t>
        </is>
      </c>
      <c r="E276" s="52" t="inlineStr">
        <is>
          <t>AF2-WSM-A-016</t>
        </is>
      </c>
      <c r="F276" s="52" t="inlineStr">
        <is>
          <t>Miagan Check Dam</t>
        </is>
      </c>
      <c r="G276" s="52" t="inlineStr">
        <is>
          <t>Watershed Management</t>
        </is>
      </c>
      <c r="H276" s="52" t="inlineStr">
        <is>
          <t>Check Dam</t>
        </is>
      </c>
      <c r="I276" s="52" t="inlineStr">
        <is>
          <t>Emergency Food Security Project (EFSP) – WBK/AF-2</t>
        </is>
      </c>
      <c r="J276" s="52" t="inlineStr">
        <is>
          <t>East / Jalalabad</t>
        </is>
      </c>
      <c r="K276" s="52" t="inlineStr">
        <is>
          <t>Kunar</t>
        </is>
      </c>
      <c r="L276" s="52" t="inlineStr">
        <is>
          <t>Khas Kunar</t>
        </is>
      </c>
      <c r="M276" s="52" t="inlineStr">
        <is>
          <t>Miagan Kali</t>
        </is>
      </c>
      <c r="N276" s="52" t="inlineStr">
        <is>
          <t>World Bank (WBK/AF-2)</t>
        </is>
      </c>
      <c r="O276" s="52" t="inlineStr">
        <is>
          <t>Awarded</t>
        </is>
      </c>
      <c r="P276" s="52" t="inlineStr">
        <is>
          <t>3.WSM awarded contracts</t>
        </is>
      </c>
      <c r="Q276" s="52" t="inlineStr">
        <is>
          <t>Green Bentley construction Company (GBCC)</t>
        </is>
      </c>
      <c r="R276" s="52" t="inlineStr">
        <is>
          <t>064/2026</t>
        </is>
      </c>
      <c r="S276" s="53" t="n"/>
      <c r="T276" s="46" t="inlineStr">
        <is>
          <t>IF(AQ276="","",AQ276)</t>
        </is>
      </c>
      <c r="U276" s="54" t="n"/>
      <c r="V276" s="55" t="n">
        <v>4.9</v>
      </c>
      <c r="W276" s="54" t="n">
        <v>46456</v>
      </c>
      <c r="X276" s="46" t="inlineStr">
        <is>
          <t>IF(W276&lt;&gt;"",W276,IF(OR(T276="",V276=""),"",EDATE(T276,V276)))</t>
        </is>
      </c>
      <c r="Y276" s="54" t="n"/>
      <c r="Z276" s="55" t="n">
        <v>0</v>
      </c>
      <c r="AA276" s="52" t="inlineStr">
        <is>
          <t>Awarded</t>
        </is>
      </c>
      <c r="AB276" s="52" t="inlineStr">
        <is>
          <t>Awarded on 11 oct.2026</t>
        </is>
      </c>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67" t="n"/>
      <c r="AJ276" s="67" t="n"/>
      <c r="AK276" s="67" t="n"/>
      <c r="AL276" s="67" t="n"/>
      <c r="AM276" s="67" t="n"/>
      <c r="AN276" s="67" t="n"/>
      <c r="AO276" s="67" t="n"/>
      <c r="AP276" s="67" t="n"/>
      <c r="AQ276" s="67" t="n">
        <v>46306</v>
      </c>
      <c r="AR276" s="67" t="n"/>
      <c r="AS276" s="67"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32" t="inlineStr">
        <is>
          <t>IF(F277="","",ROW()-3)</t>
        </is>
      </c>
      <c r="B277" s="64" t="inlineStr">
        <is>
          <t>AF2-WSM-08</t>
        </is>
      </c>
      <c r="C277" s="64" t="inlineStr">
        <is>
          <t>Package #8-AF2 WSM: Construction of 1.Ghazgai Check dam in Khake Jabar districts, 2.Toop Dara Check dam and 3.Toot Dara Check dam in Center/ 13th City district Kabul province.</t>
        </is>
      </c>
      <c r="D277" s="64" t="inlineStr">
        <is>
          <t>1 of 3</t>
        </is>
      </c>
      <c r="E277" s="57" t="inlineStr">
        <is>
          <t>AF2-WSM-A-017</t>
        </is>
      </c>
      <c r="F277" s="57" t="inlineStr">
        <is>
          <t>1.Toop Dara Check dam</t>
        </is>
      </c>
      <c r="G277" s="57" t="inlineStr">
        <is>
          <t>Watershed Management</t>
        </is>
      </c>
      <c r="H277" s="57" t="inlineStr">
        <is>
          <t>Check Dam</t>
        </is>
      </c>
      <c r="I277" s="57" t="inlineStr">
        <is>
          <t>Emergency Food Security Project (EFSP) – WBK/AF-2</t>
        </is>
      </c>
      <c r="J277" s="57" t="inlineStr">
        <is>
          <t>Central / Kabul</t>
        </is>
      </c>
      <c r="K277" s="57" t="inlineStr">
        <is>
          <t>Kabul</t>
        </is>
      </c>
      <c r="L277" s="57" t="inlineStr">
        <is>
          <t>Center</t>
        </is>
      </c>
      <c r="M277" s="57" t="inlineStr">
        <is>
          <t>13th district</t>
        </is>
      </c>
      <c r="N277" s="57" t="inlineStr">
        <is>
          <t>World Bank (WBK/AF-2)</t>
        </is>
      </c>
      <c r="O277" s="57" t="inlineStr">
        <is>
          <t>Awarded</t>
        </is>
      </c>
      <c r="P277" s="57" t="inlineStr">
        <is>
          <t>3.WSM awarded contracts</t>
        </is>
      </c>
      <c r="Q277" s="57" t="inlineStr">
        <is>
          <t>ALTIN CONSTRUCTION AND ROAD BUILDING COMPANY (ACC)</t>
        </is>
      </c>
      <c r="R277" s="57" t="inlineStr">
        <is>
          <t>005/2026</t>
        </is>
      </c>
      <c r="S277" s="58" t="n">
        <v>65749</v>
      </c>
      <c r="T277" s="36" t="inlineStr">
        <is>
          <t>IF(AQ277="","",AQ277)</t>
        </is>
      </c>
      <c r="U277" s="59" t="n"/>
      <c r="V277" s="60" t="n">
        <v>6.9</v>
      </c>
      <c r="W277" s="59" t="n">
        <v>46253</v>
      </c>
      <c r="X277" s="36" t="inlineStr">
        <is>
          <t>IF(W277&lt;&gt;"",W277,IF(OR(T277="",V277=""),"",EDATE(T277,V277)))</t>
        </is>
      </c>
      <c r="Y277" s="59" t="n"/>
      <c r="Z277" s="60" t="n">
        <v>100</v>
      </c>
      <c r="AA277" s="57" t="inlineStr">
        <is>
          <t>Completed / Handover</t>
        </is>
      </c>
      <c r="AB277" s="57" t="inlineStr">
        <is>
          <t>Completed on July, 2026</t>
        </is>
      </c>
      <c r="AC277" s="32" t="inlineStr">
        <is>
          <t>IF(F277="","",IF(COUNT(AI277:AV277)=0,IF(AA277="","Not started",AA277),SUBSTITUTE(LOOKUP(2,1/(AI277:AV277&lt;&gt;""),$AI$3:$AV$3),"Date: ","")))</t>
        </is>
      </c>
      <c r="AD277" s="39" t="inlineStr">
        <is>
          <t>IF(OR(F277="",COUNT(AI277:AV277)=0),"",TODAY()-LOOKUP(2,1/(AI277:AV277&lt;&gt;""),AI277:AV277))</t>
        </is>
      </c>
      <c r="AE277" s="39" t="inlineStr">
        <is>
          <t>IF(OR(F277="",COUNT(AI277:AV277)&lt;2),"",LOOKUP(2,1/(AI277:AV277&lt;&gt;""),AI277:AV277)-MIN(AI277:AV277))</t>
        </is>
      </c>
      <c r="AF277" s="39" t="inlineStr">
        <is>
          <t>IF(OR(AD277="",AC277="Not started",AC277=""),"",IFERROR(AD277-IF(VLOOKUP(AC277,'06_Status_Pipeline'!$B$3:$E$20,4,FALSE)="",0,VLOOKUP(AC277,'06_Status_Pipeline'!$B$3:$E$20,4,FALSE)),""))</t>
        </is>
      </c>
      <c r="AG277" s="3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39" t="inlineStr">
        <is>
          <t>IF(OR(F277="",AC277="Completed / Handover",AC277="Cancelled"),"",IF(O277="Not awarded",IF(U277&lt;&gt;"",U277-TODAY(),IF(X277="","",X277-TODAY())),IF(X277="","",X277-TODAY())))</t>
        </is>
      </c>
      <c r="AI277" s="66" t="n"/>
      <c r="AJ277" s="66" t="n"/>
      <c r="AK277" s="66" t="n"/>
      <c r="AL277" s="66" t="n"/>
      <c r="AM277" s="66" t="n"/>
      <c r="AN277" s="66" t="n"/>
      <c r="AO277" s="66" t="n"/>
      <c r="AP277" s="66" t="n"/>
      <c r="AQ277" s="66" t="n">
        <v>46042</v>
      </c>
      <c r="AR277" s="66" t="n">
        <v>46042</v>
      </c>
      <c r="AS277" s="66" t="n">
        <v>46253</v>
      </c>
      <c r="AT277" s="40" t="n"/>
      <c r="AU277" s="40" t="n"/>
      <c r="AV277" s="40" t="n"/>
      <c r="AW277" s="39" t="inlineStr">
        <is>
          <t>IF(OR(F277="",AJ277=""),"",IF(COUNT(AI277:AI277)=0,"",AJ277-LOOKUP(2,1/(AI277:AI277&lt;&gt;""),AI277:AI277)))</t>
        </is>
      </c>
      <c r="AX277" s="39" t="inlineStr">
        <is>
          <t>IF(OR(F277="",AK277=""),"",IF(COUNT(AI277:AJ277)=0,"",AK277-LOOKUP(2,1/(AI277:AJ277&lt;&gt;""),AI277:AJ277)))</t>
        </is>
      </c>
      <c r="AY277" s="39" t="inlineStr">
        <is>
          <t>IF(OR(F277="",AL277=""),"",IF(COUNT(AI277:AK277)=0,"",AL277-LOOKUP(2,1/(AI277:AK277&lt;&gt;""),AI277:AK277)))</t>
        </is>
      </c>
      <c r="AZ277" s="39" t="inlineStr">
        <is>
          <t>IF(OR(F277="",AM277=""),"",IF(COUNT(AI277:AL277)=0,"",AM277-LOOKUP(2,1/(AI277:AL277&lt;&gt;""),AI277:AL277)))</t>
        </is>
      </c>
      <c r="BA277" s="39" t="inlineStr">
        <is>
          <t>IF(OR(F277="",AN277=""),"",IF(COUNT(AI277:AM277)=0,"",AN277-LOOKUP(2,1/(AI277:AM277&lt;&gt;""),AI277:AM277)))</t>
        </is>
      </c>
      <c r="BB277" s="39" t="inlineStr">
        <is>
          <t>IF(OR(F277="",AO277=""),"",IF(COUNT(AI277:AN277)=0,"",AO277-LOOKUP(2,1/(AI277:AN277&lt;&gt;""),AI277:AN277)))</t>
        </is>
      </c>
      <c r="BC277" s="39" t="inlineStr">
        <is>
          <t>IF(OR(F277="",AP277=""),"",IF(COUNT(AI277:AO277)=0,"",AP277-LOOKUP(2,1/(AI277:AO277&lt;&gt;""),AI277:AO277)))</t>
        </is>
      </c>
      <c r="BD277" s="39" t="inlineStr">
        <is>
          <t>IF(OR(F277="",AQ277=""),"",IF(COUNT(AI277:AP277)=0,"",AQ277-LOOKUP(2,1/(AI277:AP277&lt;&gt;""),AI277:AP277)))</t>
        </is>
      </c>
      <c r="BE277" s="39" t="inlineStr">
        <is>
          <t>IF(OR(F277="",AR277=""),"",IF(COUNT(AI277:AQ277)=0,"",AR277-LOOKUP(2,1/(AI277:AQ277&lt;&gt;""),AI277:AQ277)))</t>
        </is>
      </c>
      <c r="BF277" s="39" t="inlineStr">
        <is>
          <t>IF(OR(F277="",AS277=""),"",IF(COUNT(AI277:AR277)=0,"",AS277-LOOKUP(2,1/(AI277:AR277&lt;&gt;""),AI277:AR277)))</t>
        </is>
      </c>
      <c r="BG277" s="39" t="inlineStr">
        <is>
          <t>IF(OR(F277="",AT277=""),"",IF(COUNT(AI277:AS277)=0,"",AT277-LOOKUP(2,1/(AI277:AS277&lt;&gt;""),AI277:AS277)))</t>
        </is>
      </c>
      <c r="BH277" s="39" t="inlineStr">
        <is>
          <t>IF(OR(F277="",AU277=""),"",IF(COUNT(AI277:AT277)=0,"",AU277-LOOKUP(2,1/(AI277:AT277&lt;&gt;""),AI277:AT277)))</t>
        </is>
      </c>
      <c r="BI277" s="39" t="inlineStr">
        <is>
          <t>IF(OR(F277="",AV277=""),"",IF(COUNT(AI277:AU277)=0,"",AV277-LOOKUP(2,1/(AI277:AU277&lt;&gt;""),AI277:AU277)))</t>
        </is>
      </c>
      <c r="BJ277" s="41" t="inlineStr">
        <is>
          <t>IF(J277="","All_Provinces",IFERROR(VLOOKUP(J277,'09_Lookups'!$A$4:$B$20,2,FALSE),"All_Provinces"))</t>
        </is>
      </c>
      <c r="BK277" s="41" t="inlineStr">
        <is>
          <t>IF(K277="","All_Districts",IFERROR(VLOOKUP(K277,'09_Lookups'!$E$4:$F$42,2,FALSE),"All_Districts"))</t>
        </is>
      </c>
    </row>
    <row r="278" outlineLevel="1" ht="18" customHeight="1">
      <c r="A278" s="42" t="inlineStr">
        <is>
          <t>IF(F278="","",ROW()-3)</t>
        </is>
      </c>
      <c r="B278" s="65" t="inlineStr">
        <is>
          <t>AF2-WSM-08</t>
        </is>
      </c>
      <c r="C278" s="65" t="inlineStr">
        <is>
          <t>Package #8-AF2 WSM: Construction of 1.Ghazgai Check dam in Khake Jabar districts, 2.Toop Dara Check dam and 3.Toot Dara Check dam in Center/ 13th City district Kabul province.</t>
        </is>
      </c>
      <c r="D278" s="65" t="inlineStr">
        <is>
          <t>2 of 3</t>
        </is>
      </c>
      <c r="E278" s="52" t="inlineStr">
        <is>
          <t>AF2-WSM-A-018</t>
        </is>
      </c>
      <c r="F278" s="52" t="inlineStr">
        <is>
          <t>2.Toot Dara Check dam</t>
        </is>
      </c>
      <c r="G278" s="52" t="inlineStr">
        <is>
          <t>Watershed Management</t>
        </is>
      </c>
      <c r="H278" s="52" t="inlineStr">
        <is>
          <t>Check Dam</t>
        </is>
      </c>
      <c r="I278" s="52" t="inlineStr">
        <is>
          <t>Emergency Food Security Project (EFSP) – WBK/AF-2</t>
        </is>
      </c>
      <c r="J278" s="52" t="inlineStr">
        <is>
          <t>Central / Kabul</t>
        </is>
      </c>
      <c r="K278" s="52" t="inlineStr">
        <is>
          <t>Kabul</t>
        </is>
      </c>
      <c r="L278" s="52" t="inlineStr">
        <is>
          <t>Center</t>
        </is>
      </c>
      <c r="M278" s="52" t="inlineStr">
        <is>
          <t>13th district</t>
        </is>
      </c>
      <c r="N278" s="52" t="inlineStr">
        <is>
          <t>World Bank (WBK/AF-2)</t>
        </is>
      </c>
      <c r="O278" s="52" t="inlineStr">
        <is>
          <t>Awarded</t>
        </is>
      </c>
      <c r="P278" s="52" t="inlineStr">
        <is>
          <t>3.WSM awarded contracts</t>
        </is>
      </c>
      <c r="Q278" s="52" t="inlineStr">
        <is>
          <t>ALTIN CONSTRUCTION AND ROAD BUILDING COMPANY (ACC)</t>
        </is>
      </c>
      <c r="R278" s="52" t="inlineStr">
        <is>
          <t>005/2026</t>
        </is>
      </c>
      <c r="S278" s="53" t="n"/>
      <c r="T278" s="46" t="inlineStr">
        <is>
          <t>IF(AQ278="","",AQ278)</t>
        </is>
      </c>
      <c r="U278" s="54" t="n"/>
      <c r="V278" s="55" t="n">
        <v>6.9</v>
      </c>
      <c r="W278" s="54" t="n">
        <v>46253</v>
      </c>
      <c r="X278" s="46" t="inlineStr">
        <is>
          <t>IF(W278&lt;&gt;"",W278,IF(OR(T278="",V278=""),"",EDATE(T278,V278)))</t>
        </is>
      </c>
      <c r="Y278" s="54" t="n"/>
      <c r="Z278" s="55" t="n">
        <v>100</v>
      </c>
      <c r="AA278" s="52" t="inlineStr">
        <is>
          <t>Completed / Handover</t>
        </is>
      </c>
      <c r="AB278" s="52" t="inlineStr">
        <is>
          <t>Completed on July, 2026</t>
        </is>
      </c>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67" t="n"/>
      <c r="AJ278" s="67" t="n"/>
      <c r="AK278" s="67" t="n"/>
      <c r="AL278" s="67" t="n"/>
      <c r="AM278" s="67" t="n"/>
      <c r="AN278" s="67" t="n"/>
      <c r="AO278" s="67" t="n"/>
      <c r="AP278" s="67" t="n"/>
      <c r="AQ278" s="67" t="n">
        <v>46042</v>
      </c>
      <c r="AR278" s="67" t="n">
        <v>46042</v>
      </c>
      <c r="AS278" s="67" t="n">
        <v>46253</v>
      </c>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outlineLevel="1" ht="18" customHeight="1">
      <c r="A279" s="42" t="inlineStr">
        <is>
          <t>IF(F279="","",ROW()-3)</t>
        </is>
      </c>
      <c r="B279" s="65" t="inlineStr">
        <is>
          <t>AF2-WSM-08</t>
        </is>
      </c>
      <c r="C279" s="65" t="inlineStr">
        <is>
          <t>Package #8-AF2 WSM: Construction of 1.Ghazgai Check dam in Khake Jabar districts, 2.Toop Dara Check dam and 3.Toot Dara Check dam in Center/ 13th City district Kabul province.</t>
        </is>
      </c>
      <c r="D279" s="65" t="inlineStr">
        <is>
          <t>3 of 3</t>
        </is>
      </c>
      <c r="E279" s="44" t="inlineStr">
        <is>
          <t>AF2-WSM-A-019</t>
        </is>
      </c>
      <c r="F279" s="44" t="inlineStr">
        <is>
          <t>3.Ghazgi Check dam</t>
        </is>
      </c>
      <c r="G279" s="44" t="inlineStr">
        <is>
          <t>Watershed Management</t>
        </is>
      </c>
      <c r="H279" s="44" t="inlineStr">
        <is>
          <t>Check Dam</t>
        </is>
      </c>
      <c r="I279" s="44" t="inlineStr">
        <is>
          <t>Emergency Food Security Project (EFSP) – WBK/AF-2</t>
        </is>
      </c>
      <c r="J279" s="44" t="inlineStr">
        <is>
          <t>Central / Kabul</t>
        </is>
      </c>
      <c r="K279" s="44" t="inlineStr">
        <is>
          <t>Kabul</t>
        </is>
      </c>
      <c r="L279" s="44" t="inlineStr">
        <is>
          <t>Khake Jabar</t>
        </is>
      </c>
      <c r="M279" s="44" t="inlineStr">
        <is>
          <t>Ghazgai</t>
        </is>
      </c>
      <c r="N279" s="44" t="inlineStr">
        <is>
          <t>World Bank (WBK/AF-2)</t>
        </is>
      </c>
      <c r="O279" s="44" t="inlineStr">
        <is>
          <t>Awarded</t>
        </is>
      </c>
      <c r="P279" s="44" t="inlineStr">
        <is>
          <t>3.WSM awarded contracts</t>
        </is>
      </c>
      <c r="Q279" s="44" t="inlineStr">
        <is>
          <t>ALTIN CONSTRUCTION AND ROAD BUILDING COMPANY (ACC)</t>
        </is>
      </c>
      <c r="R279" s="44" t="inlineStr">
        <is>
          <t>005/2026</t>
        </is>
      </c>
      <c r="S279" s="45" t="n"/>
      <c r="T279" s="46" t="inlineStr">
        <is>
          <t>IF(AQ279="","",AQ279)</t>
        </is>
      </c>
      <c r="U279" s="47" t="n"/>
      <c r="V279" s="48" t="n">
        <v>6.9</v>
      </c>
      <c r="W279" s="47" t="n">
        <v>46253</v>
      </c>
      <c r="X279" s="46" t="inlineStr">
        <is>
          <t>IF(W279&lt;&gt;"",W279,IF(OR(T279="",V279=""),"",EDATE(T279,V279)))</t>
        </is>
      </c>
      <c r="Y279" s="47" t="n"/>
      <c r="Z279" s="48" t="n">
        <v>100</v>
      </c>
      <c r="AA279" s="44" t="inlineStr">
        <is>
          <t>Completed / Handover</t>
        </is>
      </c>
      <c r="AB279" s="44" t="inlineStr">
        <is>
          <t>Completed on July, 2026</t>
        </is>
      </c>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67" t="n"/>
      <c r="AJ279" s="67" t="n"/>
      <c r="AK279" s="67" t="n"/>
      <c r="AL279" s="67" t="n"/>
      <c r="AM279" s="67" t="n"/>
      <c r="AN279" s="67" t="n"/>
      <c r="AO279" s="67" t="n"/>
      <c r="AP279" s="67" t="n"/>
      <c r="AQ279" s="67" t="n">
        <v>46042</v>
      </c>
      <c r="AR279" s="67" t="n">
        <v>46042</v>
      </c>
      <c r="AS279" s="67" t="n">
        <v>46253</v>
      </c>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32" t="inlineStr">
        <is>
          <t>IF(F280="","",ROW()-3)</t>
        </is>
      </c>
      <c r="B280" s="33" t="inlineStr">
        <is>
          <t>AF2-WSM-09</t>
        </is>
      </c>
      <c r="C280" s="33" t="inlineStr">
        <is>
          <t>Package #9-AF2 WSM: Construction of 1.Aka Khil Check dam and 2. Sra Qala Check dam in Sayed district, 3.Khar Check dam and 4.Mardala Check dam, located in Jaghatu districts of Wardak province.</t>
        </is>
      </c>
      <c r="D280" s="33" t="inlineStr">
        <is>
          <t>1 of 4</t>
        </is>
      </c>
      <c r="E280" s="34" t="inlineStr">
        <is>
          <t>AF2-WSM-A-020</t>
        </is>
      </c>
      <c r="F280" s="34" t="inlineStr">
        <is>
          <t>1.Aka Khil Check dams</t>
        </is>
      </c>
      <c r="G280" s="34" t="inlineStr">
        <is>
          <t>Watershed Management</t>
        </is>
      </c>
      <c r="H280" s="34" t="inlineStr">
        <is>
          <t>Check Dam</t>
        </is>
      </c>
      <c r="I280" s="34" t="inlineStr">
        <is>
          <t>Emergency Food Security Project (EFSP) – WBK/AF-2</t>
        </is>
      </c>
      <c r="J280" s="34" t="inlineStr">
        <is>
          <t>Central / Kabul</t>
        </is>
      </c>
      <c r="K280" s="34" t="inlineStr">
        <is>
          <t>Maidan Wardak</t>
        </is>
      </c>
      <c r="L280" s="34" t="inlineStr">
        <is>
          <t>Sayed Abad</t>
        </is>
      </c>
      <c r="M280" s="34" t="inlineStr">
        <is>
          <t>Aka Khil</t>
        </is>
      </c>
      <c r="N280" s="34" t="inlineStr">
        <is>
          <t>World Bank (WBK/AF-2)</t>
        </is>
      </c>
      <c r="O280" s="34" t="inlineStr">
        <is>
          <t>Awarded</t>
        </is>
      </c>
      <c r="P280" s="34" t="inlineStr">
        <is>
          <t>3.WSM awarded contracts</t>
        </is>
      </c>
      <c r="Q280" s="34" t="inlineStr">
        <is>
          <t>Sayed Abad Construction Company (SACC)</t>
        </is>
      </c>
      <c r="R280" s="34" t="inlineStr">
        <is>
          <t>021/2026</t>
        </is>
      </c>
      <c r="S280" s="35" t="n">
        <v>68618.92</v>
      </c>
      <c r="T280" s="36" t="inlineStr">
        <is>
          <t>IF(AQ280="","",AQ280)</t>
        </is>
      </c>
      <c r="U280" s="37" t="n"/>
      <c r="V280" s="38" t="n">
        <v>7</v>
      </c>
      <c r="W280" s="37" t="n">
        <v>46303</v>
      </c>
      <c r="X280" s="36" t="inlineStr">
        <is>
          <t>IF(W280&lt;&gt;"",W280,IF(OR(T280="",V280=""),"",EDATE(T280,V280)))</t>
        </is>
      </c>
      <c r="Y280" s="37" t="n"/>
      <c r="Z280" s="38" t="n">
        <v>100</v>
      </c>
      <c r="AA280" s="34" t="inlineStr">
        <is>
          <t>Completed / Handover</t>
        </is>
      </c>
      <c r="AB280" s="34" t="inlineStr">
        <is>
          <t>Completed on August, 2026</t>
        </is>
      </c>
      <c r="AC280" s="32" t="inlineStr">
        <is>
          <t>IF(F280="","",IF(COUNT(AI280:AV280)=0,IF(AA280="","Not started",AA280),SUBSTITUTE(LOOKUP(2,1/(AI280:AV280&lt;&gt;""),$AI$3:$AV$3),"Date: ","")))</t>
        </is>
      </c>
      <c r="AD280" s="39" t="inlineStr">
        <is>
          <t>IF(OR(F280="",COUNT(AI280:AV280)=0),"",TODAY()-LOOKUP(2,1/(AI280:AV280&lt;&gt;""),AI280:AV280))</t>
        </is>
      </c>
      <c r="AE280" s="39" t="inlineStr">
        <is>
          <t>IF(OR(F280="",COUNT(AI280:AV280)&lt;2),"",LOOKUP(2,1/(AI280:AV280&lt;&gt;""),AI280:AV280)-MIN(AI280:AV280))</t>
        </is>
      </c>
      <c r="AF280" s="39" t="inlineStr">
        <is>
          <t>IF(OR(AD280="",AC280="Not started",AC280=""),"",IFERROR(AD280-IF(VLOOKUP(AC280,'06_Status_Pipeline'!$B$3:$E$20,4,FALSE)="",0,VLOOKUP(AC280,'06_Status_Pipeline'!$B$3:$E$20,4,FALSE)),""))</t>
        </is>
      </c>
      <c r="AG280" s="3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39" t="inlineStr">
        <is>
          <t>IF(OR(F280="",AC280="Completed / Handover",AC280="Cancelled"),"",IF(O280="Not awarded",IF(U280&lt;&gt;"",U280-TODAY(),IF(X280="","",X280-TODAY())),IF(X280="","",X280-TODAY())))</t>
        </is>
      </c>
      <c r="AI280" s="66" t="n"/>
      <c r="AJ280" s="66" t="n"/>
      <c r="AK280" s="66" t="n"/>
      <c r="AL280" s="66" t="n"/>
      <c r="AM280" s="66" t="n"/>
      <c r="AN280" s="66" t="n"/>
      <c r="AO280" s="66" t="n"/>
      <c r="AP280" s="66" t="n"/>
      <c r="AQ280" s="66" t="n">
        <v>46091</v>
      </c>
      <c r="AR280" s="66" t="n">
        <v>46091</v>
      </c>
      <c r="AS280" s="66" t="n">
        <v>46303</v>
      </c>
      <c r="AT280" s="40" t="n"/>
      <c r="AU280" s="40" t="n"/>
      <c r="AV280" s="40" t="n"/>
      <c r="AW280" s="39" t="inlineStr">
        <is>
          <t>IF(OR(F280="",AJ280=""),"",IF(COUNT(AI280:AI280)=0,"",AJ280-LOOKUP(2,1/(AI280:AI280&lt;&gt;""),AI280:AI280)))</t>
        </is>
      </c>
      <c r="AX280" s="39" t="inlineStr">
        <is>
          <t>IF(OR(F280="",AK280=""),"",IF(COUNT(AI280:AJ280)=0,"",AK280-LOOKUP(2,1/(AI280:AJ280&lt;&gt;""),AI280:AJ280)))</t>
        </is>
      </c>
      <c r="AY280" s="39" t="inlineStr">
        <is>
          <t>IF(OR(F280="",AL280=""),"",IF(COUNT(AI280:AK280)=0,"",AL280-LOOKUP(2,1/(AI280:AK280&lt;&gt;""),AI280:AK280)))</t>
        </is>
      </c>
      <c r="AZ280" s="39" t="inlineStr">
        <is>
          <t>IF(OR(F280="",AM280=""),"",IF(COUNT(AI280:AL280)=0,"",AM280-LOOKUP(2,1/(AI280:AL280&lt;&gt;""),AI280:AL280)))</t>
        </is>
      </c>
      <c r="BA280" s="39" t="inlineStr">
        <is>
          <t>IF(OR(F280="",AN280=""),"",IF(COUNT(AI280:AM280)=0,"",AN280-LOOKUP(2,1/(AI280:AM280&lt;&gt;""),AI280:AM280)))</t>
        </is>
      </c>
      <c r="BB280" s="39" t="inlineStr">
        <is>
          <t>IF(OR(F280="",AO280=""),"",IF(COUNT(AI280:AN280)=0,"",AO280-LOOKUP(2,1/(AI280:AN280&lt;&gt;""),AI280:AN280)))</t>
        </is>
      </c>
      <c r="BC280" s="39" t="inlineStr">
        <is>
          <t>IF(OR(F280="",AP280=""),"",IF(COUNT(AI280:AO280)=0,"",AP280-LOOKUP(2,1/(AI280:AO280&lt;&gt;""),AI280:AO280)))</t>
        </is>
      </c>
      <c r="BD280" s="39" t="inlineStr">
        <is>
          <t>IF(OR(F280="",AQ280=""),"",IF(COUNT(AI280:AP280)=0,"",AQ280-LOOKUP(2,1/(AI280:AP280&lt;&gt;""),AI280:AP280)))</t>
        </is>
      </c>
      <c r="BE280" s="39" t="inlineStr">
        <is>
          <t>IF(OR(F280="",AR280=""),"",IF(COUNT(AI280:AQ280)=0,"",AR280-LOOKUP(2,1/(AI280:AQ280&lt;&gt;""),AI280:AQ280)))</t>
        </is>
      </c>
      <c r="BF280" s="39" t="inlineStr">
        <is>
          <t>IF(OR(F280="",AS280=""),"",IF(COUNT(AI280:AR280)=0,"",AS280-LOOKUP(2,1/(AI280:AR280&lt;&gt;""),AI280:AR280)))</t>
        </is>
      </c>
      <c r="BG280" s="39" t="inlineStr">
        <is>
          <t>IF(OR(F280="",AT280=""),"",IF(COUNT(AI280:AS280)=0,"",AT280-LOOKUP(2,1/(AI280:AS280&lt;&gt;""),AI280:AS280)))</t>
        </is>
      </c>
      <c r="BH280" s="39" t="inlineStr">
        <is>
          <t>IF(OR(F280="",AU280=""),"",IF(COUNT(AI280:AT280)=0,"",AU280-LOOKUP(2,1/(AI280:AT280&lt;&gt;""),AI280:AT280)))</t>
        </is>
      </c>
      <c r="BI280" s="39" t="inlineStr">
        <is>
          <t>IF(OR(F280="",AV280=""),"",IF(COUNT(AI280:AU280)=0,"",AV280-LOOKUP(2,1/(AI280:AU280&lt;&gt;""),AI280:AU280)))</t>
        </is>
      </c>
      <c r="BJ280" s="41" t="inlineStr">
        <is>
          <t>IF(J280="","All_Provinces",IFERROR(VLOOKUP(J280,'09_Lookups'!$A$4:$B$20,2,FALSE),"All_Provinces"))</t>
        </is>
      </c>
      <c r="BK280" s="41" t="inlineStr">
        <is>
          <t>IF(K280="","All_Districts",IFERROR(VLOOKUP(K280,'09_Lookups'!$E$4:$F$42,2,FALSE),"All_Districts"))</t>
        </is>
      </c>
    </row>
    <row r="281" outlineLevel="1" ht="18" customHeight="1">
      <c r="A281" s="42" t="inlineStr">
        <is>
          <t>IF(F281="","",ROW()-3)</t>
        </is>
      </c>
      <c r="B281" s="43" t="inlineStr">
        <is>
          <t>AF2-WSM-09</t>
        </is>
      </c>
      <c r="C281" s="43" t="inlineStr">
        <is>
          <t>Package #9-AF2 WSM: Construction of 1.Aka Khil Check dam and 2. Sra Qala Check dam in Sayed district, 3.Khar Check dam and 4.Mardala Check dam, located in Jaghatu districts of Wardak province.</t>
        </is>
      </c>
      <c r="D281" s="43" t="inlineStr">
        <is>
          <t>2 of 4</t>
        </is>
      </c>
      <c r="E281" s="44" t="inlineStr">
        <is>
          <t>AF2-WSM-A-021</t>
        </is>
      </c>
      <c r="F281" s="44" t="inlineStr">
        <is>
          <t>2.Sra Qala Check dams</t>
        </is>
      </c>
      <c r="G281" s="44" t="inlineStr">
        <is>
          <t>Watershed Management</t>
        </is>
      </c>
      <c r="H281" s="44" t="inlineStr">
        <is>
          <t>Check Dam</t>
        </is>
      </c>
      <c r="I281" s="44" t="inlineStr">
        <is>
          <t>Emergency Food Security Project (EFSP) – WBK/AF-2</t>
        </is>
      </c>
      <c r="J281" s="44" t="inlineStr">
        <is>
          <t>Central / Kabul</t>
        </is>
      </c>
      <c r="K281" s="44" t="inlineStr">
        <is>
          <t>Maidan Wardak</t>
        </is>
      </c>
      <c r="L281" s="44" t="inlineStr">
        <is>
          <t>Sayed Abad</t>
        </is>
      </c>
      <c r="M281" s="44" t="inlineStr">
        <is>
          <t>Sra Qala</t>
        </is>
      </c>
      <c r="N281" s="44" t="inlineStr">
        <is>
          <t>World Bank (WBK/AF-2)</t>
        </is>
      </c>
      <c r="O281" s="44" t="inlineStr">
        <is>
          <t>Awarded</t>
        </is>
      </c>
      <c r="P281" s="44" t="inlineStr">
        <is>
          <t>3.WSM awarded contracts</t>
        </is>
      </c>
      <c r="Q281" s="44" t="inlineStr">
        <is>
          <t>Sayed Abad Construction Company (SACC)</t>
        </is>
      </c>
      <c r="R281" s="44" t="inlineStr">
        <is>
          <t>021/2026</t>
        </is>
      </c>
      <c r="S281" s="45" t="n"/>
      <c r="T281" s="46" t="inlineStr">
        <is>
          <t>IF(AQ281="","",AQ281)</t>
        </is>
      </c>
      <c r="U281" s="47" t="n"/>
      <c r="V281" s="48" t="n">
        <v>7</v>
      </c>
      <c r="W281" s="47" t="n">
        <v>46303</v>
      </c>
      <c r="X281" s="46" t="inlineStr">
        <is>
          <t>IF(W281&lt;&gt;"",W281,IF(OR(T281="",V281=""),"",EDATE(T281,V281)))</t>
        </is>
      </c>
      <c r="Y281" s="47" t="n"/>
      <c r="Z281" s="48" t="n">
        <v>100</v>
      </c>
      <c r="AA281" s="44" t="inlineStr">
        <is>
          <t>Completed / Handover</t>
        </is>
      </c>
      <c r="AB281" s="44" t="inlineStr">
        <is>
          <t>Completed on August, 2026</t>
        </is>
      </c>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67" t="n"/>
      <c r="AJ281" s="67" t="n"/>
      <c r="AK281" s="67" t="n"/>
      <c r="AL281" s="67" t="n"/>
      <c r="AM281" s="67" t="n"/>
      <c r="AN281" s="67" t="n"/>
      <c r="AO281" s="67" t="n"/>
      <c r="AP281" s="67" t="n"/>
      <c r="AQ281" s="67" t="n">
        <v>46091</v>
      </c>
      <c r="AR281" s="67" t="n">
        <v>46091</v>
      </c>
      <c r="AS281" s="67" t="n">
        <v>46303</v>
      </c>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outlineLevel="1" ht="18" customHeight="1">
      <c r="A282" s="42" t="inlineStr">
        <is>
          <t>IF(F282="","",ROW()-3)</t>
        </is>
      </c>
      <c r="B282" s="43" t="inlineStr">
        <is>
          <t>AF2-WSM-09</t>
        </is>
      </c>
      <c r="C282" s="43" t="inlineStr">
        <is>
          <t>Package #9-AF2 WSM: Construction of 1.Aka Khil Check dam and 2. Sra Qala Check dam in Sayed district, 3.Khar Check dam and 4.Mardala Check dam, located in Jaghatu districts of Wardak province.</t>
        </is>
      </c>
      <c r="D282" s="43" t="inlineStr">
        <is>
          <t>3 of 4</t>
        </is>
      </c>
      <c r="E282" s="52" t="inlineStr">
        <is>
          <t>AF2-WSM-A-022</t>
        </is>
      </c>
      <c r="F282" s="52" t="inlineStr">
        <is>
          <t>3.Khar Check dams</t>
        </is>
      </c>
      <c r="G282" s="52" t="inlineStr">
        <is>
          <t>Watershed Management</t>
        </is>
      </c>
      <c r="H282" s="52" t="inlineStr">
        <is>
          <t>Check Dam</t>
        </is>
      </c>
      <c r="I282" s="52" t="inlineStr">
        <is>
          <t>Emergency Food Security Project (EFSP) – WBK/AF-2</t>
        </is>
      </c>
      <c r="J282" s="52" t="inlineStr">
        <is>
          <t>Central / Kabul</t>
        </is>
      </c>
      <c r="K282" s="52" t="inlineStr">
        <is>
          <t>Maidan Wardak</t>
        </is>
      </c>
      <c r="L282" s="52" t="inlineStr">
        <is>
          <t>Jaghatu</t>
        </is>
      </c>
      <c r="M282" s="52" t="inlineStr">
        <is>
          <t>Khar</t>
        </is>
      </c>
      <c r="N282" s="52" t="inlineStr">
        <is>
          <t>World Bank (WBK/AF-2)</t>
        </is>
      </c>
      <c r="O282" s="52" t="inlineStr">
        <is>
          <t>Awarded</t>
        </is>
      </c>
      <c r="P282" s="52" t="inlineStr">
        <is>
          <t>3.WSM awarded contracts</t>
        </is>
      </c>
      <c r="Q282" s="52" t="inlineStr">
        <is>
          <t>Sayed Abad Construction Company (SACC)</t>
        </is>
      </c>
      <c r="R282" s="52" t="inlineStr">
        <is>
          <t>021/2026</t>
        </is>
      </c>
      <c r="S282" s="53" t="n"/>
      <c r="T282" s="46" t="inlineStr">
        <is>
          <t>IF(AQ282="","",AQ282)</t>
        </is>
      </c>
      <c r="U282" s="54" t="n"/>
      <c r="V282" s="55" t="n">
        <v>7</v>
      </c>
      <c r="W282" s="54" t="n">
        <v>46303</v>
      </c>
      <c r="X282" s="46" t="inlineStr">
        <is>
          <t>IF(W282&lt;&gt;"",W282,IF(OR(T282="",V282=""),"",EDATE(T282,V282)))</t>
        </is>
      </c>
      <c r="Y282" s="54" t="n"/>
      <c r="Z282" s="55" t="n">
        <v>100</v>
      </c>
      <c r="AA282" s="52" t="inlineStr">
        <is>
          <t>Completed / Handover</t>
        </is>
      </c>
      <c r="AB282" s="52" t="inlineStr">
        <is>
          <t>Completed on August, 2026</t>
        </is>
      </c>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67" t="n"/>
      <c r="AJ282" s="67" t="n"/>
      <c r="AK282" s="67" t="n"/>
      <c r="AL282" s="67" t="n"/>
      <c r="AM282" s="67" t="n"/>
      <c r="AN282" s="67" t="n"/>
      <c r="AO282" s="67" t="n"/>
      <c r="AP282" s="67" t="n"/>
      <c r="AQ282" s="67" t="n">
        <v>46091</v>
      </c>
      <c r="AR282" s="67" t="n">
        <v>46091</v>
      </c>
      <c r="AS282" s="67" t="n">
        <v>46303</v>
      </c>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outlineLevel="1" ht="18" customHeight="1">
      <c r="A283" s="42" t="inlineStr">
        <is>
          <t>IF(F283="","",ROW()-3)</t>
        </is>
      </c>
      <c r="B283" s="43" t="inlineStr">
        <is>
          <t>AF2-WSM-09</t>
        </is>
      </c>
      <c r="C283" s="43" t="inlineStr">
        <is>
          <t>Package #9-AF2 WSM: Construction of 1.Aka Khil Check dam and 2. Sra Qala Check dam in Sayed district, 3.Khar Check dam and 4.Mardala Check dam, located in Jaghatu districts of Wardak province.</t>
        </is>
      </c>
      <c r="D283" s="43" t="inlineStr">
        <is>
          <t>4 of 4</t>
        </is>
      </c>
      <c r="E283" s="44" t="inlineStr">
        <is>
          <t>AF2-WSM-A-023</t>
        </is>
      </c>
      <c r="F283" s="44" t="inlineStr">
        <is>
          <t>4.Mardala Check dams</t>
        </is>
      </c>
      <c r="G283" s="44" t="inlineStr">
        <is>
          <t>Watershed Management</t>
        </is>
      </c>
      <c r="H283" s="44" t="inlineStr">
        <is>
          <t>Check Dam</t>
        </is>
      </c>
      <c r="I283" s="44" t="inlineStr">
        <is>
          <t>Emergency Food Security Project (EFSP) – WBK/AF-2</t>
        </is>
      </c>
      <c r="J283" s="44" t="inlineStr">
        <is>
          <t>Central / Kabul</t>
        </is>
      </c>
      <c r="K283" s="44" t="inlineStr">
        <is>
          <t>Maidan Wardak</t>
        </is>
      </c>
      <c r="L283" s="44" t="inlineStr">
        <is>
          <t>Jaghatu</t>
        </is>
      </c>
      <c r="M283" s="44" t="inlineStr">
        <is>
          <t>Mardala</t>
        </is>
      </c>
      <c r="N283" s="44" t="inlineStr">
        <is>
          <t>World Bank (WBK/AF-2)</t>
        </is>
      </c>
      <c r="O283" s="44" t="inlineStr">
        <is>
          <t>Awarded</t>
        </is>
      </c>
      <c r="P283" s="44" t="inlineStr">
        <is>
          <t>3.WSM awarded contracts</t>
        </is>
      </c>
      <c r="Q283" s="44" t="inlineStr">
        <is>
          <t>Sayed Abad Construction Company (SACC)</t>
        </is>
      </c>
      <c r="R283" s="44" t="inlineStr">
        <is>
          <t>021/2026</t>
        </is>
      </c>
      <c r="S283" s="45" t="n"/>
      <c r="T283" s="46" t="inlineStr">
        <is>
          <t>IF(AQ283="","",AQ283)</t>
        </is>
      </c>
      <c r="U283" s="47" t="n"/>
      <c r="V283" s="48" t="n">
        <v>7</v>
      </c>
      <c r="W283" s="47" t="n">
        <v>46303</v>
      </c>
      <c r="X283" s="46" t="inlineStr">
        <is>
          <t>IF(W283&lt;&gt;"",W283,IF(OR(T283="",V283=""),"",EDATE(T283,V283)))</t>
        </is>
      </c>
      <c r="Y283" s="47" t="n"/>
      <c r="Z283" s="48" t="n">
        <v>100</v>
      </c>
      <c r="AA283" s="44" t="inlineStr">
        <is>
          <t>Completed / Handover</t>
        </is>
      </c>
      <c r="AB283" s="44" t="inlineStr">
        <is>
          <t>Completed on August, 2026</t>
        </is>
      </c>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67" t="n"/>
      <c r="AJ283" s="67" t="n"/>
      <c r="AK283" s="67" t="n"/>
      <c r="AL283" s="67" t="n"/>
      <c r="AM283" s="67" t="n"/>
      <c r="AN283" s="67" t="n"/>
      <c r="AO283" s="67" t="n"/>
      <c r="AP283" s="67" t="n"/>
      <c r="AQ283" s="67" t="n">
        <v>46091</v>
      </c>
      <c r="AR283" s="67" t="n">
        <v>46091</v>
      </c>
      <c r="AS283" s="67" t="n">
        <v>46303</v>
      </c>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32" t="inlineStr">
        <is>
          <t>IF(F284="","",ROW()-3)</t>
        </is>
      </c>
      <c r="B284" s="56" t="inlineStr">
        <is>
          <t>AF2-WSM-10</t>
        </is>
      </c>
      <c r="C284" s="56" t="inlineStr">
        <is>
          <t>Package #10-AF2 WSM: Construction of Loy Shenkai Check dams # 1 and # 2 in Tagab district, and Shahr-e-Naw Check dam # 3 located in Nijrab districts of Kapisa province.</t>
        </is>
      </c>
      <c r="D284" s="56" t="inlineStr">
        <is>
          <t>1 of 3</t>
        </is>
      </c>
      <c r="E284" s="34" t="inlineStr">
        <is>
          <t>AF2-WSM-A-024</t>
        </is>
      </c>
      <c r="F284" s="34" t="inlineStr">
        <is>
          <t>1. Loy Shenkai Check dams-1</t>
        </is>
      </c>
      <c r="G284" s="34" t="inlineStr">
        <is>
          <t>Watershed Management</t>
        </is>
      </c>
      <c r="H284" s="34" t="inlineStr">
        <is>
          <t>Check Dam</t>
        </is>
      </c>
      <c r="I284" s="34" t="inlineStr">
        <is>
          <t>Emergency Food Security Project (EFSP) – WBK/AF-2</t>
        </is>
      </c>
      <c r="J284" s="34" t="inlineStr">
        <is>
          <t>Central / Kabul</t>
        </is>
      </c>
      <c r="K284" s="34" t="inlineStr">
        <is>
          <t>Kapisa</t>
        </is>
      </c>
      <c r="L284" s="34" t="inlineStr">
        <is>
          <t>Tagab</t>
        </is>
      </c>
      <c r="M284" s="34" t="inlineStr">
        <is>
          <t>Loy Shenkai-1</t>
        </is>
      </c>
      <c r="N284" s="34" t="inlineStr">
        <is>
          <t>World Bank (WBK/AF-2)</t>
        </is>
      </c>
      <c r="O284" s="34" t="inlineStr">
        <is>
          <t>Awarded</t>
        </is>
      </c>
      <c r="P284" s="34" t="inlineStr">
        <is>
          <t>3.WSM awarded contracts</t>
        </is>
      </c>
      <c r="Q284" s="34" t="inlineStr">
        <is>
          <t>Kapisa Kohna Dah Construction Company (KKCC)</t>
        </is>
      </c>
      <c r="R284" s="34" t="inlineStr">
        <is>
          <t>020/2026</t>
        </is>
      </c>
      <c r="S284" s="35" t="n">
        <v>44028.02</v>
      </c>
      <c r="T284" s="36" t="inlineStr">
        <is>
          <t>IF(AQ284="","",AQ284)</t>
        </is>
      </c>
      <c r="U284" s="37" t="n"/>
      <c r="V284" s="38" t="n">
        <v>6</v>
      </c>
      <c r="W284" s="37" t="n">
        <v>46273</v>
      </c>
      <c r="X284" s="36" t="inlineStr">
        <is>
          <t>IF(W284&lt;&gt;"",W284,IF(OR(T284="",V284=""),"",EDATE(T284,V284)))</t>
        </is>
      </c>
      <c r="Y284" s="37" t="n"/>
      <c r="Z284" s="38" t="n">
        <v>100</v>
      </c>
      <c r="AA284" s="34" t="inlineStr">
        <is>
          <t>Completed / Handover</t>
        </is>
      </c>
      <c r="AB284" s="34" t="inlineStr">
        <is>
          <t>Completed on August 2026</t>
        </is>
      </c>
      <c r="AC284" s="32" t="inlineStr">
        <is>
          <t>IF(F284="","",IF(COUNT(AI284:AV284)=0,IF(AA284="","Not started",AA284),SUBSTITUTE(LOOKUP(2,1/(AI284:AV284&lt;&gt;""),$AI$3:$AV$3),"Date: ","")))</t>
        </is>
      </c>
      <c r="AD284" s="39" t="inlineStr">
        <is>
          <t>IF(OR(F284="",COUNT(AI284:AV284)=0),"",TODAY()-LOOKUP(2,1/(AI284:AV284&lt;&gt;""),AI284:AV284))</t>
        </is>
      </c>
      <c r="AE284" s="39" t="inlineStr">
        <is>
          <t>IF(OR(F284="",COUNT(AI284:AV284)&lt;2),"",LOOKUP(2,1/(AI284:AV284&lt;&gt;""),AI284:AV284)-MIN(AI284:AV284))</t>
        </is>
      </c>
      <c r="AF284" s="39" t="inlineStr">
        <is>
          <t>IF(OR(AD284="",AC284="Not started",AC284=""),"",IFERROR(AD284-IF(VLOOKUP(AC284,'06_Status_Pipeline'!$B$3:$E$20,4,FALSE)="",0,VLOOKUP(AC284,'06_Status_Pipeline'!$B$3:$E$20,4,FALSE)),""))</t>
        </is>
      </c>
      <c r="AG284" s="3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39" t="inlineStr">
        <is>
          <t>IF(OR(F284="",AC284="Completed / Handover",AC284="Cancelled"),"",IF(O284="Not awarded",IF(U284&lt;&gt;"",U284-TODAY(),IF(X284="","",X284-TODAY())),IF(X284="","",X284-TODAY())))</t>
        </is>
      </c>
      <c r="AI284" s="66" t="n"/>
      <c r="AJ284" s="66" t="n"/>
      <c r="AK284" s="66" t="n"/>
      <c r="AL284" s="66" t="n"/>
      <c r="AM284" s="66" t="n"/>
      <c r="AN284" s="66" t="n"/>
      <c r="AO284" s="66" t="n"/>
      <c r="AP284" s="66" t="n"/>
      <c r="AQ284" s="66" t="n">
        <v>46090</v>
      </c>
      <c r="AR284" s="66" t="n">
        <v>46090</v>
      </c>
      <c r="AS284" s="66" t="n">
        <v>46273</v>
      </c>
      <c r="AT284" s="40" t="n"/>
      <c r="AU284" s="40" t="n"/>
      <c r="AV284" s="40" t="n"/>
      <c r="AW284" s="39" t="inlineStr">
        <is>
          <t>IF(OR(F284="",AJ284=""),"",IF(COUNT(AI284:AI284)=0,"",AJ284-LOOKUP(2,1/(AI284:AI284&lt;&gt;""),AI284:AI284)))</t>
        </is>
      </c>
      <c r="AX284" s="39" t="inlineStr">
        <is>
          <t>IF(OR(F284="",AK284=""),"",IF(COUNT(AI284:AJ284)=0,"",AK284-LOOKUP(2,1/(AI284:AJ284&lt;&gt;""),AI284:AJ284)))</t>
        </is>
      </c>
      <c r="AY284" s="39" t="inlineStr">
        <is>
          <t>IF(OR(F284="",AL284=""),"",IF(COUNT(AI284:AK284)=0,"",AL284-LOOKUP(2,1/(AI284:AK284&lt;&gt;""),AI284:AK284)))</t>
        </is>
      </c>
      <c r="AZ284" s="39" t="inlineStr">
        <is>
          <t>IF(OR(F284="",AM284=""),"",IF(COUNT(AI284:AL284)=0,"",AM284-LOOKUP(2,1/(AI284:AL284&lt;&gt;""),AI284:AL284)))</t>
        </is>
      </c>
      <c r="BA284" s="39" t="inlineStr">
        <is>
          <t>IF(OR(F284="",AN284=""),"",IF(COUNT(AI284:AM284)=0,"",AN284-LOOKUP(2,1/(AI284:AM284&lt;&gt;""),AI284:AM284)))</t>
        </is>
      </c>
      <c r="BB284" s="39" t="inlineStr">
        <is>
          <t>IF(OR(F284="",AO284=""),"",IF(COUNT(AI284:AN284)=0,"",AO284-LOOKUP(2,1/(AI284:AN284&lt;&gt;""),AI284:AN284)))</t>
        </is>
      </c>
      <c r="BC284" s="39" t="inlineStr">
        <is>
          <t>IF(OR(F284="",AP284=""),"",IF(COUNT(AI284:AO284)=0,"",AP284-LOOKUP(2,1/(AI284:AO284&lt;&gt;""),AI284:AO284)))</t>
        </is>
      </c>
      <c r="BD284" s="39" t="inlineStr">
        <is>
          <t>IF(OR(F284="",AQ284=""),"",IF(COUNT(AI284:AP284)=0,"",AQ284-LOOKUP(2,1/(AI284:AP284&lt;&gt;""),AI284:AP284)))</t>
        </is>
      </c>
      <c r="BE284" s="39" t="inlineStr">
        <is>
          <t>IF(OR(F284="",AR284=""),"",IF(COUNT(AI284:AQ284)=0,"",AR284-LOOKUP(2,1/(AI284:AQ284&lt;&gt;""),AI284:AQ284)))</t>
        </is>
      </c>
      <c r="BF284" s="39" t="inlineStr">
        <is>
          <t>IF(OR(F284="",AS284=""),"",IF(COUNT(AI284:AR284)=0,"",AS284-LOOKUP(2,1/(AI284:AR284&lt;&gt;""),AI284:AR284)))</t>
        </is>
      </c>
      <c r="BG284" s="39" t="inlineStr">
        <is>
          <t>IF(OR(F284="",AT284=""),"",IF(COUNT(AI284:AS284)=0,"",AT284-LOOKUP(2,1/(AI284:AS284&lt;&gt;""),AI284:AS284)))</t>
        </is>
      </c>
      <c r="BH284" s="39" t="inlineStr">
        <is>
          <t>IF(OR(F284="",AU284=""),"",IF(COUNT(AI284:AT284)=0,"",AU284-LOOKUP(2,1/(AI284:AT284&lt;&gt;""),AI284:AT284)))</t>
        </is>
      </c>
      <c r="BI284" s="39" t="inlineStr">
        <is>
          <t>IF(OR(F284="",AV284=""),"",IF(COUNT(AI284:AU284)=0,"",AV284-LOOKUP(2,1/(AI284:AU284&lt;&gt;""),AI284:AU284)))</t>
        </is>
      </c>
      <c r="BJ284" s="41" t="inlineStr">
        <is>
          <t>IF(J284="","All_Provinces",IFERROR(VLOOKUP(J284,'09_Lookups'!$A$4:$B$20,2,FALSE),"All_Provinces"))</t>
        </is>
      </c>
      <c r="BK284" s="41" t="inlineStr">
        <is>
          <t>IF(K284="","All_Districts",IFERROR(VLOOKUP(K284,'09_Lookups'!$E$4:$F$42,2,FALSE),"All_Districts"))</t>
        </is>
      </c>
    </row>
    <row r="285" outlineLevel="1" ht="18" customHeight="1">
      <c r="A285" s="42" t="inlineStr">
        <is>
          <t>IF(F285="","",ROW()-3)</t>
        </is>
      </c>
      <c r="B285" s="61" t="inlineStr">
        <is>
          <t>AF2-WSM-10</t>
        </is>
      </c>
      <c r="C285" s="61" t="inlineStr">
        <is>
          <t>Package #10-AF2 WSM: Construction of Loy Shenkai Check dams # 1 and # 2 in Tagab district, and Shahr-e-Naw Check dam # 3 located in Nijrab districts of Kapisa province.</t>
        </is>
      </c>
      <c r="D285" s="61" t="inlineStr">
        <is>
          <t>2 of 3</t>
        </is>
      </c>
      <c r="E285" s="44" t="inlineStr">
        <is>
          <t>AF2-WSM-A-025</t>
        </is>
      </c>
      <c r="F285" s="44" t="inlineStr">
        <is>
          <t>2. Loy Shenkai Check dams-2</t>
        </is>
      </c>
      <c r="G285" s="44" t="inlineStr">
        <is>
          <t>Watershed Management</t>
        </is>
      </c>
      <c r="H285" s="44" t="inlineStr">
        <is>
          <t>Check Dam</t>
        </is>
      </c>
      <c r="I285" s="44" t="inlineStr">
        <is>
          <t>Emergency Food Security Project (EFSP) – WBK/AF-2</t>
        </is>
      </c>
      <c r="J285" s="44" t="inlineStr">
        <is>
          <t>Central / Kabul</t>
        </is>
      </c>
      <c r="K285" s="44" t="inlineStr">
        <is>
          <t>Kapisa</t>
        </is>
      </c>
      <c r="L285" s="44" t="inlineStr">
        <is>
          <t>Tagab</t>
        </is>
      </c>
      <c r="M285" s="44" t="inlineStr">
        <is>
          <t>Loy Shenkai-2</t>
        </is>
      </c>
      <c r="N285" s="44" t="inlineStr">
        <is>
          <t>World Bank (WBK/AF-2)</t>
        </is>
      </c>
      <c r="O285" s="44" t="inlineStr">
        <is>
          <t>Awarded</t>
        </is>
      </c>
      <c r="P285" s="44" t="inlineStr">
        <is>
          <t>3.WSM awarded contracts</t>
        </is>
      </c>
      <c r="Q285" s="44" t="inlineStr">
        <is>
          <t>Kapisa Kohna Dah Construction Company (KKCC)</t>
        </is>
      </c>
      <c r="R285" s="44" t="inlineStr">
        <is>
          <t>020/2026</t>
        </is>
      </c>
      <c r="S285" s="45" t="n"/>
      <c r="T285" s="46" t="inlineStr">
        <is>
          <t>IF(AQ285="","",AQ285)</t>
        </is>
      </c>
      <c r="U285" s="47" t="n"/>
      <c r="V285" s="48" t="n">
        <v>6</v>
      </c>
      <c r="W285" s="47" t="n">
        <v>46273</v>
      </c>
      <c r="X285" s="46" t="inlineStr">
        <is>
          <t>IF(W285&lt;&gt;"",W285,IF(OR(T285="",V285=""),"",EDATE(T285,V285)))</t>
        </is>
      </c>
      <c r="Y285" s="47" t="n"/>
      <c r="Z285" s="48" t="n">
        <v>100</v>
      </c>
      <c r="AA285" s="44" t="inlineStr">
        <is>
          <t>Completed / Handover</t>
        </is>
      </c>
      <c r="AB285" s="44" t="inlineStr">
        <is>
          <t>Completed on August 2026</t>
        </is>
      </c>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67" t="n"/>
      <c r="AJ285" s="67" t="n"/>
      <c r="AK285" s="67" t="n"/>
      <c r="AL285" s="67" t="n"/>
      <c r="AM285" s="67" t="n"/>
      <c r="AN285" s="67" t="n"/>
      <c r="AO285" s="67" t="n"/>
      <c r="AP285" s="67" t="n"/>
      <c r="AQ285" s="67" t="n">
        <v>46090</v>
      </c>
      <c r="AR285" s="67" t="n">
        <v>46090</v>
      </c>
      <c r="AS285" s="67" t="n">
        <v>46273</v>
      </c>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outlineLevel="1" ht="18" customHeight="1">
      <c r="A286" s="42" t="inlineStr">
        <is>
          <t>IF(F286="","",ROW()-3)</t>
        </is>
      </c>
      <c r="B286" s="61" t="inlineStr">
        <is>
          <t>AF2-WSM-10</t>
        </is>
      </c>
      <c r="C286" s="61" t="inlineStr">
        <is>
          <t>Package #10-AF2 WSM: Construction of Loy Shenkai Check dams # 1 and # 2 in Tagab district, and Shahr-e-Naw Check dam # 3 located in Nijrab districts of Kapisa province.</t>
        </is>
      </c>
      <c r="D286" s="61" t="inlineStr">
        <is>
          <t>3 of 3</t>
        </is>
      </c>
      <c r="E286" s="52" t="inlineStr">
        <is>
          <t>AF2-WSM-A-026</t>
        </is>
      </c>
      <c r="F286" s="52" t="inlineStr">
        <is>
          <t>3. Shahr-e-Naw Check dam</t>
        </is>
      </c>
      <c r="G286" s="52" t="inlineStr">
        <is>
          <t>Watershed Management</t>
        </is>
      </c>
      <c r="H286" s="52" t="inlineStr">
        <is>
          <t>Check Dam</t>
        </is>
      </c>
      <c r="I286" s="52" t="inlineStr">
        <is>
          <t>Emergency Food Security Project (EFSP) – WBK/AF-2</t>
        </is>
      </c>
      <c r="J286" s="52" t="inlineStr">
        <is>
          <t>Central / Kabul</t>
        </is>
      </c>
      <c r="K286" s="52" t="inlineStr">
        <is>
          <t>Kapisa</t>
        </is>
      </c>
      <c r="L286" s="52" t="inlineStr">
        <is>
          <t>Nijrab</t>
        </is>
      </c>
      <c r="M286" s="52" t="inlineStr">
        <is>
          <t>Shahr-e-Naw</t>
        </is>
      </c>
      <c r="N286" s="52" t="inlineStr">
        <is>
          <t>World Bank (WBK/AF-2)</t>
        </is>
      </c>
      <c r="O286" s="52" t="inlineStr">
        <is>
          <t>Awarded</t>
        </is>
      </c>
      <c r="P286" s="52" t="inlineStr">
        <is>
          <t>3.WSM awarded contracts</t>
        </is>
      </c>
      <c r="Q286" s="52" t="inlineStr">
        <is>
          <t>Kapisa Kohna Dah Construction Company (KKCC)</t>
        </is>
      </c>
      <c r="R286" s="52" t="inlineStr">
        <is>
          <t>020/2026</t>
        </is>
      </c>
      <c r="S286" s="53" t="n"/>
      <c r="T286" s="46" t="inlineStr">
        <is>
          <t>IF(AQ286="","",AQ286)</t>
        </is>
      </c>
      <c r="U286" s="54" t="n"/>
      <c r="V286" s="55" t="n">
        <v>6</v>
      </c>
      <c r="W286" s="54" t="n">
        <v>46273</v>
      </c>
      <c r="X286" s="46" t="inlineStr">
        <is>
          <t>IF(W286&lt;&gt;"",W286,IF(OR(T286="",V286=""),"",EDATE(T286,V286)))</t>
        </is>
      </c>
      <c r="Y286" s="54" t="n"/>
      <c r="Z286" s="55" t="n">
        <v>100</v>
      </c>
      <c r="AA286" s="52" t="inlineStr">
        <is>
          <t>Completed / Handover</t>
        </is>
      </c>
      <c r="AB286" s="52" t="inlineStr">
        <is>
          <t>Completed on August 2026</t>
        </is>
      </c>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67" t="n"/>
      <c r="AJ286" s="67" t="n"/>
      <c r="AK286" s="67" t="n"/>
      <c r="AL286" s="67" t="n"/>
      <c r="AM286" s="67" t="n"/>
      <c r="AN286" s="67" t="n"/>
      <c r="AO286" s="67" t="n"/>
      <c r="AP286" s="67" t="n"/>
      <c r="AQ286" s="67" t="n">
        <v>46090</v>
      </c>
      <c r="AR286" s="67" t="n">
        <v>46090</v>
      </c>
      <c r="AS286" s="67" t="n">
        <v>46273</v>
      </c>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32" t="inlineStr">
        <is>
          <t>IF(F287="","",ROW()-3)</t>
        </is>
      </c>
      <c r="B287" s="62" t="inlineStr">
        <is>
          <t>AF2-WSM-11</t>
        </is>
      </c>
      <c r="C287" s="62" t="inlineStr">
        <is>
          <t>Package #11-AF2 WSM: Construction of 3 Check dams 1.Wolangak in Shikh Ali, 2.Sanzalai, and 3.Sharkai Olia in Koh-e-Safi district of Parwan province.</t>
        </is>
      </c>
      <c r="D287" s="62" t="inlineStr">
        <is>
          <t>1 of 3</t>
        </is>
      </c>
      <c r="E287" s="57" t="inlineStr">
        <is>
          <t>AF2-WSM-A-027</t>
        </is>
      </c>
      <c r="F287" s="57" t="inlineStr">
        <is>
          <t>Sanzalai and Sharki Olia</t>
        </is>
      </c>
      <c r="G287" s="57" t="inlineStr">
        <is>
          <t>Watershed Management</t>
        </is>
      </c>
      <c r="H287" s="57" t="inlineStr">
        <is>
          <t>Check Dam</t>
        </is>
      </c>
      <c r="I287" s="57" t="inlineStr">
        <is>
          <t>Emergency Food Security Project (EFSP) – WBK/AF-2</t>
        </is>
      </c>
      <c r="J287" s="57" t="inlineStr">
        <is>
          <t>Central / Kabul</t>
        </is>
      </c>
      <c r="K287" s="57" t="inlineStr">
        <is>
          <t>Parwan</t>
        </is>
      </c>
      <c r="L287" s="57" t="inlineStr">
        <is>
          <t>Koh-e-Safi</t>
        </is>
      </c>
      <c r="M287" s="57" t="inlineStr">
        <is>
          <t>Sanzalai</t>
        </is>
      </c>
      <c r="N287" s="57" t="inlineStr">
        <is>
          <t>World Bank (WBK/AF-2)</t>
        </is>
      </c>
      <c r="O287" s="57" t="inlineStr">
        <is>
          <t>Awarded</t>
        </is>
      </c>
      <c r="P287" s="57" t="inlineStr">
        <is>
          <t>3.WSM awarded contracts</t>
        </is>
      </c>
      <c r="Q287" s="57" t="inlineStr">
        <is>
          <t>Hemat Ghorzang Construction &amp; Logistic Service Company (HGCC)</t>
        </is>
      </c>
      <c r="R287" s="57" t="inlineStr">
        <is>
          <t>043/2026</t>
        </is>
      </c>
      <c r="S287" s="58" t="n"/>
      <c r="T287" s="36" t="inlineStr">
        <is>
          <t>IF(AQ287="","",AQ287)</t>
        </is>
      </c>
      <c r="U287" s="59" t="n"/>
      <c r="V287" s="60" t="n">
        <v>5</v>
      </c>
      <c r="W287" s="59" t="n">
        <v>46349</v>
      </c>
      <c r="X287" s="36" t="inlineStr">
        <is>
          <t>IF(W287&lt;&gt;"",W287,IF(OR(T287="",V287=""),"",EDATE(T287,V287)))</t>
        </is>
      </c>
      <c r="Y287" s="59" t="n"/>
      <c r="Z287" s="60" t="n">
        <v>20</v>
      </c>
      <c r="AA287" s="57" t="inlineStr">
        <is>
          <t>Under Construction</t>
        </is>
      </c>
      <c r="AB287" s="57" t="inlineStr">
        <is>
          <t>Completed on August 2026</t>
        </is>
      </c>
      <c r="AC287" s="32" t="inlineStr">
        <is>
          <t>IF(F287="","",IF(COUNT(AI287:AV287)=0,IF(AA287="","Not started",AA287),SUBSTITUTE(LOOKUP(2,1/(AI287:AV287&lt;&gt;""),$AI$3:$AV$3),"Date: ","")))</t>
        </is>
      </c>
      <c r="AD287" s="39" t="inlineStr">
        <is>
          <t>IF(OR(F287="",COUNT(AI287:AV287)=0),"",TODAY()-LOOKUP(2,1/(AI287:AV287&lt;&gt;""),AI287:AV287))</t>
        </is>
      </c>
      <c r="AE287" s="39" t="inlineStr">
        <is>
          <t>IF(OR(F287="",COUNT(AI287:AV287)&lt;2),"",LOOKUP(2,1/(AI287:AV287&lt;&gt;""),AI287:AV287)-MIN(AI287:AV287))</t>
        </is>
      </c>
      <c r="AF287" s="39" t="inlineStr">
        <is>
          <t>IF(OR(AD287="",AC287="Not started",AC287=""),"",IFERROR(AD287-IF(VLOOKUP(AC287,'06_Status_Pipeline'!$B$3:$E$20,4,FALSE)="",0,VLOOKUP(AC287,'06_Status_Pipeline'!$B$3:$E$20,4,FALSE)),""))</t>
        </is>
      </c>
      <c r="AG287" s="3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39" t="inlineStr">
        <is>
          <t>IF(OR(F287="",AC287="Completed / Handover",AC287="Cancelled"),"",IF(O287="Not awarded",IF(U287&lt;&gt;"",U287-TODAY(),IF(X287="","",X287-TODAY())),IF(X287="","",X287-TODAY())))</t>
        </is>
      </c>
      <c r="AI287" s="66" t="n"/>
      <c r="AJ287" s="66" t="n"/>
      <c r="AK287" s="66" t="n"/>
      <c r="AL287" s="66" t="n"/>
      <c r="AM287" s="66" t="n"/>
      <c r="AN287" s="66" t="n"/>
      <c r="AO287" s="66" t="n"/>
      <c r="AP287" s="66" t="n"/>
      <c r="AQ287" s="66" t="n">
        <v>46197</v>
      </c>
      <c r="AR287" s="66" t="n">
        <v>46197</v>
      </c>
      <c r="AS287" s="66" t="n"/>
      <c r="AT287" s="40" t="n"/>
      <c r="AU287" s="40" t="n"/>
      <c r="AV287" s="40" t="n"/>
      <c r="AW287" s="39" t="inlineStr">
        <is>
          <t>IF(OR(F287="",AJ287=""),"",IF(COUNT(AI287:AI287)=0,"",AJ287-LOOKUP(2,1/(AI287:AI287&lt;&gt;""),AI287:AI287)))</t>
        </is>
      </c>
      <c r="AX287" s="39" t="inlineStr">
        <is>
          <t>IF(OR(F287="",AK287=""),"",IF(COUNT(AI287:AJ287)=0,"",AK287-LOOKUP(2,1/(AI287:AJ287&lt;&gt;""),AI287:AJ287)))</t>
        </is>
      </c>
      <c r="AY287" s="39" t="inlineStr">
        <is>
          <t>IF(OR(F287="",AL287=""),"",IF(COUNT(AI287:AK287)=0,"",AL287-LOOKUP(2,1/(AI287:AK287&lt;&gt;""),AI287:AK287)))</t>
        </is>
      </c>
      <c r="AZ287" s="39" t="inlineStr">
        <is>
          <t>IF(OR(F287="",AM287=""),"",IF(COUNT(AI287:AL287)=0,"",AM287-LOOKUP(2,1/(AI287:AL287&lt;&gt;""),AI287:AL287)))</t>
        </is>
      </c>
      <c r="BA287" s="39" t="inlineStr">
        <is>
          <t>IF(OR(F287="",AN287=""),"",IF(COUNT(AI287:AM287)=0,"",AN287-LOOKUP(2,1/(AI287:AM287&lt;&gt;""),AI287:AM287)))</t>
        </is>
      </c>
      <c r="BB287" s="39" t="inlineStr">
        <is>
          <t>IF(OR(F287="",AO287=""),"",IF(COUNT(AI287:AN287)=0,"",AO287-LOOKUP(2,1/(AI287:AN287&lt;&gt;""),AI287:AN287)))</t>
        </is>
      </c>
      <c r="BC287" s="39" t="inlineStr">
        <is>
          <t>IF(OR(F287="",AP287=""),"",IF(COUNT(AI287:AO287)=0,"",AP287-LOOKUP(2,1/(AI287:AO287&lt;&gt;""),AI287:AO287)))</t>
        </is>
      </c>
      <c r="BD287" s="39" t="inlineStr">
        <is>
          <t>IF(OR(F287="",AQ287=""),"",IF(COUNT(AI287:AP287)=0,"",AQ287-LOOKUP(2,1/(AI287:AP287&lt;&gt;""),AI287:AP287)))</t>
        </is>
      </c>
      <c r="BE287" s="39" t="inlineStr">
        <is>
          <t>IF(OR(F287="",AR287=""),"",IF(COUNT(AI287:AQ287)=0,"",AR287-LOOKUP(2,1/(AI287:AQ287&lt;&gt;""),AI287:AQ287)))</t>
        </is>
      </c>
      <c r="BF287" s="39" t="inlineStr">
        <is>
          <t>IF(OR(F287="",AS287=""),"",IF(COUNT(AI287:AR287)=0,"",AS287-LOOKUP(2,1/(AI287:AR287&lt;&gt;""),AI287:AR287)))</t>
        </is>
      </c>
      <c r="BG287" s="39" t="inlineStr">
        <is>
          <t>IF(OR(F287="",AT287=""),"",IF(COUNT(AI287:AS287)=0,"",AT287-LOOKUP(2,1/(AI287:AS287&lt;&gt;""),AI287:AS287)))</t>
        </is>
      </c>
      <c r="BH287" s="39" t="inlineStr">
        <is>
          <t>IF(OR(F287="",AU287=""),"",IF(COUNT(AI287:AT287)=0,"",AU287-LOOKUP(2,1/(AI287:AT287&lt;&gt;""),AI287:AT287)))</t>
        </is>
      </c>
      <c r="BI287" s="39" t="inlineStr">
        <is>
          <t>IF(OR(F287="",AV287=""),"",IF(COUNT(AI287:AU287)=0,"",AV287-LOOKUP(2,1/(AI287:AU287&lt;&gt;""),AI287:AU287)))</t>
        </is>
      </c>
      <c r="BJ287" s="41" t="inlineStr">
        <is>
          <t>IF(J287="","All_Provinces",IFERROR(VLOOKUP(J287,'09_Lookups'!$A$4:$B$20,2,FALSE),"All_Provinces"))</t>
        </is>
      </c>
      <c r="BK287" s="41" t="inlineStr">
        <is>
          <t>IF(K287="","All_Districts",IFERROR(VLOOKUP(K287,'09_Lookups'!$E$4:$F$42,2,FALSE),"All_Districts"))</t>
        </is>
      </c>
    </row>
    <row r="288" outlineLevel="1" ht="18" customHeight="1">
      <c r="A288" s="42" t="inlineStr">
        <is>
          <t>IF(F288="","",ROW()-3)</t>
        </is>
      </c>
      <c r="B288" s="63" t="inlineStr">
        <is>
          <t>AF2-WSM-11</t>
        </is>
      </c>
      <c r="C288" s="63" t="inlineStr">
        <is>
          <t>Package #11-AF2 WSM: Construction of 3 Check dams 1.Wolangak in Shikh Ali, 2.Sanzalai, and 3.Sharkai Olia in Koh-e-Safi district of Parwan province.</t>
        </is>
      </c>
      <c r="D288" s="63" t="inlineStr">
        <is>
          <t>2 of 3</t>
        </is>
      </c>
      <c r="E288" s="52" t="inlineStr">
        <is>
          <t>AF2-WSM-A-028</t>
        </is>
      </c>
      <c r="F288" s="52" t="inlineStr">
        <is>
          <t>Sharkai Olia Check dam</t>
        </is>
      </c>
      <c r="G288" s="52" t="inlineStr">
        <is>
          <t>Watershed Management</t>
        </is>
      </c>
      <c r="H288" s="52" t="inlineStr">
        <is>
          <t>Check Dam</t>
        </is>
      </c>
      <c r="I288" s="52" t="inlineStr">
        <is>
          <t>Emergency Food Security Project (EFSP) – WBK/AF-2</t>
        </is>
      </c>
      <c r="J288" s="52" t="inlineStr">
        <is>
          <t>Central / Kabul</t>
        </is>
      </c>
      <c r="K288" s="52" t="inlineStr">
        <is>
          <t>Parwan</t>
        </is>
      </c>
      <c r="L288" s="52" t="inlineStr">
        <is>
          <t>Koh-e-Safi</t>
        </is>
      </c>
      <c r="M288" s="52" t="inlineStr">
        <is>
          <t>Sharki Olia</t>
        </is>
      </c>
      <c r="N288" s="52" t="inlineStr">
        <is>
          <t>World Bank (WBK/AF-2)</t>
        </is>
      </c>
      <c r="O288" s="52" t="inlineStr">
        <is>
          <t>Awarded</t>
        </is>
      </c>
      <c r="P288" s="52" t="inlineStr">
        <is>
          <t>3.WSM awarded contracts</t>
        </is>
      </c>
      <c r="Q288" s="52" t="inlineStr">
        <is>
          <t>Hemat Ghorzang Construction &amp; Logistic Service Company (HGCC)</t>
        </is>
      </c>
      <c r="R288" s="52" t="inlineStr">
        <is>
          <t>043/2026</t>
        </is>
      </c>
      <c r="S288" s="53" t="n"/>
      <c r="T288" s="46" t="inlineStr">
        <is>
          <t>IF(AQ288="","",AQ288)</t>
        </is>
      </c>
      <c r="U288" s="54" t="n"/>
      <c r="V288" s="55" t="n">
        <v>5</v>
      </c>
      <c r="W288" s="54" t="n">
        <v>46349</v>
      </c>
      <c r="X288" s="46" t="inlineStr">
        <is>
          <t>IF(W288&lt;&gt;"",W288,IF(OR(T288="",V288=""),"",EDATE(T288,V288)))</t>
        </is>
      </c>
      <c r="Y288" s="54" t="n"/>
      <c r="Z288" s="55" t="n">
        <v>5</v>
      </c>
      <c r="AA288" s="52" t="inlineStr">
        <is>
          <t>Under Construction</t>
        </is>
      </c>
      <c r="AB288" s="52" t="inlineStr">
        <is>
          <t>Completed on August 2026</t>
        </is>
      </c>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67" t="n"/>
      <c r="AJ288" s="67" t="n"/>
      <c r="AK288" s="67" t="n"/>
      <c r="AL288" s="67" t="n"/>
      <c r="AM288" s="67" t="n"/>
      <c r="AN288" s="67" t="n"/>
      <c r="AO288" s="67" t="n"/>
      <c r="AP288" s="67" t="n"/>
      <c r="AQ288" s="67" t="n">
        <v>46197</v>
      </c>
      <c r="AR288" s="67" t="n">
        <v>46197</v>
      </c>
      <c r="AS288" s="67"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outlineLevel="1" ht="18" customHeight="1">
      <c r="A289" s="42" t="inlineStr">
        <is>
          <t>IF(F289="","",ROW()-3)</t>
        </is>
      </c>
      <c r="B289" s="63" t="inlineStr">
        <is>
          <t>AF2-WSM-11</t>
        </is>
      </c>
      <c r="C289" s="63" t="inlineStr">
        <is>
          <t>Package #11-AF2 WSM: Construction of 3 Check dams 1.Wolangak in Shikh Ali, 2.Sanzalai, and 3.Sharkai Olia in Koh-e-Safi district of Parwan province.</t>
        </is>
      </c>
      <c r="D289" s="63" t="inlineStr">
        <is>
          <t>3 of 3</t>
        </is>
      </c>
      <c r="E289" s="44" t="inlineStr">
        <is>
          <t>AF2-WSM-A-029</t>
        </is>
      </c>
      <c r="F289" s="44" t="inlineStr">
        <is>
          <t>Wolangak Check dams</t>
        </is>
      </c>
      <c r="G289" s="44" t="inlineStr">
        <is>
          <t>Watershed Management</t>
        </is>
      </c>
      <c r="H289" s="44" t="inlineStr">
        <is>
          <t>Check Dam</t>
        </is>
      </c>
      <c r="I289" s="44" t="inlineStr">
        <is>
          <t>Emergency Food Security Project (EFSP) – WBK/AF-2</t>
        </is>
      </c>
      <c r="J289" s="44" t="inlineStr">
        <is>
          <t>Central / Kabul</t>
        </is>
      </c>
      <c r="K289" s="44" t="inlineStr">
        <is>
          <t>Parwan</t>
        </is>
      </c>
      <c r="L289" s="44" t="inlineStr">
        <is>
          <t>Shikh Ali</t>
        </is>
      </c>
      <c r="M289" s="44" t="inlineStr">
        <is>
          <t>Wolangak</t>
        </is>
      </c>
      <c r="N289" s="44" t="inlineStr">
        <is>
          <t>World Bank (WBK/AF-2)</t>
        </is>
      </c>
      <c r="O289" s="44" t="inlineStr">
        <is>
          <t>Awarded</t>
        </is>
      </c>
      <c r="P289" s="44" t="inlineStr">
        <is>
          <t>3.WSM awarded contracts</t>
        </is>
      </c>
      <c r="Q289" s="44" t="inlineStr">
        <is>
          <t>Hemat Ghorzang Construction &amp; Logistic Service Company (HGCC)</t>
        </is>
      </c>
      <c r="R289" s="44" t="inlineStr">
        <is>
          <t>043/2026</t>
        </is>
      </c>
      <c r="S289" s="45" t="n">
        <v>77145</v>
      </c>
      <c r="T289" s="46" t="inlineStr">
        <is>
          <t>IF(AQ289="","",AQ289)</t>
        </is>
      </c>
      <c r="U289" s="47" t="n"/>
      <c r="V289" s="48" t="n">
        <v>5</v>
      </c>
      <c r="W289" s="47" t="n">
        <v>46349</v>
      </c>
      <c r="X289" s="46" t="inlineStr">
        <is>
          <t>IF(W289&lt;&gt;"",W289,IF(OR(T289="",V289=""),"",EDATE(T289,V289)))</t>
        </is>
      </c>
      <c r="Y289" s="47" t="n"/>
      <c r="Z289" s="48" t="n">
        <v>0</v>
      </c>
      <c r="AA289" s="44" t="inlineStr">
        <is>
          <t>Awarded</t>
        </is>
      </c>
      <c r="AB289" s="44" t="inlineStr">
        <is>
          <t>Completed on August 2026</t>
        </is>
      </c>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67" t="n"/>
      <c r="AJ289" s="67" t="n"/>
      <c r="AK289" s="67" t="n"/>
      <c r="AL289" s="67" t="n"/>
      <c r="AM289" s="67" t="n"/>
      <c r="AN289" s="67" t="n"/>
      <c r="AO289" s="67" t="n"/>
      <c r="AP289" s="67" t="n"/>
      <c r="AQ289" s="67" t="n">
        <v>46197</v>
      </c>
      <c r="AR289" s="67" t="n"/>
      <c r="AS289" s="6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32" t="inlineStr">
        <is>
          <t>IF(F290="","",ROW()-3)</t>
        </is>
      </c>
      <c r="B290" s="64" t="inlineStr">
        <is>
          <t>AF2-WSM-12</t>
        </is>
      </c>
      <c r="C290" s="64" t="inlineStr">
        <is>
          <t>Package #12-AF2 WSM: Construction of 4 Check dams 1. Qoli Ghafoor, 2. Dara-e-Qala-e-Qazi in PD#13 Kabul city, 3.Gul Mohammad and 4.Qala-e-Shah Mahmood in Deh Sabz district of Kabul province.</t>
        </is>
      </c>
      <c r="D290" s="64" t="inlineStr">
        <is>
          <t>1 of 2</t>
        </is>
      </c>
      <c r="E290" s="34" t="inlineStr">
        <is>
          <t>AF2-WSM-N-003</t>
        </is>
      </c>
      <c r="F290" s="34" t="inlineStr">
        <is>
          <t>Gul Mohammad, Qalai e Shah mohammad Check dams</t>
        </is>
      </c>
      <c r="G290" s="34" t="inlineStr">
        <is>
          <t>Watershed Management</t>
        </is>
      </c>
      <c r="H290" s="34" t="inlineStr">
        <is>
          <t>Check Dam</t>
        </is>
      </c>
      <c r="I290" s="34" t="inlineStr">
        <is>
          <t>Emergency Food Security Project (EFSP) – WBK/AF-2</t>
        </is>
      </c>
      <c r="J290" s="34" t="inlineStr">
        <is>
          <t>Central / Kabul</t>
        </is>
      </c>
      <c r="K290" s="34" t="inlineStr">
        <is>
          <t>Kabul</t>
        </is>
      </c>
      <c r="L290" s="34" t="inlineStr">
        <is>
          <t>Deh Sabz</t>
        </is>
      </c>
      <c r="M290" s="34" t="inlineStr">
        <is>
          <t>Gul Mohammad, Qalai e Shah mohammad</t>
        </is>
      </c>
      <c r="N290" s="34" t="inlineStr">
        <is>
          <t>World Bank (WBK/AF-2)</t>
        </is>
      </c>
      <c r="O290" s="34" t="inlineStr">
        <is>
          <t>Not awarded</t>
        </is>
      </c>
      <c r="P290" s="34" t="inlineStr">
        <is>
          <t>4.WSM remaining contracts</t>
        </is>
      </c>
      <c r="Q290" s="34" t="inlineStr"/>
      <c r="R290" s="34" t="inlineStr"/>
      <c r="S290" s="35" t="n">
        <v>197430</v>
      </c>
      <c r="T290" s="36" t="inlineStr">
        <is>
          <t>IF(AQ290="","",AQ290)</t>
        </is>
      </c>
      <c r="U290" s="37" t="n">
        <v>46371</v>
      </c>
      <c r="V290" s="38" t="n">
        <v>8.9</v>
      </c>
      <c r="W290" s="37" t="n">
        <v>46641</v>
      </c>
      <c r="X290" s="36" t="inlineStr">
        <is>
          <t>IF(W290&lt;&gt;"",W290,IF(OR(T290="",V290=""),"",EDATE(T290,V290)))</t>
        </is>
      </c>
      <c r="Y290" s="37" t="n"/>
      <c r="Z290" s="38" t="n"/>
      <c r="AA290" s="34" t="inlineStr">
        <is>
          <t>PR to be Raised</t>
        </is>
      </c>
      <c r="AB290" s="34" t="inlineStr">
        <is>
          <t>Construction of the check dam will be completed in seven months. Additional three months have been kept as slack period during Jan-March.</t>
        </is>
      </c>
      <c r="AC290" s="32" t="inlineStr">
        <is>
          <t>IF(F290="","",IF(COUNT(AI290:AV290)=0,IF(AA290="","Not started",AA290),SUBSTITUTE(LOOKUP(2,1/(AI290:AV290&lt;&gt;""),$AI$3:$AV$3),"Date: ","")))</t>
        </is>
      </c>
      <c r="AD290" s="39" t="inlineStr">
        <is>
          <t>IF(OR(F290="",COUNT(AI290:AV290)=0),"",TODAY()-LOOKUP(2,1/(AI290:AV290&lt;&gt;""),AI290:AV290))</t>
        </is>
      </c>
      <c r="AE290" s="39" t="inlineStr">
        <is>
          <t>IF(OR(F290="",COUNT(AI290:AV290)&lt;2),"",LOOKUP(2,1/(AI290:AV290&lt;&gt;""),AI290:AV290)-MIN(AI290:AV290))</t>
        </is>
      </c>
      <c r="AF290" s="39" t="inlineStr">
        <is>
          <t>IF(OR(AD290="",AC290="Not started",AC290=""),"",IFERROR(AD290-IF(VLOOKUP(AC290,'06_Status_Pipeline'!$B$3:$E$20,4,FALSE)="",0,VLOOKUP(AC290,'06_Status_Pipeline'!$B$3:$E$20,4,FALSE)),""))</t>
        </is>
      </c>
      <c r="AG290" s="3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39" t="inlineStr">
        <is>
          <t>IF(OR(F290="",AC290="Completed / Handover",AC290="Cancelled"),"",IF(O290="Not awarded",IF(U290&lt;&gt;"",U290-TODAY(),IF(X290="","",X290-TODAY())),IF(X290="","",X290-TODAY())))</t>
        </is>
      </c>
      <c r="AI290" s="37" t="n"/>
      <c r="AJ290" s="37" t="n"/>
      <c r="AK290" s="37" t="n"/>
      <c r="AL290" s="37" t="n"/>
      <c r="AM290" s="37" t="n"/>
      <c r="AN290" s="37" t="n"/>
      <c r="AO290" s="37" t="n"/>
      <c r="AP290" s="37" t="n"/>
      <c r="AQ290" s="37" t="n"/>
      <c r="AR290" s="37" t="n"/>
      <c r="AS290" s="37" t="n"/>
      <c r="AT290" s="40" t="n"/>
      <c r="AU290" s="40" t="n"/>
      <c r="AV290" s="40" t="n"/>
      <c r="AW290" s="39" t="inlineStr">
        <is>
          <t>IF(OR(F290="",AJ290=""),"",IF(COUNT(AI290:AI290)=0,"",AJ290-LOOKUP(2,1/(AI290:AI290&lt;&gt;""),AI290:AI290)))</t>
        </is>
      </c>
      <c r="AX290" s="39" t="inlineStr">
        <is>
          <t>IF(OR(F290="",AK290=""),"",IF(COUNT(AI290:AJ290)=0,"",AK290-LOOKUP(2,1/(AI290:AJ290&lt;&gt;""),AI290:AJ290)))</t>
        </is>
      </c>
      <c r="AY290" s="39" t="inlineStr">
        <is>
          <t>IF(OR(F290="",AL290=""),"",IF(COUNT(AI290:AK290)=0,"",AL290-LOOKUP(2,1/(AI290:AK290&lt;&gt;""),AI290:AK290)))</t>
        </is>
      </c>
      <c r="AZ290" s="39" t="inlineStr">
        <is>
          <t>IF(OR(F290="",AM290=""),"",IF(COUNT(AI290:AL290)=0,"",AM290-LOOKUP(2,1/(AI290:AL290&lt;&gt;""),AI290:AL290)))</t>
        </is>
      </c>
      <c r="BA290" s="39" t="inlineStr">
        <is>
          <t>IF(OR(F290="",AN290=""),"",IF(COUNT(AI290:AM290)=0,"",AN290-LOOKUP(2,1/(AI290:AM290&lt;&gt;""),AI290:AM290)))</t>
        </is>
      </c>
      <c r="BB290" s="39" t="inlineStr">
        <is>
          <t>IF(OR(F290="",AO290=""),"",IF(COUNT(AI290:AN290)=0,"",AO290-LOOKUP(2,1/(AI290:AN290&lt;&gt;""),AI290:AN290)))</t>
        </is>
      </c>
      <c r="BC290" s="39" t="inlineStr">
        <is>
          <t>IF(OR(F290="",AP290=""),"",IF(COUNT(AI290:AO290)=0,"",AP290-LOOKUP(2,1/(AI290:AO290&lt;&gt;""),AI290:AO290)))</t>
        </is>
      </c>
      <c r="BD290" s="39" t="inlineStr">
        <is>
          <t>IF(OR(F290="",AQ290=""),"",IF(COUNT(AI290:AP290)=0,"",AQ290-LOOKUP(2,1/(AI290:AP290&lt;&gt;""),AI290:AP290)))</t>
        </is>
      </c>
      <c r="BE290" s="39" t="inlineStr">
        <is>
          <t>IF(OR(F290="",AR290=""),"",IF(COUNT(AI290:AQ290)=0,"",AR290-LOOKUP(2,1/(AI290:AQ290&lt;&gt;""),AI290:AQ290)))</t>
        </is>
      </c>
      <c r="BF290" s="39" t="inlineStr">
        <is>
          <t>IF(OR(F290="",AS290=""),"",IF(COUNT(AI290:AR290)=0,"",AS290-LOOKUP(2,1/(AI290:AR290&lt;&gt;""),AI290:AR290)))</t>
        </is>
      </c>
      <c r="BG290" s="39" t="inlineStr">
        <is>
          <t>IF(OR(F290="",AT290=""),"",IF(COUNT(AI290:AS290)=0,"",AT290-LOOKUP(2,1/(AI290:AS290&lt;&gt;""),AI290:AS290)))</t>
        </is>
      </c>
      <c r="BH290" s="39" t="inlineStr">
        <is>
          <t>IF(OR(F290="",AU290=""),"",IF(COUNT(AI290:AT290)=0,"",AU290-LOOKUP(2,1/(AI290:AT290&lt;&gt;""),AI290:AT290)))</t>
        </is>
      </c>
      <c r="BI290" s="39" t="inlineStr">
        <is>
          <t>IF(OR(F290="",AV290=""),"",IF(COUNT(AI290:AU290)=0,"",AV290-LOOKUP(2,1/(AI290:AU290&lt;&gt;""),AI290:AU290)))</t>
        </is>
      </c>
      <c r="BJ290" s="41" t="inlineStr">
        <is>
          <t>IF(J290="","All_Provinces",IFERROR(VLOOKUP(J290,'09_Lookups'!$A$4:$B$20,2,FALSE),"All_Provinces"))</t>
        </is>
      </c>
      <c r="BK290" s="41" t="inlineStr">
        <is>
          <t>IF(K290="","All_Districts",IFERROR(VLOOKUP(K290,'09_Lookups'!$E$4:$F$42,2,FALSE),"All_Districts"))</t>
        </is>
      </c>
    </row>
    <row r="291" outlineLevel="1" ht="18" customHeight="1">
      <c r="A291" s="42" t="inlineStr">
        <is>
          <t>IF(F291="","",ROW()-3)</t>
        </is>
      </c>
      <c r="B291" s="65" t="inlineStr">
        <is>
          <t>AF2-WSM-12</t>
        </is>
      </c>
      <c r="C291" s="65" t="inlineStr">
        <is>
          <t>Package #12-AF2 WSM: Construction of 4 Check dams 1. Qoli Ghafoor, 2. Dara-e-Qala-e-Qazi in PD#13 Kabul city, 3.Gul Mohammad and 4.Qala-e-Shah Mahmood in Deh Sabz district of Kabul province.</t>
        </is>
      </c>
      <c r="D291" s="65" t="inlineStr">
        <is>
          <t>2 of 2</t>
        </is>
      </c>
      <c r="E291" s="44" t="inlineStr">
        <is>
          <t>AF2-WSM-N-004</t>
        </is>
      </c>
      <c r="F291" s="44" t="inlineStr">
        <is>
          <t>Qoli Ghafoor, Dara-e-Qala-e-Qazi Check dams</t>
        </is>
      </c>
      <c r="G291" s="44" t="inlineStr">
        <is>
          <t>Watershed Management</t>
        </is>
      </c>
      <c r="H291" s="44" t="inlineStr">
        <is>
          <t>Check Dam</t>
        </is>
      </c>
      <c r="I291" s="44" t="inlineStr">
        <is>
          <t>Emergency Food Security Project (EFSP) – WBK/AF-2</t>
        </is>
      </c>
      <c r="J291" s="44" t="inlineStr">
        <is>
          <t>Central / Kabul</t>
        </is>
      </c>
      <c r="K291" s="44" t="inlineStr">
        <is>
          <t>Kabul</t>
        </is>
      </c>
      <c r="L291" s="44" t="inlineStr">
        <is>
          <t>PD#13 Kabul</t>
        </is>
      </c>
      <c r="M291" s="44" t="inlineStr">
        <is>
          <t>Qoli Ghafoor, Dara-e-Qala-e-Qazi</t>
        </is>
      </c>
      <c r="N291" s="44" t="inlineStr">
        <is>
          <t>World Bank (WBK/AF-2)</t>
        </is>
      </c>
      <c r="O291" s="44" t="inlineStr">
        <is>
          <t>Not awarded</t>
        </is>
      </c>
      <c r="P291" s="44" t="inlineStr">
        <is>
          <t>4.WSM remaining contracts</t>
        </is>
      </c>
      <c r="Q291" s="44" t="inlineStr"/>
      <c r="R291" s="44" t="inlineStr"/>
      <c r="S291" s="45" t="n">
        <v>197430</v>
      </c>
      <c r="T291" s="46" t="inlineStr">
        <is>
          <t>IF(AQ291="","",AQ291)</t>
        </is>
      </c>
      <c r="U291" s="47" t="n">
        <v>46371</v>
      </c>
      <c r="V291" s="48" t="n">
        <v>8.9</v>
      </c>
      <c r="W291" s="47" t="n">
        <v>46641</v>
      </c>
      <c r="X291" s="46" t="inlineStr">
        <is>
          <t>IF(W291&lt;&gt;"",W291,IF(OR(T291="",V291=""),"",EDATE(T291,V291)))</t>
        </is>
      </c>
      <c r="Y291" s="47" t="n"/>
      <c r="Z291" s="48" t="n"/>
      <c r="AA291" s="44" t="inlineStr">
        <is>
          <t>PR to be Raised</t>
        </is>
      </c>
      <c r="AB291" s="44" t="inlineStr">
        <is>
          <t>Construction of the check dam will be completed in seven months. Additional three months have been kept as slack period during Jan-March.</t>
        </is>
      </c>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32" t="inlineStr">
        <is>
          <t>IF(F292="","",ROW()-3)</t>
        </is>
      </c>
      <c r="B292" s="33" t="inlineStr">
        <is>
          <t>AF2-WSM-13</t>
        </is>
      </c>
      <c r="C292" s="33" t="inlineStr">
        <is>
          <t>Package #13-AF2 WSM: Construction of 4 Check Dams in 4 district sites of 1.Kata Khana in Yakawlang , 2. Nawora in Panjab, 3.Nahorak in Waras, and 4.Bayani in Sayghan districts of Bamyan province</t>
        </is>
      </c>
      <c r="D292" s="33" t="inlineStr">
        <is>
          <t>1 of 4</t>
        </is>
      </c>
      <c r="E292" s="34" t="inlineStr">
        <is>
          <t>AF2-WSM-A-030</t>
        </is>
      </c>
      <c r="F292" s="34" t="inlineStr">
        <is>
          <t>1.Kata Khana Check dam</t>
        </is>
      </c>
      <c r="G292" s="34" t="inlineStr">
        <is>
          <t>Watershed Management</t>
        </is>
      </c>
      <c r="H292" s="34" t="inlineStr">
        <is>
          <t>Check Dam</t>
        </is>
      </c>
      <c r="I292" s="34" t="inlineStr">
        <is>
          <t>Emergency Food Security Project (EFSP) – WBK/AF-2</t>
        </is>
      </c>
      <c r="J292" s="34" t="inlineStr">
        <is>
          <t>Central Highland / Bamyan</t>
        </is>
      </c>
      <c r="K292" s="34" t="inlineStr">
        <is>
          <t>Bamyan</t>
        </is>
      </c>
      <c r="L292" s="34" t="inlineStr">
        <is>
          <t>Yakawalang</t>
        </is>
      </c>
      <c r="M292" s="34" t="inlineStr">
        <is>
          <t>Kata Khana, Check dam</t>
        </is>
      </c>
      <c r="N292" s="34" t="inlineStr">
        <is>
          <t>World Bank (WBK/AF-2)</t>
        </is>
      </c>
      <c r="O292" s="34" t="inlineStr">
        <is>
          <t>Awarded</t>
        </is>
      </c>
      <c r="P292" s="34" t="inlineStr">
        <is>
          <t>3.WSM awarded contracts</t>
        </is>
      </c>
      <c r="Q292" s="34" t="inlineStr">
        <is>
          <t>Estehkam Baba Construction and Road Construction Company (EBCC)</t>
        </is>
      </c>
      <c r="R292" s="34" t="inlineStr">
        <is>
          <t>051/2026</t>
        </is>
      </c>
      <c r="S292" s="35" t="n">
        <v>66705.50999999999</v>
      </c>
      <c r="T292" s="36" t="inlineStr">
        <is>
          <t>IF(AQ292="","",AQ292)</t>
        </is>
      </c>
      <c r="U292" s="37" t="n"/>
      <c r="V292" s="38" t="n">
        <v>7</v>
      </c>
      <c r="W292" s="37" t="n">
        <v>46439</v>
      </c>
      <c r="X292" s="36" t="inlineStr">
        <is>
          <t>IF(W292&lt;&gt;"",W292,IF(OR(T292="",V292=""),"",EDATE(T292,V292)))</t>
        </is>
      </c>
      <c r="Y292" s="37" t="n"/>
      <c r="Z292" s="38" t="n">
        <v>35</v>
      </c>
      <c r="AA292" s="34" t="inlineStr">
        <is>
          <t>Under Construction</t>
        </is>
      </c>
      <c r="AB292" s="34" t="inlineStr">
        <is>
          <t>Completed on August 2026</t>
        </is>
      </c>
      <c r="AC292" s="32" t="inlineStr">
        <is>
          <t>IF(F292="","",IF(COUNT(AI292:AV292)=0,IF(AA292="","Not started",AA292),SUBSTITUTE(LOOKUP(2,1/(AI292:AV292&lt;&gt;""),$AI$3:$AV$3),"Date: ","")))</t>
        </is>
      </c>
      <c r="AD292" s="39" t="inlineStr">
        <is>
          <t>IF(OR(F292="",COUNT(AI292:AV292)=0),"",TODAY()-LOOKUP(2,1/(AI292:AV292&lt;&gt;""),AI292:AV292))</t>
        </is>
      </c>
      <c r="AE292" s="39" t="inlineStr">
        <is>
          <t>IF(OR(F292="",COUNT(AI292:AV292)&lt;2),"",LOOKUP(2,1/(AI292:AV292&lt;&gt;""),AI292:AV292)-MIN(AI292:AV292))</t>
        </is>
      </c>
      <c r="AF292" s="39" t="inlineStr">
        <is>
          <t>IF(OR(AD292="",AC292="Not started",AC292=""),"",IFERROR(AD292-IF(VLOOKUP(AC292,'06_Status_Pipeline'!$B$3:$E$20,4,FALSE)="",0,VLOOKUP(AC292,'06_Status_Pipeline'!$B$3:$E$20,4,FALSE)),""))</t>
        </is>
      </c>
      <c r="AG292" s="3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39" t="inlineStr">
        <is>
          <t>IF(OR(F292="",AC292="Completed / Handover",AC292="Cancelled"),"",IF(O292="Not awarded",IF(U292&lt;&gt;"",U292-TODAY(),IF(X292="","",X292-TODAY())),IF(X292="","",X292-TODAY())))</t>
        </is>
      </c>
      <c r="AI292" s="66" t="n"/>
      <c r="AJ292" s="66" t="n"/>
      <c r="AK292" s="66" t="n"/>
      <c r="AL292" s="66" t="n"/>
      <c r="AM292" s="66" t="n"/>
      <c r="AN292" s="66" t="n"/>
      <c r="AO292" s="66" t="n"/>
      <c r="AP292" s="66" t="n"/>
      <c r="AQ292" s="66" t="n">
        <v>46225</v>
      </c>
      <c r="AR292" s="66" t="n">
        <v>46225</v>
      </c>
      <c r="AS292" s="66" t="n"/>
      <c r="AT292" s="40" t="n"/>
      <c r="AU292" s="40" t="n"/>
      <c r="AV292" s="40" t="n"/>
      <c r="AW292" s="39" t="inlineStr">
        <is>
          <t>IF(OR(F292="",AJ292=""),"",IF(COUNT(AI292:AI292)=0,"",AJ292-LOOKUP(2,1/(AI292:AI292&lt;&gt;""),AI292:AI292)))</t>
        </is>
      </c>
      <c r="AX292" s="39" t="inlineStr">
        <is>
          <t>IF(OR(F292="",AK292=""),"",IF(COUNT(AI292:AJ292)=0,"",AK292-LOOKUP(2,1/(AI292:AJ292&lt;&gt;""),AI292:AJ292)))</t>
        </is>
      </c>
      <c r="AY292" s="39" t="inlineStr">
        <is>
          <t>IF(OR(F292="",AL292=""),"",IF(COUNT(AI292:AK292)=0,"",AL292-LOOKUP(2,1/(AI292:AK292&lt;&gt;""),AI292:AK292)))</t>
        </is>
      </c>
      <c r="AZ292" s="39" t="inlineStr">
        <is>
          <t>IF(OR(F292="",AM292=""),"",IF(COUNT(AI292:AL292)=0,"",AM292-LOOKUP(2,1/(AI292:AL292&lt;&gt;""),AI292:AL292)))</t>
        </is>
      </c>
      <c r="BA292" s="39" t="inlineStr">
        <is>
          <t>IF(OR(F292="",AN292=""),"",IF(COUNT(AI292:AM292)=0,"",AN292-LOOKUP(2,1/(AI292:AM292&lt;&gt;""),AI292:AM292)))</t>
        </is>
      </c>
      <c r="BB292" s="39" t="inlineStr">
        <is>
          <t>IF(OR(F292="",AO292=""),"",IF(COUNT(AI292:AN292)=0,"",AO292-LOOKUP(2,1/(AI292:AN292&lt;&gt;""),AI292:AN292)))</t>
        </is>
      </c>
      <c r="BC292" s="39" t="inlineStr">
        <is>
          <t>IF(OR(F292="",AP292=""),"",IF(COUNT(AI292:AO292)=0,"",AP292-LOOKUP(2,1/(AI292:AO292&lt;&gt;""),AI292:AO292)))</t>
        </is>
      </c>
      <c r="BD292" s="39" t="inlineStr">
        <is>
          <t>IF(OR(F292="",AQ292=""),"",IF(COUNT(AI292:AP292)=0,"",AQ292-LOOKUP(2,1/(AI292:AP292&lt;&gt;""),AI292:AP292)))</t>
        </is>
      </c>
      <c r="BE292" s="39" t="inlineStr">
        <is>
          <t>IF(OR(F292="",AR292=""),"",IF(COUNT(AI292:AQ292)=0,"",AR292-LOOKUP(2,1/(AI292:AQ292&lt;&gt;""),AI292:AQ292)))</t>
        </is>
      </c>
      <c r="BF292" s="39" t="inlineStr">
        <is>
          <t>IF(OR(F292="",AS292=""),"",IF(COUNT(AI292:AR292)=0,"",AS292-LOOKUP(2,1/(AI292:AR292&lt;&gt;""),AI292:AR292)))</t>
        </is>
      </c>
      <c r="BG292" s="39" t="inlineStr">
        <is>
          <t>IF(OR(F292="",AT292=""),"",IF(COUNT(AI292:AS292)=0,"",AT292-LOOKUP(2,1/(AI292:AS292&lt;&gt;""),AI292:AS292)))</t>
        </is>
      </c>
      <c r="BH292" s="39" t="inlineStr">
        <is>
          <t>IF(OR(F292="",AU292=""),"",IF(COUNT(AI292:AT292)=0,"",AU292-LOOKUP(2,1/(AI292:AT292&lt;&gt;""),AI292:AT292)))</t>
        </is>
      </c>
      <c r="BI292" s="39" t="inlineStr">
        <is>
          <t>IF(OR(F292="",AV292=""),"",IF(COUNT(AI292:AU292)=0,"",AV292-LOOKUP(2,1/(AI292:AU292&lt;&gt;""),AI292:AU292)))</t>
        </is>
      </c>
      <c r="BJ292" s="41" t="inlineStr">
        <is>
          <t>IF(J292="","All_Provinces",IFERROR(VLOOKUP(J292,'09_Lookups'!$A$4:$B$20,2,FALSE),"All_Provinces"))</t>
        </is>
      </c>
      <c r="BK292" s="41" t="inlineStr">
        <is>
          <t>IF(K292="","All_Districts",IFERROR(VLOOKUP(K292,'09_Lookups'!$E$4:$F$42,2,FALSE),"All_Districts"))</t>
        </is>
      </c>
    </row>
    <row r="293" outlineLevel="1" ht="18" customHeight="1">
      <c r="A293" s="42" t="inlineStr">
        <is>
          <t>IF(F293="","",ROW()-3)</t>
        </is>
      </c>
      <c r="B293" s="43" t="inlineStr">
        <is>
          <t>AF2-WSM-13</t>
        </is>
      </c>
      <c r="C293" s="43" t="inlineStr">
        <is>
          <t>Package #13-AF2 WSM: Construction of 4 Check Dams in 4 district sites of 1.Kata Khana in Yakawlang , 2. Nawora in Panjab, 3.Nahorak in Waras, and 4.Bayani in Sayghan districts of Bamyan province</t>
        </is>
      </c>
      <c r="D293" s="43" t="inlineStr">
        <is>
          <t>2 of 4</t>
        </is>
      </c>
      <c r="E293" s="44" t="inlineStr">
        <is>
          <t>AF2-WSM-A-031</t>
        </is>
      </c>
      <c r="F293" s="44" t="inlineStr">
        <is>
          <t>2.Nawora Check dam</t>
        </is>
      </c>
      <c r="G293" s="44" t="inlineStr">
        <is>
          <t>Watershed Management</t>
        </is>
      </c>
      <c r="H293" s="44" t="inlineStr">
        <is>
          <t>Check Dam</t>
        </is>
      </c>
      <c r="I293" s="44" t="inlineStr">
        <is>
          <t>Emergency Food Security Project (EFSP) – WBK/AF-2</t>
        </is>
      </c>
      <c r="J293" s="44" t="inlineStr">
        <is>
          <t>Central Highland / Bamyan</t>
        </is>
      </c>
      <c r="K293" s="44" t="inlineStr">
        <is>
          <t>Bamyan</t>
        </is>
      </c>
      <c r="L293" s="44" t="inlineStr">
        <is>
          <t>Panjab</t>
        </is>
      </c>
      <c r="M293" s="44" t="inlineStr">
        <is>
          <t>Nawora</t>
        </is>
      </c>
      <c r="N293" s="44" t="inlineStr">
        <is>
          <t>World Bank (WBK/AF-2)</t>
        </is>
      </c>
      <c r="O293" s="44" t="inlineStr">
        <is>
          <t>Awarded</t>
        </is>
      </c>
      <c r="P293" s="44" t="inlineStr">
        <is>
          <t>3.WSM awarded contracts</t>
        </is>
      </c>
      <c r="Q293" s="44" t="inlineStr">
        <is>
          <t>Estehkam Baba Construction and Road Construction Company (EBCC)</t>
        </is>
      </c>
      <c r="R293" s="44" t="inlineStr">
        <is>
          <t>051/2026</t>
        </is>
      </c>
      <c r="S293" s="45" t="n">
        <v>52796.76</v>
      </c>
      <c r="T293" s="46" t="inlineStr">
        <is>
          <t>IF(AQ293="","",AQ293)</t>
        </is>
      </c>
      <c r="U293" s="47" t="n"/>
      <c r="V293" s="48" t="n">
        <v>7</v>
      </c>
      <c r="W293" s="47" t="n">
        <v>46439</v>
      </c>
      <c r="X293" s="46" t="inlineStr">
        <is>
          <t>IF(W293&lt;&gt;"",W293,IF(OR(T293="",V293=""),"",EDATE(T293,V293)))</t>
        </is>
      </c>
      <c r="Y293" s="47" t="n"/>
      <c r="Z293" s="48" t="n">
        <v>45</v>
      </c>
      <c r="AA293" s="44" t="inlineStr">
        <is>
          <t>Under Construction</t>
        </is>
      </c>
      <c r="AB293" s="44" t="inlineStr">
        <is>
          <t>Completed on August 2026</t>
        </is>
      </c>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67" t="n"/>
      <c r="AJ293" s="67" t="n"/>
      <c r="AK293" s="67" t="n"/>
      <c r="AL293" s="67" t="n"/>
      <c r="AM293" s="67" t="n"/>
      <c r="AN293" s="67" t="n"/>
      <c r="AO293" s="67" t="n"/>
      <c r="AP293" s="67" t="n"/>
      <c r="AQ293" s="67" t="n">
        <v>46225</v>
      </c>
      <c r="AR293" s="67" t="n">
        <v>46225</v>
      </c>
      <c r="AS293" s="6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outlineLevel="1" ht="18" customHeight="1">
      <c r="A294" s="42" t="inlineStr">
        <is>
          <t>IF(F294="","",ROW()-3)</t>
        </is>
      </c>
      <c r="B294" s="43" t="inlineStr">
        <is>
          <t>AF2-WSM-13</t>
        </is>
      </c>
      <c r="C294" s="43" t="inlineStr">
        <is>
          <t>Package #13-AF2 WSM: Construction of 4 Check Dams in 4 district sites of 1.Kata Khana in Yakawlang , 2. Nawora in Panjab, 3.Nahorak in Waras, and 4.Bayani in Sayghan districts of Bamyan province</t>
        </is>
      </c>
      <c r="D294" s="43" t="inlineStr">
        <is>
          <t>3 of 4</t>
        </is>
      </c>
      <c r="E294" s="52" t="inlineStr">
        <is>
          <t>AF2-WSM-A-032</t>
        </is>
      </c>
      <c r="F294" s="52" t="inlineStr">
        <is>
          <t>3.Nahorak Check dam</t>
        </is>
      </c>
      <c r="G294" s="52" t="inlineStr">
        <is>
          <t>Watershed Management</t>
        </is>
      </c>
      <c r="H294" s="52" t="inlineStr">
        <is>
          <t>Check Dam</t>
        </is>
      </c>
      <c r="I294" s="52" t="inlineStr">
        <is>
          <t>Emergency Food Security Project (EFSP) – WBK/AF-2</t>
        </is>
      </c>
      <c r="J294" s="52" t="inlineStr">
        <is>
          <t>Central Highland / Bamyan</t>
        </is>
      </c>
      <c r="K294" s="52" t="inlineStr">
        <is>
          <t>Bamyan</t>
        </is>
      </c>
      <c r="L294" s="52" t="inlineStr">
        <is>
          <t>Waras</t>
        </is>
      </c>
      <c r="M294" s="52" t="inlineStr">
        <is>
          <t>Nahorak</t>
        </is>
      </c>
      <c r="N294" s="52" t="inlineStr">
        <is>
          <t>World Bank (WBK/AF-2)</t>
        </is>
      </c>
      <c r="O294" s="52" t="inlineStr">
        <is>
          <t>Awarded</t>
        </is>
      </c>
      <c r="P294" s="52" t="inlineStr">
        <is>
          <t>3.WSM awarded contracts</t>
        </is>
      </c>
      <c r="Q294" s="52" t="inlineStr">
        <is>
          <t>Estehkam Baba Construction and Road Construction Company (EBCC)</t>
        </is>
      </c>
      <c r="R294" s="52" t="inlineStr">
        <is>
          <t>051/2026</t>
        </is>
      </c>
      <c r="S294" s="53" t="n">
        <v>54600.65</v>
      </c>
      <c r="T294" s="46" t="inlineStr">
        <is>
          <t>IF(AQ294="","",AQ294)</t>
        </is>
      </c>
      <c r="U294" s="54" t="n"/>
      <c r="V294" s="55" t="n">
        <v>7</v>
      </c>
      <c r="W294" s="54" t="n">
        <v>46439</v>
      </c>
      <c r="X294" s="46" t="inlineStr">
        <is>
          <t>IF(W294&lt;&gt;"",W294,IF(OR(T294="",V294=""),"",EDATE(T294,V294)))</t>
        </is>
      </c>
      <c r="Y294" s="54" t="n"/>
      <c r="Z294" s="55" t="n">
        <v>60</v>
      </c>
      <c r="AA294" s="52" t="inlineStr">
        <is>
          <t>Under Construction</t>
        </is>
      </c>
      <c r="AB294" s="52" t="inlineStr">
        <is>
          <t>Completed on August 2026</t>
        </is>
      </c>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67" t="n"/>
      <c r="AJ294" s="67" t="n"/>
      <c r="AK294" s="67" t="n"/>
      <c r="AL294" s="67" t="n"/>
      <c r="AM294" s="67" t="n"/>
      <c r="AN294" s="67" t="n"/>
      <c r="AO294" s="67" t="n"/>
      <c r="AP294" s="67" t="n"/>
      <c r="AQ294" s="67" t="n">
        <v>46225</v>
      </c>
      <c r="AR294" s="67" t="n">
        <v>46225</v>
      </c>
      <c r="AS294" s="67"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outlineLevel="1" ht="18" customHeight="1">
      <c r="A295" s="42" t="inlineStr">
        <is>
          <t>IF(F295="","",ROW()-3)</t>
        </is>
      </c>
      <c r="B295" s="43" t="inlineStr">
        <is>
          <t>AF2-WSM-13</t>
        </is>
      </c>
      <c r="C295" s="43" t="inlineStr">
        <is>
          <t>Package #13-AF2 WSM: Construction of 4 Check Dams in 4 district sites of 1.Kata Khana in Yakawlang , 2. Nawora in Panjab, 3.Nahorak in Waras, and 4.Bayani in Sayghan districts of Bamyan province</t>
        </is>
      </c>
      <c r="D295" s="43" t="inlineStr">
        <is>
          <t>4 of 4</t>
        </is>
      </c>
      <c r="E295" s="44" t="inlineStr">
        <is>
          <t>AF2-WSM-A-033</t>
        </is>
      </c>
      <c r="F295" s="44" t="inlineStr">
        <is>
          <t>4.Bayani Check dam</t>
        </is>
      </c>
      <c r="G295" s="44" t="inlineStr">
        <is>
          <t>Watershed Management</t>
        </is>
      </c>
      <c r="H295" s="44" t="inlineStr">
        <is>
          <t>Check Dam</t>
        </is>
      </c>
      <c r="I295" s="44" t="inlineStr">
        <is>
          <t>Emergency Food Security Project (EFSP) – WBK/AF-2</t>
        </is>
      </c>
      <c r="J295" s="44" t="inlineStr">
        <is>
          <t>Central Highland / Bamyan</t>
        </is>
      </c>
      <c r="K295" s="44" t="inlineStr">
        <is>
          <t>Bamyan</t>
        </is>
      </c>
      <c r="L295" s="44" t="inlineStr">
        <is>
          <t>Sayghan</t>
        </is>
      </c>
      <c r="M295" s="44" t="inlineStr">
        <is>
          <t>Bayani</t>
        </is>
      </c>
      <c r="N295" s="44" t="inlineStr">
        <is>
          <t>World Bank (WBK/AF-2)</t>
        </is>
      </c>
      <c r="O295" s="44" t="inlineStr">
        <is>
          <t>Awarded</t>
        </is>
      </c>
      <c r="P295" s="44" t="inlineStr">
        <is>
          <t>3.WSM awarded contracts</t>
        </is>
      </c>
      <c r="Q295" s="44" t="inlineStr">
        <is>
          <t>Estehkam Baba Construction and Road Construction Company (EBCC)</t>
        </is>
      </c>
      <c r="R295" s="44" t="inlineStr">
        <is>
          <t>051/2026</t>
        </is>
      </c>
      <c r="S295" s="45" t="n">
        <v>35843.07</v>
      </c>
      <c r="T295" s="46" t="inlineStr">
        <is>
          <t>IF(AQ295="","",AQ295)</t>
        </is>
      </c>
      <c r="U295" s="47" t="n"/>
      <c r="V295" s="48" t="n">
        <v>7</v>
      </c>
      <c r="W295" s="47" t="n">
        <v>46439</v>
      </c>
      <c r="X295" s="46" t="inlineStr">
        <is>
          <t>IF(W295&lt;&gt;"",W295,IF(OR(T295="",V295=""),"",EDATE(T295,V295)))</t>
        </is>
      </c>
      <c r="Y295" s="47" t="n"/>
      <c r="Z295" s="48" t="n">
        <v>50</v>
      </c>
      <c r="AA295" s="44" t="inlineStr">
        <is>
          <t>Under Construction</t>
        </is>
      </c>
      <c r="AB295" s="44" t="inlineStr">
        <is>
          <t>Completed on August 2026</t>
        </is>
      </c>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67" t="n"/>
      <c r="AJ295" s="67" t="n"/>
      <c r="AK295" s="67" t="n"/>
      <c r="AL295" s="67" t="n"/>
      <c r="AM295" s="67" t="n"/>
      <c r="AN295" s="67" t="n"/>
      <c r="AO295" s="67" t="n"/>
      <c r="AP295" s="67" t="n"/>
      <c r="AQ295" s="67" t="n">
        <v>46225</v>
      </c>
      <c r="AR295" s="67" t="n">
        <v>46225</v>
      </c>
      <c r="AS295" s="6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32" t="inlineStr">
        <is>
          <t>IF(F296="","",ROW()-3)</t>
        </is>
      </c>
      <c r="B296" s="56" t="inlineStr">
        <is>
          <t>AF2-WSM-14</t>
        </is>
      </c>
      <c r="C296" s="56" t="inlineStr">
        <is>
          <t>Package #14-AF2 WSM: Construction of 1.Shahristan Check dama in Shahristan district, 2.Miramor Check dam in Miramor district, and 3.Khidir Check dams in Khidir districts of Daykundi province.</t>
        </is>
      </c>
      <c r="D296" s="56" t="inlineStr">
        <is>
          <t>1 of 3</t>
        </is>
      </c>
      <c r="E296" s="34" t="inlineStr">
        <is>
          <t>AF2-WSM-A-034</t>
        </is>
      </c>
      <c r="F296" s="34" t="inlineStr">
        <is>
          <t>1. Shahristan Check dam</t>
        </is>
      </c>
      <c r="G296" s="34" t="inlineStr">
        <is>
          <t>Watershed Management</t>
        </is>
      </c>
      <c r="H296" s="34" t="inlineStr">
        <is>
          <t>Check Dam</t>
        </is>
      </c>
      <c r="I296" s="34" t="inlineStr">
        <is>
          <t>Emergency Food Security Project (EFSP) – WBK/AF-2</t>
        </is>
      </c>
      <c r="J296" s="34" t="inlineStr">
        <is>
          <t>Central Highland / Bamyan</t>
        </is>
      </c>
      <c r="K296" s="34" t="inlineStr">
        <is>
          <t>Daykundi</t>
        </is>
      </c>
      <c r="L296" s="34" t="inlineStr">
        <is>
          <t>Shahristan</t>
        </is>
      </c>
      <c r="M296" s="34" t="inlineStr">
        <is>
          <t>Dar Band, Dasht-e Safid, Madar, Lorange</t>
        </is>
      </c>
      <c r="N296" s="34" t="inlineStr">
        <is>
          <t>World Bank (WBK/AF-2)</t>
        </is>
      </c>
      <c r="O296" s="34" t="inlineStr">
        <is>
          <t>Awarded</t>
        </is>
      </c>
      <c r="P296" s="34" t="inlineStr">
        <is>
          <t>3.WSM awarded contracts</t>
        </is>
      </c>
      <c r="Q296" s="34" t="inlineStr">
        <is>
          <t>Da Maidan Zawahnono Construction Company (DMZCC)</t>
        </is>
      </c>
      <c r="R296" s="34" t="inlineStr">
        <is>
          <t>025/2026</t>
        </is>
      </c>
      <c r="S296" s="35" t="n">
        <v>52946.05</v>
      </c>
      <c r="T296" s="36" t="inlineStr">
        <is>
          <t>IF(AQ296="","",AQ296)</t>
        </is>
      </c>
      <c r="U296" s="37" t="n"/>
      <c r="V296" s="38" t="n">
        <v>7</v>
      </c>
      <c r="W296" s="37" t="n">
        <v>46325</v>
      </c>
      <c r="X296" s="36" t="inlineStr">
        <is>
          <t>IF(W296&lt;&gt;"",W296,IF(OR(T296="",V296=""),"",EDATE(T296,V296)))</t>
        </is>
      </c>
      <c r="Y296" s="37" t="n"/>
      <c r="Z296" s="38" t="n">
        <v>100</v>
      </c>
      <c r="AA296" s="34" t="inlineStr">
        <is>
          <t>Completed / Handover</t>
        </is>
      </c>
      <c r="AB296" s="34" t="inlineStr">
        <is>
          <t>Completed on Sep, 2026</t>
        </is>
      </c>
      <c r="AC296" s="32" t="inlineStr">
        <is>
          <t>IF(F296="","",IF(COUNT(AI296:AV296)=0,IF(AA296="","Not started",AA296),SUBSTITUTE(LOOKUP(2,1/(AI296:AV296&lt;&gt;""),$AI$3:$AV$3),"Date: ","")))</t>
        </is>
      </c>
      <c r="AD296" s="39" t="inlineStr">
        <is>
          <t>IF(OR(F296="",COUNT(AI296:AV296)=0),"",TODAY()-LOOKUP(2,1/(AI296:AV296&lt;&gt;""),AI296:AV296))</t>
        </is>
      </c>
      <c r="AE296" s="39" t="inlineStr">
        <is>
          <t>IF(OR(F296="",COUNT(AI296:AV296)&lt;2),"",LOOKUP(2,1/(AI296:AV296&lt;&gt;""),AI296:AV296)-MIN(AI296:AV296))</t>
        </is>
      </c>
      <c r="AF296" s="39" t="inlineStr">
        <is>
          <t>IF(OR(AD296="",AC296="Not started",AC296=""),"",IFERROR(AD296-IF(VLOOKUP(AC296,'06_Status_Pipeline'!$B$3:$E$20,4,FALSE)="",0,VLOOKUP(AC296,'06_Status_Pipeline'!$B$3:$E$20,4,FALSE)),""))</t>
        </is>
      </c>
      <c r="AG296" s="3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39" t="inlineStr">
        <is>
          <t>IF(OR(F296="",AC296="Completed / Handover",AC296="Cancelled"),"",IF(O296="Not awarded",IF(U296&lt;&gt;"",U296-TODAY(),IF(X296="","",X296-TODAY())),IF(X296="","",X296-TODAY())))</t>
        </is>
      </c>
      <c r="AI296" s="66" t="n"/>
      <c r="AJ296" s="66" t="n"/>
      <c r="AK296" s="66" t="n"/>
      <c r="AL296" s="66" t="n"/>
      <c r="AM296" s="66" t="n"/>
      <c r="AN296" s="66" t="n"/>
      <c r="AO296" s="66" t="n"/>
      <c r="AP296" s="66" t="n"/>
      <c r="AQ296" s="66" t="n">
        <v>46113</v>
      </c>
      <c r="AR296" s="66" t="n">
        <v>46113</v>
      </c>
      <c r="AS296" s="66" t="n">
        <v>46325</v>
      </c>
      <c r="AT296" s="40" t="n"/>
      <c r="AU296" s="40" t="n"/>
      <c r="AV296" s="40" t="n"/>
      <c r="AW296" s="39" t="inlineStr">
        <is>
          <t>IF(OR(F296="",AJ296=""),"",IF(COUNT(AI296:AI296)=0,"",AJ296-LOOKUP(2,1/(AI296:AI296&lt;&gt;""),AI296:AI296)))</t>
        </is>
      </c>
      <c r="AX296" s="39" t="inlineStr">
        <is>
          <t>IF(OR(F296="",AK296=""),"",IF(COUNT(AI296:AJ296)=0,"",AK296-LOOKUP(2,1/(AI296:AJ296&lt;&gt;""),AI296:AJ296)))</t>
        </is>
      </c>
      <c r="AY296" s="39" t="inlineStr">
        <is>
          <t>IF(OR(F296="",AL296=""),"",IF(COUNT(AI296:AK296)=0,"",AL296-LOOKUP(2,1/(AI296:AK296&lt;&gt;""),AI296:AK296)))</t>
        </is>
      </c>
      <c r="AZ296" s="39" t="inlineStr">
        <is>
          <t>IF(OR(F296="",AM296=""),"",IF(COUNT(AI296:AL296)=0,"",AM296-LOOKUP(2,1/(AI296:AL296&lt;&gt;""),AI296:AL296)))</t>
        </is>
      </c>
      <c r="BA296" s="39" t="inlineStr">
        <is>
          <t>IF(OR(F296="",AN296=""),"",IF(COUNT(AI296:AM296)=0,"",AN296-LOOKUP(2,1/(AI296:AM296&lt;&gt;""),AI296:AM296)))</t>
        </is>
      </c>
      <c r="BB296" s="39" t="inlineStr">
        <is>
          <t>IF(OR(F296="",AO296=""),"",IF(COUNT(AI296:AN296)=0,"",AO296-LOOKUP(2,1/(AI296:AN296&lt;&gt;""),AI296:AN296)))</t>
        </is>
      </c>
      <c r="BC296" s="39" t="inlineStr">
        <is>
          <t>IF(OR(F296="",AP296=""),"",IF(COUNT(AI296:AO296)=0,"",AP296-LOOKUP(2,1/(AI296:AO296&lt;&gt;""),AI296:AO296)))</t>
        </is>
      </c>
      <c r="BD296" s="39" t="inlineStr">
        <is>
          <t>IF(OR(F296="",AQ296=""),"",IF(COUNT(AI296:AP296)=0,"",AQ296-LOOKUP(2,1/(AI296:AP296&lt;&gt;""),AI296:AP296)))</t>
        </is>
      </c>
      <c r="BE296" s="39" t="inlineStr">
        <is>
          <t>IF(OR(F296="",AR296=""),"",IF(COUNT(AI296:AQ296)=0,"",AR296-LOOKUP(2,1/(AI296:AQ296&lt;&gt;""),AI296:AQ296)))</t>
        </is>
      </c>
      <c r="BF296" s="39" t="inlineStr">
        <is>
          <t>IF(OR(F296="",AS296=""),"",IF(COUNT(AI296:AR296)=0,"",AS296-LOOKUP(2,1/(AI296:AR296&lt;&gt;""),AI296:AR296)))</t>
        </is>
      </c>
      <c r="BG296" s="39" t="inlineStr">
        <is>
          <t>IF(OR(F296="",AT296=""),"",IF(COUNT(AI296:AS296)=0,"",AT296-LOOKUP(2,1/(AI296:AS296&lt;&gt;""),AI296:AS296)))</t>
        </is>
      </c>
      <c r="BH296" s="39" t="inlineStr">
        <is>
          <t>IF(OR(F296="",AU296=""),"",IF(COUNT(AI296:AT296)=0,"",AU296-LOOKUP(2,1/(AI296:AT296&lt;&gt;""),AI296:AT296)))</t>
        </is>
      </c>
      <c r="BI296" s="39" t="inlineStr">
        <is>
          <t>IF(OR(F296="",AV296=""),"",IF(COUNT(AI296:AU296)=0,"",AV296-LOOKUP(2,1/(AI296:AU296&lt;&gt;""),AI296:AU296)))</t>
        </is>
      </c>
      <c r="BJ296" s="41" t="inlineStr">
        <is>
          <t>IF(J296="","All_Provinces",IFERROR(VLOOKUP(J296,'09_Lookups'!$A$4:$B$20,2,FALSE),"All_Provinces"))</t>
        </is>
      </c>
      <c r="BK296" s="41" t="inlineStr">
        <is>
          <t>IF(K296="","All_Districts",IFERROR(VLOOKUP(K296,'09_Lookups'!$E$4:$F$42,2,FALSE),"All_Districts"))</t>
        </is>
      </c>
    </row>
    <row r="297" outlineLevel="1" ht="18" customHeight="1">
      <c r="A297" s="42" t="inlineStr">
        <is>
          <t>IF(F297="","",ROW()-3)</t>
        </is>
      </c>
      <c r="B297" s="61" t="inlineStr">
        <is>
          <t>AF2-WSM-14</t>
        </is>
      </c>
      <c r="C297" s="61" t="inlineStr">
        <is>
          <t>Package #14-AF2 WSM: Construction of 1.Shahristan Check dama in Shahristan district, 2.Miramor Check dam in Miramor district, and 3.Khidir Check dams in Khidir districts of Daykundi province.</t>
        </is>
      </c>
      <c r="D297" s="61" t="inlineStr">
        <is>
          <t>2 of 3</t>
        </is>
      </c>
      <c r="E297" s="44" t="inlineStr">
        <is>
          <t>AF2-WSM-A-035</t>
        </is>
      </c>
      <c r="F297" s="44" t="inlineStr">
        <is>
          <t>2. Miramor Check dam</t>
        </is>
      </c>
      <c r="G297" s="44" t="inlineStr">
        <is>
          <t>Watershed Management</t>
        </is>
      </c>
      <c r="H297" s="44" t="inlineStr">
        <is>
          <t>Check Dam</t>
        </is>
      </c>
      <c r="I297" s="44" t="inlineStr">
        <is>
          <t>Emergency Food Security Project (EFSP) – WBK/AF-2</t>
        </is>
      </c>
      <c r="J297" s="44" t="inlineStr">
        <is>
          <t>Central Highland / Bamyan</t>
        </is>
      </c>
      <c r="K297" s="44" t="inlineStr">
        <is>
          <t>Daykundi</t>
        </is>
      </c>
      <c r="L297" s="44" t="inlineStr">
        <is>
          <t>Miramor</t>
        </is>
      </c>
      <c r="M297" s="44" t="inlineStr">
        <is>
          <t>Folad, Deh Ghulam,</t>
        </is>
      </c>
      <c r="N297" s="44" t="inlineStr">
        <is>
          <t>World Bank (WBK/AF-2)</t>
        </is>
      </c>
      <c r="O297" s="44" t="inlineStr">
        <is>
          <t>Awarded</t>
        </is>
      </c>
      <c r="P297" s="44" t="inlineStr">
        <is>
          <t>3.WSM awarded contracts</t>
        </is>
      </c>
      <c r="Q297" s="44" t="inlineStr">
        <is>
          <t>Da Maidan Zawahnono Construction Company (DMZCC)</t>
        </is>
      </c>
      <c r="R297" s="44" t="inlineStr">
        <is>
          <t>025/2026</t>
        </is>
      </c>
      <c r="S297" s="45" t="n">
        <v>48360.86</v>
      </c>
      <c r="T297" s="46" t="inlineStr">
        <is>
          <t>IF(AQ297="","",AQ297)</t>
        </is>
      </c>
      <c r="U297" s="47" t="n"/>
      <c r="V297" s="48" t="n">
        <v>7</v>
      </c>
      <c r="W297" s="47" t="n">
        <v>46325</v>
      </c>
      <c r="X297" s="46" t="inlineStr">
        <is>
          <t>IF(W297&lt;&gt;"",W297,IF(OR(T297="",V297=""),"",EDATE(T297,V297)))</t>
        </is>
      </c>
      <c r="Y297" s="47" t="n"/>
      <c r="Z297" s="48" t="n">
        <v>100</v>
      </c>
      <c r="AA297" s="44" t="inlineStr">
        <is>
          <t>Completed / Handover</t>
        </is>
      </c>
      <c r="AB297" s="44" t="inlineStr">
        <is>
          <t>Completed on Sep, 2026</t>
        </is>
      </c>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67" t="n"/>
      <c r="AJ297" s="67" t="n"/>
      <c r="AK297" s="67" t="n"/>
      <c r="AL297" s="67" t="n"/>
      <c r="AM297" s="67" t="n"/>
      <c r="AN297" s="67" t="n"/>
      <c r="AO297" s="67" t="n"/>
      <c r="AP297" s="67" t="n"/>
      <c r="AQ297" s="67" t="n">
        <v>46113</v>
      </c>
      <c r="AR297" s="67" t="n">
        <v>46113</v>
      </c>
      <c r="AS297" s="67" t="n">
        <v>46325</v>
      </c>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outlineLevel="1" ht="18" customHeight="1">
      <c r="A298" s="42" t="inlineStr">
        <is>
          <t>IF(F298="","",ROW()-3)</t>
        </is>
      </c>
      <c r="B298" s="61" t="inlineStr">
        <is>
          <t>AF2-WSM-14</t>
        </is>
      </c>
      <c r="C298" s="61" t="inlineStr">
        <is>
          <t>Package #14-AF2 WSM: Construction of 1.Shahristan Check dama in Shahristan district, 2.Miramor Check dam in Miramor district, and 3.Khidir Check dams in Khidir districts of Daykundi province.</t>
        </is>
      </c>
      <c r="D298" s="61" t="inlineStr">
        <is>
          <t>3 of 3</t>
        </is>
      </c>
      <c r="E298" s="52" t="inlineStr">
        <is>
          <t>AF2-WSM-A-036</t>
        </is>
      </c>
      <c r="F298" s="52" t="inlineStr">
        <is>
          <t>3. Khidir Check dam</t>
        </is>
      </c>
      <c r="G298" s="52" t="inlineStr">
        <is>
          <t>Watershed Management</t>
        </is>
      </c>
      <c r="H298" s="52" t="inlineStr">
        <is>
          <t>Check Dam</t>
        </is>
      </c>
      <c r="I298" s="52" t="inlineStr">
        <is>
          <t>Emergency Food Security Project (EFSP) – WBK/AF-2</t>
        </is>
      </c>
      <c r="J298" s="52" t="inlineStr">
        <is>
          <t>Central Highland / Bamyan</t>
        </is>
      </c>
      <c r="K298" s="52" t="inlineStr">
        <is>
          <t>Daykundi</t>
        </is>
      </c>
      <c r="L298" s="52" t="inlineStr">
        <is>
          <t>Khidir</t>
        </is>
      </c>
      <c r="M298" s="52" t="inlineStr">
        <is>
          <t>Dahan-e Degshoyak, Dahan-e Mardakmoda</t>
        </is>
      </c>
      <c r="N298" s="52" t="inlineStr">
        <is>
          <t>World Bank (WBK/AF-2)</t>
        </is>
      </c>
      <c r="O298" s="52" t="inlineStr">
        <is>
          <t>Awarded</t>
        </is>
      </c>
      <c r="P298" s="52" t="inlineStr">
        <is>
          <t>3.WSM awarded contracts</t>
        </is>
      </c>
      <c r="Q298" s="52" t="inlineStr">
        <is>
          <t>Da Maidan Zawahnono Construction Company (DMZCC)</t>
        </is>
      </c>
      <c r="R298" s="52" t="inlineStr">
        <is>
          <t>025/2026</t>
        </is>
      </c>
      <c r="S298" s="53" t="n">
        <v>40132.5</v>
      </c>
      <c r="T298" s="46" t="inlineStr">
        <is>
          <t>IF(AQ298="","",AQ298)</t>
        </is>
      </c>
      <c r="U298" s="54" t="n"/>
      <c r="V298" s="55" t="n">
        <v>7</v>
      </c>
      <c r="W298" s="54" t="n">
        <v>46325</v>
      </c>
      <c r="X298" s="46" t="inlineStr">
        <is>
          <t>IF(W298&lt;&gt;"",W298,IF(OR(T298="",V298=""),"",EDATE(T298,V298)))</t>
        </is>
      </c>
      <c r="Y298" s="54" t="n"/>
      <c r="Z298" s="55" t="n">
        <v>100</v>
      </c>
      <c r="AA298" s="52" t="inlineStr">
        <is>
          <t>Completed / Handover</t>
        </is>
      </c>
      <c r="AB298" s="52" t="inlineStr">
        <is>
          <t>Completed on Sep, 2026</t>
        </is>
      </c>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67" t="n"/>
      <c r="AJ298" s="67" t="n"/>
      <c r="AK298" s="67" t="n"/>
      <c r="AL298" s="67" t="n"/>
      <c r="AM298" s="67" t="n"/>
      <c r="AN298" s="67" t="n"/>
      <c r="AO298" s="67" t="n"/>
      <c r="AP298" s="67" t="n"/>
      <c r="AQ298" s="67" t="n">
        <v>46113</v>
      </c>
      <c r="AR298" s="67" t="n">
        <v>46113</v>
      </c>
      <c r="AS298" s="67" t="n">
        <v>46325</v>
      </c>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32" t="inlineStr">
        <is>
          <t>IF(F299="","",ROW()-3)</t>
        </is>
      </c>
      <c r="B299" s="62" t="inlineStr">
        <is>
          <t>AF2-WSM-15</t>
        </is>
      </c>
      <c r="C299" s="62" t="inlineStr">
        <is>
          <t>Package #15-AF2 WSM: Construction of 3 Check dams of 1. Sangmom, 2. Shilan Korga, and 3.Khulbar in Nili, Ashtarlay, and Sang Takhta districts of Daykundi province.</t>
        </is>
      </c>
      <c r="D299" s="62" t="inlineStr">
        <is>
          <t>1 of 3</t>
        </is>
      </c>
      <c r="E299" s="57" t="inlineStr">
        <is>
          <t>AF2-WSM-A-037</t>
        </is>
      </c>
      <c r="F299" s="57" t="inlineStr">
        <is>
          <t>Khulbarg Check dam</t>
        </is>
      </c>
      <c r="G299" s="57" t="inlineStr">
        <is>
          <t>Watershed Management</t>
        </is>
      </c>
      <c r="H299" s="57" t="inlineStr">
        <is>
          <t>Check Dam</t>
        </is>
      </c>
      <c r="I299" s="57" t="inlineStr">
        <is>
          <t>Emergency Food Security Project (EFSP) – WBK/AF-2</t>
        </is>
      </c>
      <c r="J299" s="57" t="inlineStr">
        <is>
          <t>Central Highland / Bamyan</t>
        </is>
      </c>
      <c r="K299" s="57" t="inlineStr">
        <is>
          <t>Daykundi</t>
        </is>
      </c>
      <c r="L299" s="57" t="inlineStr">
        <is>
          <t>Sang Takht wa Bandar</t>
        </is>
      </c>
      <c r="M299" s="57" t="inlineStr">
        <is>
          <t>Shamshir Sang, Dughur Ulya &amp; Sufla</t>
        </is>
      </c>
      <c r="N299" s="57" t="inlineStr">
        <is>
          <t>World Bank (WBK/AF-2)</t>
        </is>
      </c>
      <c r="O299" s="57" t="inlineStr">
        <is>
          <t>Awarded</t>
        </is>
      </c>
      <c r="P299" s="57" t="inlineStr">
        <is>
          <t>3.WSM awarded contracts</t>
        </is>
      </c>
      <c r="Q299" s="57" t="inlineStr">
        <is>
          <t>Bahartamadun Construction Company (BCC)</t>
        </is>
      </c>
      <c r="R299" s="57" t="inlineStr">
        <is>
          <t>065/2026</t>
        </is>
      </c>
      <c r="S299" s="58" t="n"/>
      <c r="T299" s="36" t="inlineStr">
        <is>
          <t>IF(AQ299="","",AQ299)</t>
        </is>
      </c>
      <c r="U299" s="59" t="n"/>
      <c r="V299" s="60" t="n">
        <v>4.9</v>
      </c>
      <c r="W299" s="59" t="n">
        <v>46453</v>
      </c>
      <c r="X299" s="36" t="inlineStr">
        <is>
          <t>IF(W299&lt;&gt;"",W299,IF(OR(T299="",V299=""),"",EDATE(T299,V299)))</t>
        </is>
      </c>
      <c r="Y299" s="59" t="n"/>
      <c r="Z299" s="60" t="n"/>
      <c r="AA299" s="57" t="inlineStr">
        <is>
          <t>Awarded</t>
        </is>
      </c>
      <c r="AB299" s="57" t="inlineStr">
        <is>
          <t>Completed on Sep, 2026</t>
        </is>
      </c>
      <c r="AC299" s="32" t="inlineStr">
        <is>
          <t>IF(F299="","",IF(COUNT(AI299:AV299)=0,IF(AA299="","Not started",AA299),SUBSTITUTE(LOOKUP(2,1/(AI299:AV299&lt;&gt;""),$AI$3:$AV$3),"Date: ","")))</t>
        </is>
      </c>
      <c r="AD299" s="39" t="inlineStr">
        <is>
          <t>IF(OR(F299="",COUNT(AI299:AV299)=0),"",TODAY()-LOOKUP(2,1/(AI299:AV299&lt;&gt;""),AI299:AV299))</t>
        </is>
      </c>
      <c r="AE299" s="39" t="inlineStr">
        <is>
          <t>IF(OR(F299="",COUNT(AI299:AV299)&lt;2),"",LOOKUP(2,1/(AI299:AV299&lt;&gt;""),AI299:AV299)-MIN(AI299:AV299))</t>
        </is>
      </c>
      <c r="AF299" s="39" t="inlineStr">
        <is>
          <t>IF(OR(AD299="",AC299="Not started",AC299=""),"",IFERROR(AD299-IF(VLOOKUP(AC299,'06_Status_Pipeline'!$B$3:$E$20,4,FALSE)="",0,VLOOKUP(AC299,'06_Status_Pipeline'!$B$3:$E$20,4,FALSE)),""))</t>
        </is>
      </c>
      <c r="AG299" s="3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39" t="inlineStr">
        <is>
          <t>IF(OR(F299="",AC299="Completed / Handover",AC299="Cancelled"),"",IF(O299="Not awarded",IF(U299&lt;&gt;"",U299-TODAY(),IF(X299="","",X299-TODAY())),IF(X299="","",X299-TODAY())))</t>
        </is>
      </c>
      <c r="AI299" s="66" t="n"/>
      <c r="AJ299" s="66" t="n"/>
      <c r="AK299" s="66" t="n"/>
      <c r="AL299" s="66" t="n"/>
      <c r="AM299" s="66" t="n"/>
      <c r="AN299" s="66" t="n"/>
      <c r="AO299" s="66" t="n"/>
      <c r="AP299" s="66" t="n"/>
      <c r="AQ299" s="66" t="n">
        <v>46303</v>
      </c>
      <c r="AR299" s="66" t="n"/>
      <c r="AS299" s="66" t="n"/>
      <c r="AT299" s="40" t="n"/>
      <c r="AU299" s="40" t="n"/>
      <c r="AV299" s="40" t="n"/>
      <c r="AW299" s="39" t="inlineStr">
        <is>
          <t>IF(OR(F299="",AJ299=""),"",IF(COUNT(AI299:AI299)=0,"",AJ299-LOOKUP(2,1/(AI299:AI299&lt;&gt;""),AI299:AI299)))</t>
        </is>
      </c>
      <c r="AX299" s="39" t="inlineStr">
        <is>
          <t>IF(OR(F299="",AK299=""),"",IF(COUNT(AI299:AJ299)=0,"",AK299-LOOKUP(2,1/(AI299:AJ299&lt;&gt;""),AI299:AJ299)))</t>
        </is>
      </c>
      <c r="AY299" s="39" t="inlineStr">
        <is>
          <t>IF(OR(F299="",AL299=""),"",IF(COUNT(AI299:AK299)=0,"",AL299-LOOKUP(2,1/(AI299:AK299&lt;&gt;""),AI299:AK299)))</t>
        </is>
      </c>
      <c r="AZ299" s="39" t="inlineStr">
        <is>
          <t>IF(OR(F299="",AM299=""),"",IF(COUNT(AI299:AL299)=0,"",AM299-LOOKUP(2,1/(AI299:AL299&lt;&gt;""),AI299:AL299)))</t>
        </is>
      </c>
      <c r="BA299" s="39" t="inlineStr">
        <is>
          <t>IF(OR(F299="",AN299=""),"",IF(COUNT(AI299:AM299)=0,"",AN299-LOOKUP(2,1/(AI299:AM299&lt;&gt;""),AI299:AM299)))</t>
        </is>
      </c>
      <c r="BB299" s="39" t="inlineStr">
        <is>
          <t>IF(OR(F299="",AO299=""),"",IF(COUNT(AI299:AN299)=0,"",AO299-LOOKUP(2,1/(AI299:AN299&lt;&gt;""),AI299:AN299)))</t>
        </is>
      </c>
      <c r="BC299" s="39" t="inlineStr">
        <is>
          <t>IF(OR(F299="",AP299=""),"",IF(COUNT(AI299:AO299)=0,"",AP299-LOOKUP(2,1/(AI299:AO299&lt;&gt;""),AI299:AO299)))</t>
        </is>
      </c>
      <c r="BD299" s="39" t="inlineStr">
        <is>
          <t>IF(OR(F299="",AQ299=""),"",IF(COUNT(AI299:AP299)=0,"",AQ299-LOOKUP(2,1/(AI299:AP299&lt;&gt;""),AI299:AP299)))</t>
        </is>
      </c>
      <c r="BE299" s="39" t="inlineStr">
        <is>
          <t>IF(OR(F299="",AR299=""),"",IF(COUNT(AI299:AQ299)=0,"",AR299-LOOKUP(2,1/(AI299:AQ299&lt;&gt;""),AI299:AQ299)))</t>
        </is>
      </c>
      <c r="BF299" s="39" t="inlineStr">
        <is>
          <t>IF(OR(F299="",AS299=""),"",IF(COUNT(AI299:AR299)=0,"",AS299-LOOKUP(2,1/(AI299:AR299&lt;&gt;""),AI299:AR299)))</t>
        </is>
      </c>
      <c r="BG299" s="39" t="inlineStr">
        <is>
          <t>IF(OR(F299="",AT299=""),"",IF(COUNT(AI299:AS299)=0,"",AT299-LOOKUP(2,1/(AI299:AS299&lt;&gt;""),AI299:AS299)))</t>
        </is>
      </c>
      <c r="BH299" s="39" t="inlineStr">
        <is>
          <t>IF(OR(F299="",AU299=""),"",IF(COUNT(AI299:AT299)=0,"",AU299-LOOKUP(2,1/(AI299:AT299&lt;&gt;""),AI299:AT299)))</t>
        </is>
      </c>
      <c r="BI299" s="39" t="inlineStr">
        <is>
          <t>IF(OR(F299="",AV299=""),"",IF(COUNT(AI299:AU299)=0,"",AV299-LOOKUP(2,1/(AI299:AU299&lt;&gt;""),AI299:AU299)))</t>
        </is>
      </c>
      <c r="BJ299" s="41" t="inlineStr">
        <is>
          <t>IF(J299="","All_Provinces",IFERROR(VLOOKUP(J299,'09_Lookups'!$A$4:$B$20,2,FALSE),"All_Provinces"))</t>
        </is>
      </c>
      <c r="BK299" s="41" t="inlineStr">
        <is>
          <t>IF(K299="","All_Districts",IFERROR(VLOOKUP(K299,'09_Lookups'!$E$4:$F$42,2,FALSE),"All_Districts"))</t>
        </is>
      </c>
    </row>
    <row r="300" outlineLevel="1" ht="18" customHeight="1">
      <c r="A300" s="42" t="inlineStr">
        <is>
          <t>IF(F300="","",ROW()-3)</t>
        </is>
      </c>
      <c r="B300" s="63" t="inlineStr">
        <is>
          <t>AF2-WSM-15</t>
        </is>
      </c>
      <c r="C300" s="63" t="inlineStr">
        <is>
          <t>Package #15-AF2 WSM: Construction of 3 Check dams of 1. Sangmom, 2. Shilan Korga, and 3.Khulbar in Nili, Ashtarlay, and Sang Takhta districts of Daykundi province.</t>
        </is>
      </c>
      <c r="D300" s="63" t="inlineStr">
        <is>
          <t>2 of 3</t>
        </is>
      </c>
      <c r="E300" s="52" t="inlineStr">
        <is>
          <t>AF2-WSM-A-038</t>
        </is>
      </c>
      <c r="F300" s="52" t="inlineStr">
        <is>
          <t>Sangmom Check dam</t>
        </is>
      </c>
      <c r="G300" s="52" t="inlineStr">
        <is>
          <t>Watershed Management</t>
        </is>
      </c>
      <c r="H300" s="52" t="inlineStr">
        <is>
          <t>Check Dam</t>
        </is>
      </c>
      <c r="I300" s="52" t="inlineStr">
        <is>
          <t>Emergency Food Security Project (EFSP) – WBK/AF-2</t>
        </is>
      </c>
      <c r="J300" s="52" t="inlineStr">
        <is>
          <t>Central Highland / Bamyan</t>
        </is>
      </c>
      <c r="K300" s="52" t="inlineStr">
        <is>
          <t>Daykundi</t>
        </is>
      </c>
      <c r="L300" s="52" t="inlineStr">
        <is>
          <t>Nili</t>
        </is>
      </c>
      <c r="M300" s="52" t="inlineStr">
        <is>
          <t>Sangmom</t>
        </is>
      </c>
      <c r="N300" s="52" t="inlineStr">
        <is>
          <t>World Bank (WBK/AF-2)</t>
        </is>
      </c>
      <c r="O300" s="52" t="inlineStr">
        <is>
          <t>Awarded</t>
        </is>
      </c>
      <c r="P300" s="52" t="inlineStr">
        <is>
          <t>3.WSM awarded contracts</t>
        </is>
      </c>
      <c r="Q300" s="52" t="inlineStr">
        <is>
          <t>Bahartamadun Construction Company (BCC)</t>
        </is>
      </c>
      <c r="R300" s="52" t="inlineStr">
        <is>
          <t>065/2026</t>
        </is>
      </c>
      <c r="S300" s="53" t="n">
        <v>179455</v>
      </c>
      <c r="T300" s="46" t="inlineStr">
        <is>
          <t>IF(AQ300="","",AQ300)</t>
        </is>
      </c>
      <c r="U300" s="54" t="n"/>
      <c r="V300" s="55" t="n">
        <v>4.9</v>
      </c>
      <c r="W300" s="54" t="n">
        <v>46453</v>
      </c>
      <c r="X300" s="46" t="inlineStr">
        <is>
          <t>IF(W300&lt;&gt;"",W300,IF(OR(T300="",V300=""),"",EDATE(T300,V300)))</t>
        </is>
      </c>
      <c r="Y300" s="54" t="n"/>
      <c r="Z300" s="55" t="n"/>
      <c r="AA300" s="52" t="inlineStr">
        <is>
          <t>Awarded</t>
        </is>
      </c>
      <c r="AB300" s="52" t="inlineStr">
        <is>
          <t>Completed on Sep, 2026</t>
        </is>
      </c>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67" t="n"/>
      <c r="AJ300" s="67" t="n"/>
      <c r="AK300" s="67" t="n"/>
      <c r="AL300" s="67" t="n"/>
      <c r="AM300" s="67" t="n"/>
      <c r="AN300" s="67" t="n"/>
      <c r="AO300" s="67" t="n"/>
      <c r="AP300" s="67" t="n"/>
      <c r="AQ300" s="67" t="n">
        <v>46303</v>
      </c>
      <c r="AR300" s="67" t="n"/>
      <c r="AS300" s="67"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outlineLevel="1" ht="18" customHeight="1">
      <c r="A301" s="42" t="inlineStr">
        <is>
          <t>IF(F301="","",ROW()-3)</t>
        </is>
      </c>
      <c r="B301" s="63" t="inlineStr">
        <is>
          <t>AF2-WSM-15</t>
        </is>
      </c>
      <c r="C301" s="63" t="inlineStr">
        <is>
          <t>Package #15-AF2 WSM: Construction of 3 Check dams of 1. Sangmom, 2. Shilan Korga, and 3.Khulbar in Nili, Ashtarlay, and Sang Takhta districts of Daykundi province.</t>
        </is>
      </c>
      <c r="D301" s="63" t="inlineStr">
        <is>
          <t>3 of 3</t>
        </is>
      </c>
      <c r="E301" s="44" t="inlineStr">
        <is>
          <t>AF2-WSM-A-039</t>
        </is>
      </c>
      <c r="F301" s="44" t="inlineStr">
        <is>
          <t>Shilan Korga Check dam</t>
        </is>
      </c>
      <c r="G301" s="44" t="inlineStr">
        <is>
          <t>Watershed Management</t>
        </is>
      </c>
      <c r="H301" s="44" t="inlineStr">
        <is>
          <t>Check Dam</t>
        </is>
      </c>
      <c r="I301" s="44" t="inlineStr">
        <is>
          <t>Emergency Food Security Project (EFSP) – WBK/AF-2</t>
        </is>
      </c>
      <c r="J301" s="44" t="inlineStr">
        <is>
          <t>Central Highland / Bamyan</t>
        </is>
      </c>
      <c r="K301" s="44" t="inlineStr">
        <is>
          <t>Daykundi</t>
        </is>
      </c>
      <c r="L301" s="44" t="inlineStr">
        <is>
          <t>Ashtarlay</t>
        </is>
      </c>
      <c r="M301" s="44" t="inlineStr">
        <is>
          <t>Korga-e Shelan, Naiak-e Shelan</t>
        </is>
      </c>
      <c r="N301" s="44" t="inlineStr">
        <is>
          <t>World Bank (WBK/AF-2)</t>
        </is>
      </c>
      <c r="O301" s="44" t="inlineStr">
        <is>
          <t>Awarded</t>
        </is>
      </c>
      <c r="P301" s="44" t="inlineStr">
        <is>
          <t>3.WSM awarded contracts</t>
        </is>
      </c>
      <c r="Q301" s="44" t="inlineStr">
        <is>
          <t>Bahartamadun Construction Company (BCC)</t>
        </is>
      </c>
      <c r="R301" s="44" t="inlineStr">
        <is>
          <t>065/2026</t>
        </is>
      </c>
      <c r="S301" s="45" t="n"/>
      <c r="T301" s="46" t="inlineStr">
        <is>
          <t>IF(AQ301="","",AQ301)</t>
        </is>
      </c>
      <c r="U301" s="47" t="n"/>
      <c r="V301" s="48" t="n">
        <v>4.9</v>
      </c>
      <c r="W301" s="47" t="n">
        <v>46453</v>
      </c>
      <c r="X301" s="46" t="inlineStr">
        <is>
          <t>IF(W301&lt;&gt;"",W301,IF(OR(T301="",V301=""),"",EDATE(T301,V301)))</t>
        </is>
      </c>
      <c r="Y301" s="47" t="n"/>
      <c r="Z301" s="48" t="n"/>
      <c r="AA301" s="44" t="inlineStr">
        <is>
          <t>Awarded</t>
        </is>
      </c>
      <c r="AB301" s="44" t="inlineStr">
        <is>
          <t>Completed on Sep, 2026</t>
        </is>
      </c>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67" t="n"/>
      <c r="AJ301" s="67" t="n"/>
      <c r="AK301" s="67" t="n"/>
      <c r="AL301" s="67" t="n"/>
      <c r="AM301" s="67" t="n"/>
      <c r="AN301" s="67" t="n"/>
      <c r="AO301" s="67" t="n"/>
      <c r="AP301" s="67" t="n"/>
      <c r="AQ301" s="67" t="n">
        <v>46303</v>
      </c>
      <c r="AR301" s="67" t="n"/>
      <c r="AS301" s="6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32" t="inlineStr">
        <is>
          <t>IF(F302="","",ROW()-3)</t>
        </is>
      </c>
      <c r="B302" s="64" t="inlineStr">
        <is>
          <t>AF2-WSM-16</t>
        </is>
      </c>
      <c r="C302" s="64" t="inlineStr">
        <is>
          <t>Package #16-AF2 WSM: Construction of Panami Check dams, located in Mohammad Agha district of Logar province.</t>
        </is>
      </c>
      <c r="D302" s="64" t="inlineStr">
        <is>
          <t>1 of 1</t>
        </is>
      </c>
      <c r="E302" s="34" t="inlineStr">
        <is>
          <t>AF2-WSM-A-040</t>
        </is>
      </c>
      <c r="F302" s="34" t="inlineStr">
        <is>
          <t>Panami Check dam</t>
        </is>
      </c>
      <c r="G302" s="34" t="inlineStr">
        <is>
          <t>Watershed Management</t>
        </is>
      </c>
      <c r="H302" s="34" t="inlineStr">
        <is>
          <t>Check Dam</t>
        </is>
      </c>
      <c r="I302" s="34" t="inlineStr">
        <is>
          <t>Emergency Food Security Project (EFSP) – WBK/AF-2</t>
        </is>
      </c>
      <c r="J302" s="34" t="inlineStr">
        <is>
          <t>Southeast / Gardez</t>
        </is>
      </c>
      <c r="K302" s="34" t="inlineStr">
        <is>
          <t>Logar</t>
        </is>
      </c>
      <c r="L302" s="34" t="inlineStr">
        <is>
          <t>M.Agha</t>
        </is>
      </c>
      <c r="M302" s="34" t="inlineStr">
        <is>
          <t>Ab Bazak (Panami)</t>
        </is>
      </c>
      <c r="N302" s="34" t="inlineStr">
        <is>
          <t>World Bank (WBK/AF-2)</t>
        </is>
      </c>
      <c r="O302" s="34" t="inlineStr">
        <is>
          <t>Awarded</t>
        </is>
      </c>
      <c r="P302" s="34" t="inlineStr">
        <is>
          <t>3.WSM awarded contracts</t>
        </is>
      </c>
      <c r="Q302" s="34" t="inlineStr">
        <is>
          <t>Sayed Shirazi Construction and Road Building Company (SCRC)</t>
        </is>
      </c>
      <c r="R302" s="34" t="inlineStr">
        <is>
          <t>030/2026</t>
        </is>
      </c>
      <c r="S302" s="35" t="n">
        <v>109583.21</v>
      </c>
      <c r="T302" s="36" t="inlineStr">
        <is>
          <t>IF(AQ302="","",AQ302)</t>
        </is>
      </c>
      <c r="U302" s="37" t="n"/>
      <c r="V302" s="38" t="n">
        <v>7</v>
      </c>
      <c r="W302" s="37" t="n">
        <v>46343</v>
      </c>
      <c r="X302" s="36" t="inlineStr">
        <is>
          <t>IF(W302&lt;&gt;"",W302,IF(OR(T302="",V302=""),"",EDATE(T302,V302)))</t>
        </is>
      </c>
      <c r="Y302" s="37" t="n"/>
      <c r="Z302" s="38" t="n">
        <v>64</v>
      </c>
      <c r="AA302" s="34" t="inlineStr">
        <is>
          <t>Under Construction</t>
        </is>
      </c>
      <c r="AB302" s="34" t="inlineStr">
        <is>
          <t>Completed on Sep, 2026</t>
        </is>
      </c>
      <c r="AC302" s="32" t="inlineStr">
        <is>
          <t>IF(F302="","",IF(COUNT(AI302:AV302)=0,IF(AA302="","Not started",AA302),SUBSTITUTE(LOOKUP(2,1/(AI302:AV302&lt;&gt;""),$AI$3:$AV$3),"Date: ","")))</t>
        </is>
      </c>
      <c r="AD302" s="39" t="inlineStr">
        <is>
          <t>IF(OR(F302="",COUNT(AI302:AV302)=0),"",TODAY()-LOOKUP(2,1/(AI302:AV302&lt;&gt;""),AI302:AV302))</t>
        </is>
      </c>
      <c r="AE302" s="39" t="inlineStr">
        <is>
          <t>IF(OR(F302="",COUNT(AI302:AV302)&lt;2),"",LOOKUP(2,1/(AI302:AV302&lt;&gt;""),AI302:AV302)-MIN(AI302:AV302))</t>
        </is>
      </c>
      <c r="AF302" s="39" t="inlineStr">
        <is>
          <t>IF(OR(AD302="",AC302="Not started",AC302=""),"",IFERROR(AD302-IF(VLOOKUP(AC302,'06_Status_Pipeline'!$B$3:$E$20,4,FALSE)="",0,VLOOKUP(AC302,'06_Status_Pipeline'!$B$3:$E$20,4,FALSE)),""))</t>
        </is>
      </c>
      <c r="AG302" s="3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39" t="inlineStr">
        <is>
          <t>IF(OR(F302="",AC302="Completed / Handover",AC302="Cancelled"),"",IF(O302="Not awarded",IF(U302&lt;&gt;"",U302-TODAY(),IF(X302="","",X302-TODAY())),IF(X302="","",X302-TODAY())))</t>
        </is>
      </c>
      <c r="AI302" s="66" t="n"/>
      <c r="AJ302" s="66" t="n"/>
      <c r="AK302" s="66" t="n"/>
      <c r="AL302" s="66" t="n"/>
      <c r="AM302" s="66" t="n"/>
      <c r="AN302" s="66" t="n"/>
      <c r="AO302" s="66" t="n"/>
      <c r="AP302" s="66" t="n"/>
      <c r="AQ302" s="66" t="n">
        <v>46130</v>
      </c>
      <c r="AR302" s="66" t="n">
        <v>46130</v>
      </c>
      <c r="AS302" s="66" t="n"/>
      <c r="AT302" s="40" t="n"/>
      <c r="AU302" s="40" t="n"/>
      <c r="AV302" s="40" t="n"/>
      <c r="AW302" s="39" t="inlineStr">
        <is>
          <t>IF(OR(F302="",AJ302=""),"",IF(COUNT(AI302:AI302)=0,"",AJ302-LOOKUP(2,1/(AI302:AI302&lt;&gt;""),AI302:AI302)))</t>
        </is>
      </c>
      <c r="AX302" s="39" t="inlineStr">
        <is>
          <t>IF(OR(F302="",AK302=""),"",IF(COUNT(AI302:AJ302)=0,"",AK302-LOOKUP(2,1/(AI302:AJ302&lt;&gt;""),AI302:AJ302)))</t>
        </is>
      </c>
      <c r="AY302" s="39" t="inlineStr">
        <is>
          <t>IF(OR(F302="",AL302=""),"",IF(COUNT(AI302:AK302)=0,"",AL302-LOOKUP(2,1/(AI302:AK302&lt;&gt;""),AI302:AK302)))</t>
        </is>
      </c>
      <c r="AZ302" s="39" t="inlineStr">
        <is>
          <t>IF(OR(F302="",AM302=""),"",IF(COUNT(AI302:AL302)=0,"",AM302-LOOKUP(2,1/(AI302:AL302&lt;&gt;""),AI302:AL302)))</t>
        </is>
      </c>
      <c r="BA302" s="39" t="inlineStr">
        <is>
          <t>IF(OR(F302="",AN302=""),"",IF(COUNT(AI302:AM302)=0,"",AN302-LOOKUP(2,1/(AI302:AM302&lt;&gt;""),AI302:AM302)))</t>
        </is>
      </c>
      <c r="BB302" s="39" t="inlineStr">
        <is>
          <t>IF(OR(F302="",AO302=""),"",IF(COUNT(AI302:AN302)=0,"",AO302-LOOKUP(2,1/(AI302:AN302&lt;&gt;""),AI302:AN302)))</t>
        </is>
      </c>
      <c r="BC302" s="39" t="inlineStr">
        <is>
          <t>IF(OR(F302="",AP302=""),"",IF(COUNT(AI302:AO302)=0,"",AP302-LOOKUP(2,1/(AI302:AO302&lt;&gt;""),AI302:AO302)))</t>
        </is>
      </c>
      <c r="BD302" s="39" t="inlineStr">
        <is>
          <t>IF(OR(F302="",AQ302=""),"",IF(COUNT(AI302:AP302)=0,"",AQ302-LOOKUP(2,1/(AI302:AP302&lt;&gt;""),AI302:AP302)))</t>
        </is>
      </c>
      <c r="BE302" s="39" t="inlineStr">
        <is>
          <t>IF(OR(F302="",AR302=""),"",IF(COUNT(AI302:AQ302)=0,"",AR302-LOOKUP(2,1/(AI302:AQ302&lt;&gt;""),AI302:AQ302)))</t>
        </is>
      </c>
      <c r="BF302" s="39" t="inlineStr">
        <is>
          <t>IF(OR(F302="",AS302=""),"",IF(COUNT(AI302:AR302)=0,"",AS302-LOOKUP(2,1/(AI302:AR302&lt;&gt;""),AI302:AR302)))</t>
        </is>
      </c>
      <c r="BG302" s="39" t="inlineStr">
        <is>
          <t>IF(OR(F302="",AT302=""),"",IF(COUNT(AI302:AS302)=0,"",AT302-LOOKUP(2,1/(AI302:AS302&lt;&gt;""),AI302:AS302)))</t>
        </is>
      </c>
      <c r="BH302" s="39" t="inlineStr">
        <is>
          <t>IF(OR(F302="",AU302=""),"",IF(COUNT(AI302:AT302)=0,"",AU302-LOOKUP(2,1/(AI302:AT302&lt;&gt;""),AI302:AT302)))</t>
        </is>
      </c>
      <c r="BI302" s="39" t="inlineStr">
        <is>
          <t>IF(OR(F302="",AV302=""),"",IF(COUNT(AI302:AU302)=0,"",AV302-LOOKUP(2,1/(AI302:AU302&lt;&gt;""),AI302:AU302)))</t>
        </is>
      </c>
      <c r="BJ302" s="41" t="inlineStr">
        <is>
          <t>IF(J302="","All_Provinces",IFERROR(VLOOKUP(J302,'09_Lookups'!$A$4:$B$20,2,FALSE),"All_Provinces"))</t>
        </is>
      </c>
      <c r="BK302" s="41" t="inlineStr">
        <is>
          <t>IF(K302="","All_Districts",IFERROR(VLOOKUP(K302,'09_Lookups'!$E$4:$F$42,2,FALSE),"All_Districts"))</t>
        </is>
      </c>
    </row>
    <row r="303" ht="18" customHeight="1">
      <c r="A303" s="32" t="inlineStr">
        <is>
          <t>IF(F303="","",ROW()-3)</t>
        </is>
      </c>
      <c r="B303" s="33" t="inlineStr">
        <is>
          <t>AF2-WSM-17</t>
        </is>
      </c>
      <c r="C303" s="33" t="inlineStr">
        <is>
          <t>Package #17-AF2 WSM: Construction of Ghoriza Check dams, located in Sayed Karam districts of Paktya province.</t>
        </is>
      </c>
      <c r="D303" s="33" t="inlineStr">
        <is>
          <t>1 of 1</t>
        </is>
      </c>
      <c r="E303" s="57" t="inlineStr">
        <is>
          <t>AF2-WSM-N-005</t>
        </is>
      </c>
      <c r="F303" s="57" t="inlineStr">
        <is>
          <t>Ghawreza Check dam</t>
        </is>
      </c>
      <c r="G303" s="57" t="inlineStr">
        <is>
          <t>Watershed Management</t>
        </is>
      </c>
      <c r="H303" s="57" t="inlineStr">
        <is>
          <t>Check Dam</t>
        </is>
      </c>
      <c r="I303" s="57" t="inlineStr">
        <is>
          <t>Emergency Food Security Project (EFSP) – WBK/AF-2</t>
        </is>
      </c>
      <c r="J303" s="57" t="inlineStr">
        <is>
          <t>Southeast / Gardez</t>
        </is>
      </c>
      <c r="K303" s="57" t="inlineStr">
        <is>
          <t>Paktya</t>
        </is>
      </c>
      <c r="L303" s="57" t="inlineStr">
        <is>
          <t>Sayed Karam</t>
        </is>
      </c>
      <c r="M303" s="57" t="inlineStr">
        <is>
          <t>Bara Ghoriza</t>
        </is>
      </c>
      <c r="N303" s="57" t="inlineStr">
        <is>
          <t>World Bank (WBK/AF-2)</t>
        </is>
      </c>
      <c r="O303" s="57" t="inlineStr">
        <is>
          <t>Not awarded</t>
        </is>
      </c>
      <c r="P303" s="57" t="inlineStr">
        <is>
          <t>4.WSM remaining contracts</t>
        </is>
      </c>
      <c r="Q303" s="57" t="inlineStr"/>
      <c r="R303" s="57" t="inlineStr"/>
      <c r="S303" s="58" t="n">
        <v>86330</v>
      </c>
      <c r="T303" s="36" t="inlineStr">
        <is>
          <t>IF(AQ303="","",AQ303)</t>
        </is>
      </c>
      <c r="U303" s="59" t="n">
        <v>46346</v>
      </c>
      <c r="V303" s="60" t="n">
        <v>7.2</v>
      </c>
      <c r="W303" s="59" t="n">
        <v>46566</v>
      </c>
      <c r="X303" s="36" t="inlineStr">
        <is>
          <t>IF(W303&lt;&gt;"",W303,IF(OR(T303="",V303=""),"",EDATE(T303,V303)))</t>
        </is>
      </c>
      <c r="Y303" s="59" t="n"/>
      <c r="Z303" s="60" t="n"/>
      <c r="AA303" s="57" t="inlineStr">
        <is>
          <t>PR to be Raised</t>
        </is>
      </c>
      <c r="AB303" s="57" t="inlineStr">
        <is>
          <t>Construction of the check dam will be completed in four months. 20-Dec to March end as the slack period.</t>
        </is>
      </c>
      <c r="AC303" s="32" t="inlineStr">
        <is>
          <t>IF(F303="","",IF(COUNT(AI303:AV303)=0,IF(AA303="","Not started",AA303),SUBSTITUTE(LOOKUP(2,1/(AI303:AV303&lt;&gt;""),$AI$3:$AV$3),"Date: ","")))</t>
        </is>
      </c>
      <c r="AD303" s="39" t="inlineStr">
        <is>
          <t>IF(OR(F303="",COUNT(AI303:AV303)=0),"",TODAY()-LOOKUP(2,1/(AI303:AV303&lt;&gt;""),AI303:AV303))</t>
        </is>
      </c>
      <c r="AE303" s="39" t="inlineStr">
        <is>
          <t>IF(OR(F303="",COUNT(AI303:AV303)&lt;2),"",LOOKUP(2,1/(AI303:AV303&lt;&gt;""),AI303:AV303)-MIN(AI303:AV303))</t>
        </is>
      </c>
      <c r="AF303" s="39" t="inlineStr">
        <is>
          <t>IF(OR(AD303="",AC303="Not started",AC303=""),"",IFERROR(AD303-IF(VLOOKUP(AC303,'06_Status_Pipeline'!$B$3:$E$20,4,FALSE)="",0,VLOOKUP(AC303,'06_Status_Pipeline'!$B$3:$E$20,4,FALSE)),""))</t>
        </is>
      </c>
      <c r="AG303" s="3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39" t="inlineStr">
        <is>
          <t>IF(OR(F303="",AC303="Completed / Handover",AC303="Cancelled"),"",IF(O303="Not awarded",IF(U303&lt;&gt;"",U303-TODAY(),IF(X303="","",X303-TODAY())),IF(X303="","",X303-TODAY())))</t>
        </is>
      </c>
      <c r="AI303" s="59" t="n"/>
      <c r="AJ303" s="59" t="n"/>
      <c r="AK303" s="59" t="n"/>
      <c r="AL303" s="59" t="n"/>
      <c r="AM303" s="59" t="n"/>
      <c r="AN303" s="59" t="n"/>
      <c r="AO303" s="59" t="n"/>
      <c r="AP303" s="59" t="n"/>
      <c r="AQ303" s="59" t="n"/>
      <c r="AR303" s="59" t="n"/>
      <c r="AS303" s="59" t="n"/>
      <c r="AT303" s="40" t="n"/>
      <c r="AU303" s="40" t="n"/>
      <c r="AV303" s="40" t="n"/>
      <c r="AW303" s="39" t="inlineStr">
        <is>
          <t>IF(OR(F303="",AJ303=""),"",IF(COUNT(AI303:AI303)=0,"",AJ303-LOOKUP(2,1/(AI303:AI303&lt;&gt;""),AI303:AI303)))</t>
        </is>
      </c>
      <c r="AX303" s="39" t="inlineStr">
        <is>
          <t>IF(OR(F303="",AK303=""),"",IF(COUNT(AI303:AJ303)=0,"",AK303-LOOKUP(2,1/(AI303:AJ303&lt;&gt;""),AI303:AJ303)))</t>
        </is>
      </c>
      <c r="AY303" s="39" t="inlineStr">
        <is>
          <t>IF(OR(F303="",AL303=""),"",IF(COUNT(AI303:AK303)=0,"",AL303-LOOKUP(2,1/(AI303:AK303&lt;&gt;""),AI303:AK303)))</t>
        </is>
      </c>
      <c r="AZ303" s="39" t="inlineStr">
        <is>
          <t>IF(OR(F303="",AM303=""),"",IF(COUNT(AI303:AL303)=0,"",AM303-LOOKUP(2,1/(AI303:AL303&lt;&gt;""),AI303:AL303)))</t>
        </is>
      </c>
      <c r="BA303" s="39" t="inlineStr">
        <is>
          <t>IF(OR(F303="",AN303=""),"",IF(COUNT(AI303:AM303)=0,"",AN303-LOOKUP(2,1/(AI303:AM303&lt;&gt;""),AI303:AM303)))</t>
        </is>
      </c>
      <c r="BB303" s="39" t="inlineStr">
        <is>
          <t>IF(OR(F303="",AO303=""),"",IF(COUNT(AI303:AN303)=0,"",AO303-LOOKUP(2,1/(AI303:AN303&lt;&gt;""),AI303:AN303)))</t>
        </is>
      </c>
      <c r="BC303" s="39" t="inlineStr">
        <is>
          <t>IF(OR(F303="",AP303=""),"",IF(COUNT(AI303:AO303)=0,"",AP303-LOOKUP(2,1/(AI303:AO303&lt;&gt;""),AI303:AO303)))</t>
        </is>
      </c>
      <c r="BD303" s="39" t="inlineStr">
        <is>
          <t>IF(OR(F303="",AQ303=""),"",IF(COUNT(AI303:AP303)=0,"",AQ303-LOOKUP(2,1/(AI303:AP303&lt;&gt;""),AI303:AP303)))</t>
        </is>
      </c>
      <c r="BE303" s="39" t="inlineStr">
        <is>
          <t>IF(OR(F303="",AR303=""),"",IF(COUNT(AI303:AQ303)=0,"",AR303-LOOKUP(2,1/(AI303:AQ303&lt;&gt;""),AI303:AQ303)))</t>
        </is>
      </c>
      <c r="BF303" s="39" t="inlineStr">
        <is>
          <t>IF(OR(F303="",AS303=""),"",IF(COUNT(AI303:AR303)=0,"",AS303-LOOKUP(2,1/(AI303:AR303&lt;&gt;""),AI303:AR303)))</t>
        </is>
      </c>
      <c r="BG303" s="39" t="inlineStr">
        <is>
          <t>IF(OR(F303="",AT303=""),"",IF(COUNT(AI303:AS303)=0,"",AT303-LOOKUP(2,1/(AI303:AS303&lt;&gt;""),AI303:AS303)))</t>
        </is>
      </c>
      <c r="BH303" s="39" t="inlineStr">
        <is>
          <t>IF(OR(F303="",AU303=""),"",IF(COUNT(AI303:AT303)=0,"",AU303-LOOKUP(2,1/(AI303:AT303&lt;&gt;""),AI303:AT303)))</t>
        </is>
      </c>
      <c r="BI303" s="39" t="inlineStr">
        <is>
          <t>IF(OR(F303="",AV303=""),"",IF(COUNT(AI303:AU303)=0,"",AV303-LOOKUP(2,1/(AI303:AU303&lt;&gt;""),AI303:AU303)))</t>
        </is>
      </c>
      <c r="BJ303" s="41" t="inlineStr">
        <is>
          <t>IF(J303="","All_Provinces",IFERROR(VLOOKUP(J303,'09_Lookups'!$A$4:$B$20,2,FALSE),"All_Provinces"))</t>
        </is>
      </c>
      <c r="BK303" s="41" t="inlineStr">
        <is>
          <t>IF(K303="","All_Districts",IFERROR(VLOOKUP(K303,'09_Lookups'!$E$4:$F$42,2,FALSE),"All_Districts"))</t>
        </is>
      </c>
    </row>
    <row r="304" ht="18" customHeight="1">
      <c r="A304" s="32" t="inlineStr">
        <is>
          <t>IF(F304="","",ROW()-3)</t>
        </is>
      </c>
      <c r="B304" s="56" t="inlineStr">
        <is>
          <t>AF2-WSM-18</t>
        </is>
      </c>
      <c r="C304" s="56" t="inlineStr">
        <is>
          <t>Package #18-AF2 WSM: Construction of Muqarab Check dams, located in Gelan districts of Ghazni province.</t>
        </is>
      </c>
      <c r="D304" s="56" t="inlineStr">
        <is>
          <t>1 of 1</t>
        </is>
      </c>
      <c r="E304" s="34" t="inlineStr">
        <is>
          <t>AF2-WSM-A-041</t>
        </is>
      </c>
      <c r="F304" s="34" t="inlineStr">
        <is>
          <t>Muqarab Check dam</t>
        </is>
      </c>
      <c r="G304" s="34" t="inlineStr">
        <is>
          <t>Watershed Management</t>
        </is>
      </c>
      <c r="H304" s="34" t="inlineStr">
        <is>
          <t>Check Dam</t>
        </is>
      </c>
      <c r="I304" s="34" t="inlineStr">
        <is>
          <t>Emergency Food Security Project (EFSP) – WBK/AF-2</t>
        </is>
      </c>
      <c r="J304" s="34" t="inlineStr">
        <is>
          <t>Southeast / Gardez</t>
        </is>
      </c>
      <c r="K304" s="34" t="inlineStr">
        <is>
          <t>Ghazni</t>
        </is>
      </c>
      <c r="L304" s="34" t="inlineStr">
        <is>
          <t>Gelan</t>
        </is>
      </c>
      <c r="M304" s="34" t="inlineStr">
        <is>
          <t>Muqarab</t>
        </is>
      </c>
      <c r="N304" s="34" t="inlineStr">
        <is>
          <t>World Bank (WBK/AF-2)</t>
        </is>
      </c>
      <c r="O304" s="34" t="inlineStr">
        <is>
          <t>Awarded</t>
        </is>
      </c>
      <c r="P304" s="34" t="inlineStr">
        <is>
          <t>3.WSM awarded contracts</t>
        </is>
      </c>
      <c r="Q304" s="34" t="inlineStr">
        <is>
          <t>Hemat safi construction company (HSCC)</t>
        </is>
      </c>
      <c r="R304" s="34" t="inlineStr">
        <is>
          <t>047/2026</t>
        </is>
      </c>
      <c r="S304" s="35" t="n">
        <v>79567.97</v>
      </c>
      <c r="T304" s="36" t="inlineStr">
        <is>
          <t>IF(AQ304="","",AQ304)</t>
        </is>
      </c>
      <c r="U304" s="37" t="n"/>
      <c r="V304" s="38" t="n">
        <v>6</v>
      </c>
      <c r="W304" s="37" t="n">
        <v>46409</v>
      </c>
      <c r="X304" s="36" t="inlineStr">
        <is>
          <t>IF(W304&lt;&gt;"",W304,IF(OR(T304="",V304=""),"",EDATE(T304,V304)))</t>
        </is>
      </c>
      <c r="Y304" s="37" t="n"/>
      <c r="Z304" s="38" t="n">
        <v>36</v>
      </c>
      <c r="AA304" s="34" t="inlineStr">
        <is>
          <t>Under Construction</t>
        </is>
      </c>
      <c r="AB304" s="34" t="inlineStr">
        <is>
          <t>Completed on Sep, 2026</t>
        </is>
      </c>
      <c r="AC304" s="32" t="inlineStr">
        <is>
          <t>IF(F304="","",IF(COUNT(AI304:AV304)=0,IF(AA304="","Not started",AA304),SUBSTITUTE(LOOKUP(2,1/(AI304:AV304&lt;&gt;""),$AI$3:$AV$3),"Date: ","")))</t>
        </is>
      </c>
      <c r="AD304" s="39" t="inlineStr">
        <is>
          <t>IF(OR(F304="",COUNT(AI304:AV304)=0),"",TODAY()-LOOKUP(2,1/(AI304:AV304&lt;&gt;""),AI304:AV304))</t>
        </is>
      </c>
      <c r="AE304" s="39" t="inlineStr">
        <is>
          <t>IF(OR(F304="",COUNT(AI304:AV304)&lt;2),"",LOOKUP(2,1/(AI304:AV304&lt;&gt;""),AI304:AV304)-MIN(AI304:AV304))</t>
        </is>
      </c>
      <c r="AF304" s="39" t="inlineStr">
        <is>
          <t>IF(OR(AD304="",AC304="Not started",AC304=""),"",IFERROR(AD304-IF(VLOOKUP(AC304,'06_Status_Pipeline'!$B$3:$E$20,4,FALSE)="",0,VLOOKUP(AC304,'06_Status_Pipeline'!$B$3:$E$20,4,FALSE)),""))</t>
        </is>
      </c>
      <c r="AG304" s="3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39" t="inlineStr">
        <is>
          <t>IF(OR(F304="",AC304="Completed / Handover",AC304="Cancelled"),"",IF(O304="Not awarded",IF(U304&lt;&gt;"",U304-TODAY(),IF(X304="","",X304-TODAY())),IF(X304="","",X304-TODAY())))</t>
        </is>
      </c>
      <c r="AI304" s="66" t="n"/>
      <c r="AJ304" s="66" t="n"/>
      <c r="AK304" s="66" t="n"/>
      <c r="AL304" s="66" t="n"/>
      <c r="AM304" s="66" t="n"/>
      <c r="AN304" s="66" t="n"/>
      <c r="AO304" s="66" t="n"/>
      <c r="AP304" s="66" t="n"/>
      <c r="AQ304" s="66" t="n">
        <v>46226</v>
      </c>
      <c r="AR304" s="66" t="n">
        <v>46226</v>
      </c>
      <c r="AS304" s="66" t="n"/>
      <c r="AT304" s="40" t="n"/>
      <c r="AU304" s="40" t="n"/>
      <c r="AV304" s="40" t="n"/>
      <c r="AW304" s="39" t="inlineStr">
        <is>
          <t>IF(OR(F304="",AJ304=""),"",IF(COUNT(AI304:AI304)=0,"",AJ304-LOOKUP(2,1/(AI304:AI304&lt;&gt;""),AI304:AI304)))</t>
        </is>
      </c>
      <c r="AX304" s="39" t="inlineStr">
        <is>
          <t>IF(OR(F304="",AK304=""),"",IF(COUNT(AI304:AJ304)=0,"",AK304-LOOKUP(2,1/(AI304:AJ304&lt;&gt;""),AI304:AJ304)))</t>
        </is>
      </c>
      <c r="AY304" s="39" t="inlineStr">
        <is>
          <t>IF(OR(F304="",AL304=""),"",IF(COUNT(AI304:AK304)=0,"",AL304-LOOKUP(2,1/(AI304:AK304&lt;&gt;""),AI304:AK304)))</t>
        </is>
      </c>
      <c r="AZ304" s="39" t="inlineStr">
        <is>
          <t>IF(OR(F304="",AM304=""),"",IF(COUNT(AI304:AL304)=0,"",AM304-LOOKUP(2,1/(AI304:AL304&lt;&gt;""),AI304:AL304)))</t>
        </is>
      </c>
      <c r="BA304" s="39" t="inlineStr">
        <is>
          <t>IF(OR(F304="",AN304=""),"",IF(COUNT(AI304:AM304)=0,"",AN304-LOOKUP(2,1/(AI304:AM304&lt;&gt;""),AI304:AM304)))</t>
        </is>
      </c>
      <c r="BB304" s="39" t="inlineStr">
        <is>
          <t>IF(OR(F304="",AO304=""),"",IF(COUNT(AI304:AN304)=0,"",AO304-LOOKUP(2,1/(AI304:AN304&lt;&gt;""),AI304:AN304)))</t>
        </is>
      </c>
      <c r="BC304" s="39" t="inlineStr">
        <is>
          <t>IF(OR(F304="",AP304=""),"",IF(COUNT(AI304:AO304)=0,"",AP304-LOOKUP(2,1/(AI304:AO304&lt;&gt;""),AI304:AO304)))</t>
        </is>
      </c>
      <c r="BD304" s="39" t="inlineStr">
        <is>
          <t>IF(OR(F304="",AQ304=""),"",IF(COUNT(AI304:AP304)=0,"",AQ304-LOOKUP(2,1/(AI304:AP304&lt;&gt;""),AI304:AP304)))</t>
        </is>
      </c>
      <c r="BE304" s="39" t="inlineStr">
        <is>
          <t>IF(OR(F304="",AR304=""),"",IF(COUNT(AI304:AQ304)=0,"",AR304-LOOKUP(2,1/(AI304:AQ304&lt;&gt;""),AI304:AQ304)))</t>
        </is>
      </c>
      <c r="BF304" s="39" t="inlineStr">
        <is>
          <t>IF(OR(F304="",AS304=""),"",IF(COUNT(AI304:AR304)=0,"",AS304-LOOKUP(2,1/(AI304:AR304&lt;&gt;""),AI304:AR304)))</t>
        </is>
      </c>
      <c r="BG304" s="39" t="inlineStr">
        <is>
          <t>IF(OR(F304="",AT304=""),"",IF(COUNT(AI304:AS304)=0,"",AT304-LOOKUP(2,1/(AI304:AS304&lt;&gt;""),AI304:AS304)))</t>
        </is>
      </c>
      <c r="BH304" s="39" t="inlineStr">
        <is>
          <t>IF(OR(F304="",AU304=""),"",IF(COUNT(AI304:AT304)=0,"",AU304-LOOKUP(2,1/(AI304:AT304&lt;&gt;""),AI304:AT304)))</t>
        </is>
      </c>
      <c r="BI304" s="39" t="inlineStr">
        <is>
          <t>IF(OR(F304="",AV304=""),"",IF(COUNT(AI304:AU304)=0,"",AV304-LOOKUP(2,1/(AI304:AU304&lt;&gt;""),AI304:AU304)))</t>
        </is>
      </c>
      <c r="BJ304" s="41" t="inlineStr">
        <is>
          <t>IF(J304="","All_Provinces",IFERROR(VLOOKUP(J304,'09_Lookups'!$A$4:$B$20,2,FALSE),"All_Provinces"))</t>
        </is>
      </c>
      <c r="BK304" s="41" t="inlineStr">
        <is>
          <t>IF(K304="","All_Districts",IFERROR(VLOOKUP(K304,'09_Lookups'!$E$4:$F$42,2,FALSE),"All_Districts"))</t>
        </is>
      </c>
    </row>
    <row r="305" ht="18" customHeight="1">
      <c r="A305" s="32" t="inlineStr">
        <is>
          <t>IF(F305="","",ROW()-3)</t>
        </is>
      </c>
      <c r="B305" s="62" t="inlineStr">
        <is>
          <t>AF2-WSM-19</t>
        </is>
      </c>
      <c r="C305" s="62" t="inlineStr">
        <is>
          <t>Package #19-AF2 WSM: Construction of two Check dams 1. Wazgarai and 2. Chenargai in Zazai Maidan districts of Khost province.</t>
        </is>
      </c>
      <c r="D305" s="62" t="inlineStr">
        <is>
          <t>1 of 1</t>
        </is>
      </c>
      <c r="E305" s="57" t="inlineStr">
        <is>
          <t>AF2-WSM-N-006</t>
        </is>
      </c>
      <c r="F305" s="57" t="inlineStr">
        <is>
          <t>Wozgarai and Chenargai Check dams</t>
        </is>
      </c>
      <c r="G305" s="57" t="inlineStr">
        <is>
          <t>Watershed Management</t>
        </is>
      </c>
      <c r="H305" s="57" t="inlineStr">
        <is>
          <t>Check Dam</t>
        </is>
      </c>
      <c r="I305" s="57" t="inlineStr">
        <is>
          <t>Emergency Food Security Project (EFSP) – WBK/AF-2</t>
        </is>
      </c>
      <c r="J305" s="57" t="inlineStr">
        <is>
          <t>Southeast / Gardez</t>
        </is>
      </c>
      <c r="K305" s="57" t="inlineStr">
        <is>
          <t>Khost</t>
        </is>
      </c>
      <c r="L305" s="57" t="inlineStr">
        <is>
          <t>Zazai Maidan</t>
        </is>
      </c>
      <c r="M305" s="57" t="inlineStr">
        <is>
          <t>3.Wozgarai, Majbor Abad and Chenargai</t>
        </is>
      </c>
      <c r="N305" s="57" t="inlineStr">
        <is>
          <t>World Bank (WBK/AF-2)</t>
        </is>
      </c>
      <c r="O305" s="57" t="inlineStr">
        <is>
          <t>Not awarded</t>
        </is>
      </c>
      <c r="P305" s="57" t="inlineStr">
        <is>
          <t>4.WSM remaining contracts</t>
        </is>
      </c>
      <c r="Q305" s="57" t="inlineStr"/>
      <c r="R305" s="57" t="inlineStr"/>
      <c r="S305" s="58" t="n">
        <v>85715.75999999999</v>
      </c>
      <c r="T305" s="36" t="inlineStr">
        <is>
          <t>IF(AQ305="","",AQ305)</t>
        </is>
      </c>
      <c r="U305" s="59" t="n">
        <v>46356</v>
      </c>
      <c r="V305" s="60" t="n">
        <v>6.9</v>
      </c>
      <c r="W305" s="59" t="n">
        <v>46566</v>
      </c>
      <c r="X305" s="36" t="inlineStr">
        <is>
          <t>IF(W305&lt;&gt;"",W305,IF(OR(T305="",V305=""),"",EDATE(T305,V305)))</t>
        </is>
      </c>
      <c r="Y305" s="59" t="n"/>
      <c r="Z305" s="60" t="n"/>
      <c r="AA305" s="57" t="inlineStr">
        <is>
          <t>ITB Launched</t>
        </is>
      </c>
      <c r="AB305" s="57" t="inlineStr">
        <is>
          <t>Construction of the check dam will be completed in four months. Jan to March end as the slack period.</t>
        </is>
      </c>
      <c r="AC305" s="32" t="inlineStr">
        <is>
          <t>IF(F305="","",IF(COUNT(AI305:AV305)=0,IF(AA305="","Not started",AA305),SUBSTITUTE(LOOKUP(2,1/(AI305:AV305&lt;&gt;""),$AI$3:$AV$3),"Date: ","")))</t>
        </is>
      </c>
      <c r="AD305" s="39" t="inlineStr">
        <is>
          <t>IF(OR(F305="",COUNT(AI305:AV305)=0),"",TODAY()-LOOKUP(2,1/(AI305:AV305&lt;&gt;""),AI305:AV305))</t>
        </is>
      </c>
      <c r="AE305" s="39" t="inlineStr">
        <is>
          <t>IF(OR(F305="",COUNT(AI305:AV305)&lt;2),"",LOOKUP(2,1/(AI305:AV305&lt;&gt;""),AI305:AV305)-MIN(AI305:AV305))</t>
        </is>
      </c>
      <c r="AF305" s="39" t="inlineStr">
        <is>
          <t>IF(OR(AD305="",AC305="Not started",AC305=""),"",IFERROR(AD305-IF(VLOOKUP(AC305,'06_Status_Pipeline'!$B$3:$E$20,4,FALSE)="",0,VLOOKUP(AC305,'06_Status_Pipeline'!$B$3:$E$20,4,FALSE)),""))</t>
        </is>
      </c>
      <c r="AG305" s="3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39" t="inlineStr">
        <is>
          <t>IF(OR(F305="",AC305="Completed / Handover",AC305="Cancelled"),"",IF(O305="Not awarded",IF(U305&lt;&gt;"",U305-TODAY(),IF(X305="","",X305-TODAY())),IF(X305="","",X305-TODAY())))</t>
        </is>
      </c>
      <c r="AI305" s="59" t="n"/>
      <c r="AJ305" s="59" t="n"/>
      <c r="AK305" s="59" t="n"/>
      <c r="AL305" s="59" t="n"/>
      <c r="AM305" s="59" t="n"/>
      <c r="AN305" s="59" t="n"/>
      <c r="AO305" s="59" t="n"/>
      <c r="AP305" s="59" t="n"/>
      <c r="AQ305" s="59" t="n"/>
      <c r="AR305" s="59" t="n"/>
      <c r="AS305" s="59" t="n"/>
      <c r="AT305" s="40" t="n"/>
      <c r="AU305" s="40" t="n"/>
      <c r="AV305" s="40" t="n"/>
      <c r="AW305" s="39" t="inlineStr">
        <is>
          <t>IF(OR(F305="",AJ305=""),"",IF(COUNT(AI305:AI305)=0,"",AJ305-LOOKUP(2,1/(AI305:AI305&lt;&gt;""),AI305:AI305)))</t>
        </is>
      </c>
      <c r="AX305" s="39" t="inlineStr">
        <is>
          <t>IF(OR(F305="",AK305=""),"",IF(COUNT(AI305:AJ305)=0,"",AK305-LOOKUP(2,1/(AI305:AJ305&lt;&gt;""),AI305:AJ305)))</t>
        </is>
      </c>
      <c r="AY305" s="39" t="inlineStr">
        <is>
          <t>IF(OR(F305="",AL305=""),"",IF(COUNT(AI305:AK305)=0,"",AL305-LOOKUP(2,1/(AI305:AK305&lt;&gt;""),AI305:AK305)))</t>
        </is>
      </c>
      <c r="AZ305" s="39" t="inlineStr">
        <is>
          <t>IF(OR(F305="",AM305=""),"",IF(COUNT(AI305:AL305)=0,"",AM305-LOOKUP(2,1/(AI305:AL305&lt;&gt;""),AI305:AL305)))</t>
        </is>
      </c>
      <c r="BA305" s="39" t="inlineStr">
        <is>
          <t>IF(OR(F305="",AN305=""),"",IF(COUNT(AI305:AM305)=0,"",AN305-LOOKUP(2,1/(AI305:AM305&lt;&gt;""),AI305:AM305)))</t>
        </is>
      </c>
      <c r="BB305" s="39" t="inlineStr">
        <is>
          <t>IF(OR(F305="",AO305=""),"",IF(COUNT(AI305:AN305)=0,"",AO305-LOOKUP(2,1/(AI305:AN305&lt;&gt;""),AI305:AN305)))</t>
        </is>
      </c>
      <c r="BC305" s="39" t="inlineStr">
        <is>
          <t>IF(OR(F305="",AP305=""),"",IF(COUNT(AI305:AO305)=0,"",AP305-LOOKUP(2,1/(AI305:AO305&lt;&gt;""),AI305:AO305)))</t>
        </is>
      </c>
      <c r="BD305" s="39" t="inlineStr">
        <is>
          <t>IF(OR(F305="",AQ305=""),"",IF(COUNT(AI305:AP305)=0,"",AQ305-LOOKUP(2,1/(AI305:AP305&lt;&gt;""),AI305:AP305)))</t>
        </is>
      </c>
      <c r="BE305" s="39" t="inlineStr">
        <is>
          <t>IF(OR(F305="",AR305=""),"",IF(COUNT(AI305:AQ305)=0,"",AR305-LOOKUP(2,1/(AI305:AQ305&lt;&gt;""),AI305:AQ305)))</t>
        </is>
      </c>
      <c r="BF305" s="39" t="inlineStr">
        <is>
          <t>IF(OR(F305="",AS305=""),"",IF(COUNT(AI305:AR305)=0,"",AS305-LOOKUP(2,1/(AI305:AR305&lt;&gt;""),AI305:AR305)))</t>
        </is>
      </c>
      <c r="BG305" s="39" t="inlineStr">
        <is>
          <t>IF(OR(F305="",AT305=""),"",IF(COUNT(AI305:AS305)=0,"",AT305-LOOKUP(2,1/(AI305:AS305&lt;&gt;""),AI305:AS305)))</t>
        </is>
      </c>
      <c r="BH305" s="39" t="inlineStr">
        <is>
          <t>IF(OR(F305="",AU305=""),"",IF(COUNT(AI305:AT305)=0,"",AU305-LOOKUP(2,1/(AI305:AT305&lt;&gt;""),AI305:AT305)))</t>
        </is>
      </c>
      <c r="BI305" s="39" t="inlineStr">
        <is>
          <t>IF(OR(F305="",AV305=""),"",IF(COUNT(AI305:AU305)=0,"",AV305-LOOKUP(2,1/(AI305:AU305&lt;&gt;""),AI305:AU305)))</t>
        </is>
      </c>
      <c r="BJ305" s="41" t="inlineStr">
        <is>
          <t>IF(J305="","All_Provinces",IFERROR(VLOOKUP(J305,'09_Lookups'!$A$4:$B$20,2,FALSE),"All_Provinces"))</t>
        </is>
      </c>
      <c r="BK305" s="41" t="inlineStr">
        <is>
          <t>IF(K305="","All_Districts",IFERROR(VLOOKUP(K305,'09_Lookups'!$E$4:$F$42,2,FALSE),"All_Districts"))</t>
        </is>
      </c>
    </row>
    <row r="306" ht="18" customHeight="1">
      <c r="A306" s="32" t="inlineStr">
        <is>
          <t>IF(F306="","",ROW()-3)</t>
        </is>
      </c>
      <c r="B306" s="64" t="inlineStr">
        <is>
          <t>AF2-WSM-20</t>
        </is>
      </c>
      <c r="C306" s="64" t="inlineStr">
        <is>
          <t>Package #20-AF2 WSM: Construction of Sapari Check dams, located in Sarubi districts of Paktika province.</t>
        </is>
      </c>
      <c r="D306" s="64" t="inlineStr">
        <is>
          <t>1 of 1</t>
        </is>
      </c>
      <c r="E306" s="34" t="inlineStr">
        <is>
          <t>AF2-WSM-N-007</t>
        </is>
      </c>
      <c r="F306" s="34" t="inlineStr">
        <is>
          <t>Sapari Check dam</t>
        </is>
      </c>
      <c r="G306" s="34" t="inlineStr">
        <is>
          <t>Watershed Management</t>
        </is>
      </c>
      <c r="H306" s="34" t="inlineStr">
        <is>
          <t>Check Dam</t>
        </is>
      </c>
      <c r="I306" s="34" t="inlineStr">
        <is>
          <t>Emergency Food Security Project (EFSP) – WBK/AF-2</t>
        </is>
      </c>
      <c r="J306" s="34" t="inlineStr">
        <is>
          <t>Southeast / Gardez</t>
        </is>
      </c>
      <c r="K306" s="34" t="inlineStr">
        <is>
          <t>Paktika</t>
        </is>
      </c>
      <c r="L306" s="34" t="inlineStr">
        <is>
          <t>Sarubi</t>
        </is>
      </c>
      <c r="M306" s="34" t="inlineStr">
        <is>
          <t>Abas Khil</t>
        </is>
      </c>
      <c r="N306" s="34" t="inlineStr">
        <is>
          <t>World Bank (WBK/AF-2)</t>
        </is>
      </c>
      <c r="O306" s="34" t="inlineStr">
        <is>
          <t>Not awarded</t>
        </is>
      </c>
      <c r="P306" s="34" t="inlineStr">
        <is>
          <t>4.WSM remaining contracts</t>
        </is>
      </c>
      <c r="Q306" s="34" t="inlineStr"/>
      <c r="R306" s="34" t="inlineStr"/>
      <c r="S306" s="35" t="n">
        <v>84683</v>
      </c>
      <c r="T306" s="36" t="inlineStr">
        <is>
          <t>IF(AQ306="","",AQ306)</t>
        </is>
      </c>
      <c r="U306" s="37" t="n">
        <v>46351</v>
      </c>
      <c r="V306" s="38" t="n">
        <v>7.2</v>
      </c>
      <c r="W306" s="37" t="n">
        <v>46571</v>
      </c>
      <c r="X306" s="36" t="inlineStr">
        <is>
          <t>IF(W306&lt;&gt;"",W306,IF(OR(T306="",V306=""),"",EDATE(T306,V306)))</t>
        </is>
      </c>
      <c r="Y306" s="37" t="n"/>
      <c r="Z306" s="38" t="n"/>
      <c r="AA306" s="34" t="inlineStr">
        <is>
          <t>PR to be Raised</t>
        </is>
      </c>
      <c r="AB306" s="34" t="inlineStr">
        <is>
          <t>Construction of the check dam will be completed in four months. Jan to March end as the slack period.</t>
        </is>
      </c>
      <c r="AC306" s="32" t="inlineStr">
        <is>
          <t>IF(F306="","",IF(COUNT(AI306:AV306)=0,IF(AA306="","Not started",AA306),SUBSTITUTE(LOOKUP(2,1/(AI306:AV306&lt;&gt;""),$AI$3:$AV$3),"Date: ","")))</t>
        </is>
      </c>
      <c r="AD306" s="39" t="inlineStr">
        <is>
          <t>IF(OR(F306="",COUNT(AI306:AV306)=0),"",TODAY()-LOOKUP(2,1/(AI306:AV306&lt;&gt;""),AI306:AV306))</t>
        </is>
      </c>
      <c r="AE306" s="39" t="inlineStr">
        <is>
          <t>IF(OR(F306="",COUNT(AI306:AV306)&lt;2),"",LOOKUP(2,1/(AI306:AV306&lt;&gt;""),AI306:AV306)-MIN(AI306:AV306))</t>
        </is>
      </c>
      <c r="AF306" s="39" t="inlineStr">
        <is>
          <t>IF(OR(AD306="",AC306="Not started",AC306=""),"",IFERROR(AD306-IF(VLOOKUP(AC306,'06_Status_Pipeline'!$B$3:$E$20,4,FALSE)="",0,VLOOKUP(AC306,'06_Status_Pipeline'!$B$3:$E$20,4,FALSE)),""))</t>
        </is>
      </c>
      <c r="AG306" s="3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39" t="inlineStr">
        <is>
          <t>IF(OR(F306="",AC306="Completed / Handover",AC306="Cancelled"),"",IF(O306="Not awarded",IF(U306&lt;&gt;"",U306-TODAY(),IF(X306="","",X306-TODAY())),IF(X306="","",X306-TODAY())))</t>
        </is>
      </c>
      <c r="AI306" s="37" t="n"/>
      <c r="AJ306" s="37" t="n"/>
      <c r="AK306" s="37" t="n"/>
      <c r="AL306" s="37" t="n"/>
      <c r="AM306" s="37" t="n"/>
      <c r="AN306" s="37" t="n"/>
      <c r="AO306" s="37" t="n"/>
      <c r="AP306" s="37" t="n"/>
      <c r="AQ306" s="37" t="n"/>
      <c r="AR306" s="37" t="n"/>
      <c r="AS306" s="37" t="n"/>
      <c r="AT306" s="40" t="n"/>
      <c r="AU306" s="40" t="n"/>
      <c r="AV306" s="40" t="n"/>
      <c r="AW306" s="39" t="inlineStr">
        <is>
          <t>IF(OR(F306="",AJ306=""),"",IF(COUNT(AI306:AI306)=0,"",AJ306-LOOKUP(2,1/(AI306:AI306&lt;&gt;""),AI306:AI306)))</t>
        </is>
      </c>
      <c r="AX306" s="39" t="inlineStr">
        <is>
          <t>IF(OR(F306="",AK306=""),"",IF(COUNT(AI306:AJ306)=0,"",AK306-LOOKUP(2,1/(AI306:AJ306&lt;&gt;""),AI306:AJ306)))</t>
        </is>
      </c>
      <c r="AY306" s="39" t="inlineStr">
        <is>
          <t>IF(OR(F306="",AL306=""),"",IF(COUNT(AI306:AK306)=0,"",AL306-LOOKUP(2,1/(AI306:AK306&lt;&gt;""),AI306:AK306)))</t>
        </is>
      </c>
      <c r="AZ306" s="39" t="inlineStr">
        <is>
          <t>IF(OR(F306="",AM306=""),"",IF(COUNT(AI306:AL306)=0,"",AM306-LOOKUP(2,1/(AI306:AL306&lt;&gt;""),AI306:AL306)))</t>
        </is>
      </c>
      <c r="BA306" s="39" t="inlineStr">
        <is>
          <t>IF(OR(F306="",AN306=""),"",IF(COUNT(AI306:AM306)=0,"",AN306-LOOKUP(2,1/(AI306:AM306&lt;&gt;""),AI306:AM306)))</t>
        </is>
      </c>
      <c r="BB306" s="39" t="inlineStr">
        <is>
          <t>IF(OR(F306="",AO306=""),"",IF(COUNT(AI306:AN306)=0,"",AO306-LOOKUP(2,1/(AI306:AN306&lt;&gt;""),AI306:AN306)))</t>
        </is>
      </c>
      <c r="BC306" s="39" t="inlineStr">
        <is>
          <t>IF(OR(F306="",AP306=""),"",IF(COUNT(AI306:AO306)=0,"",AP306-LOOKUP(2,1/(AI306:AO306&lt;&gt;""),AI306:AO306)))</t>
        </is>
      </c>
      <c r="BD306" s="39" t="inlineStr">
        <is>
          <t>IF(OR(F306="",AQ306=""),"",IF(COUNT(AI306:AP306)=0,"",AQ306-LOOKUP(2,1/(AI306:AP306&lt;&gt;""),AI306:AP306)))</t>
        </is>
      </c>
      <c r="BE306" s="39" t="inlineStr">
        <is>
          <t>IF(OR(F306="",AR306=""),"",IF(COUNT(AI306:AQ306)=0,"",AR306-LOOKUP(2,1/(AI306:AQ306&lt;&gt;""),AI306:AQ306)))</t>
        </is>
      </c>
      <c r="BF306" s="39" t="inlineStr">
        <is>
          <t>IF(OR(F306="",AS306=""),"",IF(COUNT(AI306:AR306)=0,"",AS306-LOOKUP(2,1/(AI306:AR306&lt;&gt;""),AI306:AR306)))</t>
        </is>
      </c>
      <c r="BG306" s="39" t="inlineStr">
        <is>
          <t>IF(OR(F306="",AT306=""),"",IF(COUNT(AI306:AS306)=0,"",AT306-LOOKUP(2,1/(AI306:AS306&lt;&gt;""),AI306:AS306)))</t>
        </is>
      </c>
      <c r="BH306" s="39" t="inlineStr">
        <is>
          <t>IF(OR(F306="",AU306=""),"",IF(COUNT(AI306:AT306)=0,"",AU306-LOOKUP(2,1/(AI306:AT306&lt;&gt;""),AI306:AT306)))</t>
        </is>
      </c>
      <c r="BI306" s="39" t="inlineStr">
        <is>
          <t>IF(OR(F306="",AV306=""),"",IF(COUNT(AI306:AU306)=0,"",AV306-LOOKUP(2,1/(AI306:AU306&lt;&gt;""),AI306:AU306)))</t>
        </is>
      </c>
      <c r="BJ306" s="41" t="inlineStr">
        <is>
          <t>IF(J306="","All_Provinces",IFERROR(VLOOKUP(J306,'09_Lookups'!$A$4:$B$20,2,FALSE),"All_Provinces"))</t>
        </is>
      </c>
      <c r="BK306" s="41" t="inlineStr">
        <is>
          <t>IF(K306="","All_Districts",IFERROR(VLOOKUP(K306,'09_Lookups'!$E$4:$F$42,2,FALSE),"All_Districts"))</t>
        </is>
      </c>
    </row>
    <row r="307" ht="18" customHeight="1">
      <c r="A307" s="32" t="inlineStr">
        <is>
          <t>IF(F307="","",ROW()-3)</t>
        </is>
      </c>
      <c r="B307" s="33" t="inlineStr">
        <is>
          <t>AF2-WSM-21</t>
        </is>
      </c>
      <c r="C307" s="33" t="inlineStr">
        <is>
          <t>Package #21-AF2 WSM: Construction of 4 Check Dams 1.Choghazey and 2.Sardarkey in Arghistan, 3. Loy Laher in Spin Boldak and 4.Ab Samad Aka in Takhta Pull districts of Kandahar province.</t>
        </is>
      </c>
      <c r="D307" s="33" t="inlineStr">
        <is>
          <t>1 of 4</t>
        </is>
      </c>
      <c r="E307" s="57" t="inlineStr">
        <is>
          <t>AF2-WSM-A-042</t>
        </is>
      </c>
      <c r="F307" s="57" t="inlineStr">
        <is>
          <t>Ab Samad Aka Check Dam</t>
        </is>
      </c>
      <c r="G307" s="57" t="inlineStr">
        <is>
          <t>Watershed Management</t>
        </is>
      </c>
      <c r="H307" s="57" t="inlineStr">
        <is>
          <t>Check Dam</t>
        </is>
      </c>
      <c r="I307" s="57" t="inlineStr">
        <is>
          <t>Emergency Food Security Project (EFSP) – WBK/AF-2</t>
        </is>
      </c>
      <c r="J307" s="57" t="inlineStr">
        <is>
          <t>South / Kandahar</t>
        </is>
      </c>
      <c r="K307" s="57" t="inlineStr">
        <is>
          <t>Kandahar</t>
        </is>
      </c>
      <c r="L307" s="57" t="inlineStr">
        <is>
          <t>Takhta Pul</t>
        </is>
      </c>
      <c r="M307" s="57" t="inlineStr">
        <is>
          <t>Choghazey</t>
        </is>
      </c>
      <c r="N307" s="57" t="inlineStr">
        <is>
          <t>World Bank (WBK/AF-2)</t>
        </is>
      </c>
      <c r="O307" s="57" t="inlineStr">
        <is>
          <t>Awarded</t>
        </is>
      </c>
      <c r="P307" s="57" t="inlineStr">
        <is>
          <t>3.WSM awarded contracts</t>
        </is>
      </c>
      <c r="Q307" s="57" t="inlineStr">
        <is>
          <t>Bakhter Pairoz Construction Company (BPCC)</t>
        </is>
      </c>
      <c r="R307" s="57" t="inlineStr">
        <is>
          <t>031/2026</t>
        </is>
      </c>
      <c r="S307" s="58" t="n">
        <v>38337.07</v>
      </c>
      <c r="T307" s="36" t="inlineStr">
        <is>
          <t>IF(AQ307="","",AQ307)</t>
        </is>
      </c>
      <c r="U307" s="59" t="n"/>
      <c r="V307" s="60" t="n">
        <v>5</v>
      </c>
      <c r="W307" s="59" t="n">
        <v>46292</v>
      </c>
      <c r="X307" s="36" t="inlineStr">
        <is>
          <t>IF(W307&lt;&gt;"",W307,IF(OR(T307="",V307=""),"",EDATE(T307,V307)))</t>
        </is>
      </c>
      <c r="Y307" s="59" t="n"/>
      <c r="Z307" s="60" t="n">
        <v>10</v>
      </c>
      <c r="AA307" s="57" t="inlineStr">
        <is>
          <t>Under Construction</t>
        </is>
      </c>
      <c r="AB307" s="57" t="inlineStr">
        <is>
          <t>Completed on Sep, 2026</t>
        </is>
      </c>
      <c r="AC307" s="32" t="inlineStr">
        <is>
          <t>IF(F307="","",IF(COUNT(AI307:AV307)=0,IF(AA307="","Not started",AA307),SUBSTITUTE(LOOKUP(2,1/(AI307:AV307&lt;&gt;""),$AI$3:$AV$3),"Date: ","")))</t>
        </is>
      </c>
      <c r="AD307" s="39" t="inlineStr">
        <is>
          <t>IF(OR(F307="",COUNT(AI307:AV307)=0),"",TODAY()-LOOKUP(2,1/(AI307:AV307&lt;&gt;""),AI307:AV307))</t>
        </is>
      </c>
      <c r="AE307" s="39" t="inlineStr">
        <is>
          <t>IF(OR(F307="",COUNT(AI307:AV307)&lt;2),"",LOOKUP(2,1/(AI307:AV307&lt;&gt;""),AI307:AV307)-MIN(AI307:AV307))</t>
        </is>
      </c>
      <c r="AF307" s="39" t="inlineStr">
        <is>
          <t>IF(OR(AD307="",AC307="Not started",AC307=""),"",IFERROR(AD307-IF(VLOOKUP(AC307,'06_Status_Pipeline'!$B$3:$E$20,4,FALSE)="",0,VLOOKUP(AC307,'06_Status_Pipeline'!$B$3:$E$20,4,FALSE)),""))</t>
        </is>
      </c>
      <c r="AG307" s="3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39" t="inlineStr">
        <is>
          <t>IF(OR(F307="",AC307="Completed / Handover",AC307="Cancelled"),"",IF(O307="Not awarded",IF(U307&lt;&gt;"",U307-TODAY(),IF(X307="","",X307-TODAY())),IF(X307="","",X307-TODAY())))</t>
        </is>
      </c>
      <c r="AI307" s="66" t="n"/>
      <c r="AJ307" s="66" t="n"/>
      <c r="AK307" s="66" t="n"/>
      <c r="AL307" s="66" t="n"/>
      <c r="AM307" s="66" t="n"/>
      <c r="AN307" s="66" t="n"/>
      <c r="AO307" s="66" t="n"/>
      <c r="AP307" s="66" t="n"/>
      <c r="AQ307" s="66" t="n">
        <v>46140</v>
      </c>
      <c r="AR307" s="66" t="n">
        <v>46140</v>
      </c>
      <c r="AS307" s="66" t="n"/>
      <c r="AT307" s="40" t="n"/>
      <c r="AU307" s="40" t="n"/>
      <c r="AV307" s="40" t="n"/>
      <c r="AW307" s="39" t="inlineStr">
        <is>
          <t>IF(OR(F307="",AJ307=""),"",IF(COUNT(AI307:AI307)=0,"",AJ307-LOOKUP(2,1/(AI307:AI307&lt;&gt;""),AI307:AI307)))</t>
        </is>
      </c>
      <c r="AX307" s="39" t="inlineStr">
        <is>
          <t>IF(OR(F307="",AK307=""),"",IF(COUNT(AI307:AJ307)=0,"",AK307-LOOKUP(2,1/(AI307:AJ307&lt;&gt;""),AI307:AJ307)))</t>
        </is>
      </c>
      <c r="AY307" s="39" t="inlineStr">
        <is>
          <t>IF(OR(F307="",AL307=""),"",IF(COUNT(AI307:AK307)=0,"",AL307-LOOKUP(2,1/(AI307:AK307&lt;&gt;""),AI307:AK307)))</t>
        </is>
      </c>
      <c r="AZ307" s="39" t="inlineStr">
        <is>
          <t>IF(OR(F307="",AM307=""),"",IF(COUNT(AI307:AL307)=0,"",AM307-LOOKUP(2,1/(AI307:AL307&lt;&gt;""),AI307:AL307)))</t>
        </is>
      </c>
      <c r="BA307" s="39" t="inlineStr">
        <is>
          <t>IF(OR(F307="",AN307=""),"",IF(COUNT(AI307:AM307)=0,"",AN307-LOOKUP(2,1/(AI307:AM307&lt;&gt;""),AI307:AM307)))</t>
        </is>
      </c>
      <c r="BB307" s="39" t="inlineStr">
        <is>
          <t>IF(OR(F307="",AO307=""),"",IF(COUNT(AI307:AN307)=0,"",AO307-LOOKUP(2,1/(AI307:AN307&lt;&gt;""),AI307:AN307)))</t>
        </is>
      </c>
      <c r="BC307" s="39" t="inlineStr">
        <is>
          <t>IF(OR(F307="",AP307=""),"",IF(COUNT(AI307:AO307)=0,"",AP307-LOOKUP(2,1/(AI307:AO307&lt;&gt;""),AI307:AO307)))</t>
        </is>
      </c>
      <c r="BD307" s="39" t="inlineStr">
        <is>
          <t>IF(OR(F307="",AQ307=""),"",IF(COUNT(AI307:AP307)=0,"",AQ307-LOOKUP(2,1/(AI307:AP307&lt;&gt;""),AI307:AP307)))</t>
        </is>
      </c>
      <c r="BE307" s="39" t="inlineStr">
        <is>
          <t>IF(OR(F307="",AR307=""),"",IF(COUNT(AI307:AQ307)=0,"",AR307-LOOKUP(2,1/(AI307:AQ307&lt;&gt;""),AI307:AQ307)))</t>
        </is>
      </c>
      <c r="BF307" s="39" t="inlineStr">
        <is>
          <t>IF(OR(F307="",AS307=""),"",IF(COUNT(AI307:AR307)=0,"",AS307-LOOKUP(2,1/(AI307:AR307&lt;&gt;""),AI307:AR307)))</t>
        </is>
      </c>
      <c r="BG307" s="39" t="inlineStr">
        <is>
          <t>IF(OR(F307="",AT307=""),"",IF(COUNT(AI307:AS307)=0,"",AT307-LOOKUP(2,1/(AI307:AS307&lt;&gt;""),AI307:AS307)))</t>
        </is>
      </c>
      <c r="BH307" s="39" t="inlineStr">
        <is>
          <t>IF(OR(F307="",AU307=""),"",IF(COUNT(AI307:AT307)=0,"",AU307-LOOKUP(2,1/(AI307:AT307&lt;&gt;""),AI307:AT307)))</t>
        </is>
      </c>
      <c r="BI307" s="39" t="inlineStr">
        <is>
          <t>IF(OR(F307="",AV307=""),"",IF(COUNT(AI307:AU307)=0,"",AV307-LOOKUP(2,1/(AI307:AU307&lt;&gt;""),AI307:AU307)))</t>
        </is>
      </c>
      <c r="BJ307" s="41" t="inlineStr">
        <is>
          <t>IF(J307="","All_Provinces",IFERROR(VLOOKUP(J307,'09_Lookups'!$A$4:$B$20,2,FALSE),"All_Provinces"))</t>
        </is>
      </c>
      <c r="BK307" s="41" t="inlineStr">
        <is>
          <t>IF(K307="","All_Districts",IFERROR(VLOOKUP(K307,'09_Lookups'!$E$4:$F$42,2,FALSE),"All_Districts"))</t>
        </is>
      </c>
    </row>
    <row r="308" outlineLevel="1" ht="18" customHeight="1">
      <c r="A308" s="42" t="inlineStr">
        <is>
          <t>IF(F308="","",ROW()-3)</t>
        </is>
      </c>
      <c r="B308" s="43" t="inlineStr">
        <is>
          <t>AF2-WSM-21</t>
        </is>
      </c>
      <c r="C308" s="43" t="inlineStr">
        <is>
          <t>Package #21-AF2 WSM: Construction of 4 Check Dams 1.Choghazey and 2.Sardarkey in Arghistan, 3. Loy Laher in Spin Boldak and 4.Ab Samad Aka in Takhta Pull districts of Kandahar province.</t>
        </is>
      </c>
      <c r="D308" s="43" t="inlineStr">
        <is>
          <t>2 of 4</t>
        </is>
      </c>
      <c r="E308" s="52" t="inlineStr">
        <is>
          <t>AF2-WSM-A-043</t>
        </is>
      </c>
      <c r="F308" s="52" t="inlineStr">
        <is>
          <t>Choghazey Check Dam</t>
        </is>
      </c>
      <c r="G308" s="52" t="inlineStr">
        <is>
          <t>Watershed Management</t>
        </is>
      </c>
      <c r="H308" s="52" t="inlineStr">
        <is>
          <t>Check Dam</t>
        </is>
      </c>
      <c r="I308" s="52" t="inlineStr">
        <is>
          <t>Emergency Food Security Project (EFSP) – WBK/AF-2</t>
        </is>
      </c>
      <c r="J308" s="52" t="inlineStr">
        <is>
          <t>South / Kandahar</t>
        </is>
      </c>
      <c r="K308" s="52" t="inlineStr">
        <is>
          <t>Kandahar</t>
        </is>
      </c>
      <c r="L308" s="52" t="inlineStr">
        <is>
          <t>Arghistan</t>
        </is>
      </c>
      <c r="M308" s="52" t="inlineStr">
        <is>
          <t>Ab Samad Aka</t>
        </is>
      </c>
      <c r="N308" s="52" t="inlineStr">
        <is>
          <t>World Bank (WBK/AF-2)</t>
        </is>
      </c>
      <c r="O308" s="52" t="inlineStr">
        <is>
          <t>Awarded</t>
        </is>
      </c>
      <c r="P308" s="52" t="inlineStr">
        <is>
          <t>3.WSM awarded contracts</t>
        </is>
      </c>
      <c r="Q308" s="52" t="inlineStr">
        <is>
          <t>Bakhter Pairoz Construction Company (BPCC)</t>
        </is>
      </c>
      <c r="R308" s="52" t="inlineStr">
        <is>
          <t>031/2026</t>
        </is>
      </c>
      <c r="S308" s="53" t="n">
        <v>12021.06</v>
      </c>
      <c r="T308" s="46" t="inlineStr">
        <is>
          <t>IF(AQ308="","",AQ308)</t>
        </is>
      </c>
      <c r="U308" s="54" t="n"/>
      <c r="V308" s="55" t="n">
        <v>5</v>
      </c>
      <c r="W308" s="54" t="n">
        <v>46292</v>
      </c>
      <c r="X308" s="46" t="inlineStr">
        <is>
          <t>IF(W308&lt;&gt;"",W308,IF(OR(T308="",V308=""),"",EDATE(T308,V308)))</t>
        </is>
      </c>
      <c r="Y308" s="54" t="n"/>
      <c r="Z308" s="55" t="n">
        <v>100</v>
      </c>
      <c r="AA308" s="52" t="inlineStr">
        <is>
          <t>Completed / Handover</t>
        </is>
      </c>
      <c r="AB308" s="52" t="inlineStr">
        <is>
          <t>Completed on Sep, 2026</t>
        </is>
      </c>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67" t="n"/>
      <c r="AJ308" s="67" t="n"/>
      <c r="AK308" s="67" t="n"/>
      <c r="AL308" s="67" t="n"/>
      <c r="AM308" s="67" t="n"/>
      <c r="AN308" s="67" t="n"/>
      <c r="AO308" s="67" t="n"/>
      <c r="AP308" s="67" t="n"/>
      <c r="AQ308" s="67" t="n">
        <v>46140</v>
      </c>
      <c r="AR308" s="67" t="n">
        <v>46140</v>
      </c>
      <c r="AS308" s="67" t="n">
        <v>46292</v>
      </c>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outlineLevel="1" ht="18" customHeight="1">
      <c r="A309" s="42" t="inlineStr">
        <is>
          <t>IF(F309="","",ROW()-3)</t>
        </is>
      </c>
      <c r="B309" s="43" t="inlineStr">
        <is>
          <t>AF2-WSM-21</t>
        </is>
      </c>
      <c r="C309" s="43" t="inlineStr">
        <is>
          <t>Package #21-AF2 WSM: Construction of 4 Check Dams 1.Choghazey and 2.Sardarkey in Arghistan, 3. Loy Laher in Spin Boldak and 4.Ab Samad Aka in Takhta Pull districts of Kandahar province.</t>
        </is>
      </c>
      <c r="D309" s="43" t="inlineStr">
        <is>
          <t>3 of 4</t>
        </is>
      </c>
      <c r="E309" s="44" t="inlineStr">
        <is>
          <t>AF2-WSM-A-044</t>
        </is>
      </c>
      <c r="F309" s="44" t="inlineStr">
        <is>
          <t>Loy Laher Check Dam</t>
        </is>
      </c>
      <c r="G309" s="44" t="inlineStr">
        <is>
          <t>Watershed Management</t>
        </is>
      </c>
      <c r="H309" s="44" t="inlineStr">
        <is>
          <t>Check Dam</t>
        </is>
      </c>
      <c r="I309" s="44" t="inlineStr">
        <is>
          <t>Emergency Food Security Project (EFSP) – WBK/AF-2</t>
        </is>
      </c>
      <c r="J309" s="44" t="inlineStr">
        <is>
          <t>South / Kandahar</t>
        </is>
      </c>
      <c r="K309" s="44" t="inlineStr">
        <is>
          <t>Kandahar</t>
        </is>
      </c>
      <c r="L309" s="44" t="inlineStr">
        <is>
          <t>Spin Boldak</t>
        </is>
      </c>
      <c r="M309" s="44" t="inlineStr">
        <is>
          <t>Sardarkey</t>
        </is>
      </c>
      <c r="N309" s="44" t="inlineStr">
        <is>
          <t>World Bank (WBK/AF-2)</t>
        </is>
      </c>
      <c r="O309" s="44" t="inlineStr">
        <is>
          <t>Awarded</t>
        </is>
      </c>
      <c r="P309" s="44" t="inlineStr">
        <is>
          <t>3.WSM awarded contracts</t>
        </is>
      </c>
      <c r="Q309" s="44" t="inlineStr">
        <is>
          <t>Bakhter Pairoz Construction Company (BPCC)</t>
        </is>
      </c>
      <c r="R309" s="44" t="inlineStr">
        <is>
          <t>031/2026</t>
        </is>
      </c>
      <c r="S309" s="45" t="n">
        <v>30196.08</v>
      </c>
      <c r="T309" s="46" t="inlineStr">
        <is>
          <t>IF(AQ309="","",AQ309)</t>
        </is>
      </c>
      <c r="U309" s="47" t="n"/>
      <c r="V309" s="48" t="n">
        <v>5</v>
      </c>
      <c r="W309" s="47" t="n">
        <v>46292</v>
      </c>
      <c r="X309" s="46" t="inlineStr">
        <is>
          <t>IF(W309&lt;&gt;"",W309,IF(OR(T309="",V309=""),"",EDATE(T309,V309)))</t>
        </is>
      </c>
      <c r="Y309" s="47" t="n"/>
      <c r="Z309" s="48" t="n">
        <v>15</v>
      </c>
      <c r="AA309" s="44" t="inlineStr">
        <is>
          <t>Under Construction</t>
        </is>
      </c>
      <c r="AB309" s="44" t="inlineStr">
        <is>
          <t>Completed on Sep, 2026</t>
        </is>
      </c>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67" t="n"/>
      <c r="AJ309" s="67" t="n"/>
      <c r="AK309" s="67" t="n"/>
      <c r="AL309" s="67" t="n"/>
      <c r="AM309" s="67" t="n"/>
      <c r="AN309" s="67" t="n"/>
      <c r="AO309" s="67" t="n"/>
      <c r="AP309" s="67" t="n"/>
      <c r="AQ309" s="67" t="n">
        <v>46140</v>
      </c>
      <c r="AR309" s="67" t="n">
        <v>46140</v>
      </c>
      <c r="AS309" s="6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outlineLevel="1" ht="18" customHeight="1">
      <c r="A310" s="42" t="inlineStr">
        <is>
          <t>IF(F310="","",ROW()-3)</t>
        </is>
      </c>
      <c r="B310" s="43" t="inlineStr">
        <is>
          <t>AF2-WSM-21</t>
        </is>
      </c>
      <c r="C310" s="43" t="inlineStr">
        <is>
          <t>Package #21-AF2 WSM: Construction of 4 Check Dams 1.Choghazey and 2.Sardarkey in Arghistan, 3. Loy Laher in Spin Boldak and 4.Ab Samad Aka in Takhta Pull districts of Kandahar province.</t>
        </is>
      </c>
      <c r="D310" s="43" t="inlineStr">
        <is>
          <t>4 of 4</t>
        </is>
      </c>
      <c r="E310" s="52" t="inlineStr">
        <is>
          <t>AF2-WSM-A-045</t>
        </is>
      </c>
      <c r="F310" s="52" t="inlineStr">
        <is>
          <t>Sardarkey Check Dam</t>
        </is>
      </c>
      <c r="G310" s="52" t="inlineStr">
        <is>
          <t>Watershed Management</t>
        </is>
      </c>
      <c r="H310" s="52" t="inlineStr">
        <is>
          <t>Check Dam</t>
        </is>
      </c>
      <c r="I310" s="52" t="inlineStr">
        <is>
          <t>Emergency Food Security Project (EFSP) – WBK/AF-2</t>
        </is>
      </c>
      <c r="J310" s="52" t="inlineStr">
        <is>
          <t>South / Kandahar</t>
        </is>
      </c>
      <c r="K310" s="52" t="inlineStr">
        <is>
          <t>Kandahar</t>
        </is>
      </c>
      <c r="L310" s="52" t="inlineStr">
        <is>
          <t>Arghistan</t>
        </is>
      </c>
      <c r="M310" s="52" t="inlineStr">
        <is>
          <t>Loy Laher</t>
        </is>
      </c>
      <c r="N310" s="52" t="inlineStr">
        <is>
          <t>World Bank (WBK/AF-2)</t>
        </is>
      </c>
      <c r="O310" s="52" t="inlineStr">
        <is>
          <t>Awarded</t>
        </is>
      </c>
      <c r="P310" s="52" t="inlineStr">
        <is>
          <t>3.WSM awarded contracts</t>
        </is>
      </c>
      <c r="Q310" s="52" t="inlineStr">
        <is>
          <t>Bakhter Pairoz Construction Company (BPCC)</t>
        </is>
      </c>
      <c r="R310" s="52" t="inlineStr">
        <is>
          <t>031/2026</t>
        </is>
      </c>
      <c r="S310" s="53" t="n">
        <v>34095.16</v>
      </c>
      <c r="T310" s="46" t="inlineStr">
        <is>
          <t>IF(AQ310="","",AQ310)</t>
        </is>
      </c>
      <c r="U310" s="54" t="n"/>
      <c r="V310" s="55" t="n">
        <v>5</v>
      </c>
      <c r="W310" s="54" t="n">
        <v>46292</v>
      </c>
      <c r="X310" s="46" t="inlineStr">
        <is>
          <t>IF(W310&lt;&gt;"",W310,IF(OR(T310="",V310=""),"",EDATE(T310,V310)))</t>
        </is>
      </c>
      <c r="Y310" s="54" t="n"/>
      <c r="Z310" s="55" t="n">
        <v>95</v>
      </c>
      <c r="AA310" s="52" t="inlineStr">
        <is>
          <t>Under Construction</t>
        </is>
      </c>
      <c r="AB310" s="52" t="inlineStr">
        <is>
          <t>Completed on Sep, 2026</t>
        </is>
      </c>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67" t="n"/>
      <c r="AJ310" s="67" t="n"/>
      <c r="AK310" s="67" t="n"/>
      <c r="AL310" s="67" t="n"/>
      <c r="AM310" s="67" t="n"/>
      <c r="AN310" s="67" t="n"/>
      <c r="AO310" s="67" t="n"/>
      <c r="AP310" s="67" t="n"/>
      <c r="AQ310" s="67" t="n">
        <v>46140</v>
      </c>
      <c r="AR310" s="67" t="n">
        <v>46140</v>
      </c>
      <c r="AS310" s="67"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32" t="inlineStr">
        <is>
          <t>IF(F311="","",ROW()-3)</t>
        </is>
      </c>
      <c r="B311" s="56" t="inlineStr">
        <is>
          <t>AF2-WSM-22</t>
        </is>
      </c>
      <c r="C311" s="56" t="inlineStr">
        <is>
          <t>Package #22-AF2 WSM: Construction of 5 Check dams 1.Kocni Karez , 2.By Khosh , 3. Ghul Khani, 4. Chy Dara in Ghorak district , and 5. Khanjak Mastan Aka in Nesh district of Kandahar province.</t>
        </is>
      </c>
      <c r="D311" s="56" t="inlineStr">
        <is>
          <t>1 of 5</t>
        </is>
      </c>
      <c r="E311" s="57" t="inlineStr">
        <is>
          <t>AF2-WSM-N-008</t>
        </is>
      </c>
      <c r="F311" s="57" t="inlineStr">
        <is>
          <t>By Khosh Dara Check Dam</t>
        </is>
      </c>
      <c r="G311" s="57" t="inlineStr">
        <is>
          <t>Watershed Management</t>
        </is>
      </c>
      <c r="H311" s="57" t="inlineStr">
        <is>
          <t>Check Dam</t>
        </is>
      </c>
      <c r="I311" s="57" t="inlineStr">
        <is>
          <t>Emergency Food Security Project (EFSP) – WBK/AF-2</t>
        </is>
      </c>
      <c r="J311" s="57" t="inlineStr">
        <is>
          <t>South / Kandahar</t>
        </is>
      </c>
      <c r="K311" s="57" t="inlineStr">
        <is>
          <t>Kandahar</t>
        </is>
      </c>
      <c r="L311" s="57" t="inlineStr">
        <is>
          <t>Ghorak</t>
        </is>
      </c>
      <c r="M311" s="57" t="inlineStr">
        <is>
          <t>By Khosh Village</t>
        </is>
      </c>
      <c r="N311" s="57" t="inlineStr">
        <is>
          <t>World Bank (WBK/AF-2)</t>
        </is>
      </c>
      <c r="O311" s="57" t="inlineStr">
        <is>
          <t>Not awarded</t>
        </is>
      </c>
      <c r="P311" s="57" t="inlineStr">
        <is>
          <t>4.WSM remaining contracts</t>
        </is>
      </c>
      <c r="Q311" s="57" t="inlineStr"/>
      <c r="R311" s="57" t="inlineStr"/>
      <c r="S311" s="58" t="n">
        <v>135000</v>
      </c>
      <c r="T311" s="36" t="inlineStr">
        <is>
          <t>IF(AQ311="","",AQ311)</t>
        </is>
      </c>
      <c r="U311" s="59" t="n">
        <v>46356</v>
      </c>
      <c r="V311" s="60" t="n">
        <v>5.9</v>
      </c>
      <c r="W311" s="59" t="n">
        <v>46536</v>
      </c>
      <c r="X311" s="36" t="inlineStr">
        <is>
          <t>IF(W311&lt;&gt;"",W311,IF(OR(T311="",V311=""),"",EDATE(T311,V311)))</t>
        </is>
      </c>
      <c r="Y311" s="59" t="n"/>
      <c r="Z311" s="60" t="n"/>
      <c r="AA311" s="57" t="inlineStr">
        <is>
          <t>Under Design</t>
        </is>
      </c>
      <c r="AB311" s="57" t="inlineStr">
        <is>
          <t>Technical clearance is expected to receive at end October. PR raised and ITB launched by the first week of November and award of contract by the end of November. Construction period for six months</t>
        </is>
      </c>
      <c r="AC311" s="32" t="inlineStr">
        <is>
          <t>IF(F311="","",IF(COUNT(AI311:AV311)=0,IF(AA311="","Not started",AA311),SUBSTITUTE(LOOKUP(2,1/(AI311:AV311&lt;&gt;""),$AI$3:$AV$3),"Date: ","")))</t>
        </is>
      </c>
      <c r="AD311" s="39" t="inlineStr">
        <is>
          <t>IF(OR(F311="",COUNT(AI311:AV311)=0),"",TODAY()-LOOKUP(2,1/(AI311:AV311&lt;&gt;""),AI311:AV311))</t>
        </is>
      </c>
      <c r="AE311" s="39" t="inlineStr">
        <is>
          <t>IF(OR(F311="",COUNT(AI311:AV311)&lt;2),"",LOOKUP(2,1/(AI311:AV311&lt;&gt;""),AI311:AV311)-MIN(AI311:AV311))</t>
        </is>
      </c>
      <c r="AF311" s="39" t="inlineStr">
        <is>
          <t>IF(OR(AD311="",AC311="Not started",AC311=""),"",IFERROR(AD311-IF(VLOOKUP(AC311,'06_Status_Pipeline'!$B$3:$E$20,4,FALSE)="",0,VLOOKUP(AC311,'06_Status_Pipeline'!$B$3:$E$20,4,FALSE)),""))</t>
        </is>
      </c>
      <c r="AG311" s="3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39" t="inlineStr">
        <is>
          <t>IF(OR(F311="",AC311="Completed / Handover",AC311="Cancelled"),"",IF(O311="Not awarded",IF(U311&lt;&gt;"",U311-TODAY(),IF(X311="","",X311-TODAY())),IF(X311="","",X311-TODAY())))</t>
        </is>
      </c>
      <c r="AI311" s="59" t="n"/>
      <c r="AJ311" s="59" t="n"/>
      <c r="AK311" s="59" t="n"/>
      <c r="AL311" s="59" t="n"/>
      <c r="AM311" s="59" t="n"/>
      <c r="AN311" s="59" t="n"/>
      <c r="AO311" s="59" t="n"/>
      <c r="AP311" s="59" t="n"/>
      <c r="AQ311" s="59" t="n"/>
      <c r="AR311" s="59" t="n"/>
      <c r="AS311" s="59" t="n"/>
      <c r="AT311" s="40" t="n"/>
      <c r="AU311" s="40" t="n"/>
      <c r="AV311" s="40" t="n"/>
      <c r="AW311" s="39" t="inlineStr">
        <is>
          <t>IF(OR(F311="",AJ311=""),"",IF(COUNT(AI311:AI311)=0,"",AJ311-LOOKUP(2,1/(AI311:AI311&lt;&gt;""),AI311:AI311)))</t>
        </is>
      </c>
      <c r="AX311" s="39" t="inlineStr">
        <is>
          <t>IF(OR(F311="",AK311=""),"",IF(COUNT(AI311:AJ311)=0,"",AK311-LOOKUP(2,1/(AI311:AJ311&lt;&gt;""),AI311:AJ311)))</t>
        </is>
      </c>
      <c r="AY311" s="39" t="inlineStr">
        <is>
          <t>IF(OR(F311="",AL311=""),"",IF(COUNT(AI311:AK311)=0,"",AL311-LOOKUP(2,1/(AI311:AK311&lt;&gt;""),AI311:AK311)))</t>
        </is>
      </c>
      <c r="AZ311" s="39" t="inlineStr">
        <is>
          <t>IF(OR(F311="",AM311=""),"",IF(COUNT(AI311:AL311)=0,"",AM311-LOOKUP(2,1/(AI311:AL311&lt;&gt;""),AI311:AL311)))</t>
        </is>
      </c>
      <c r="BA311" s="39" t="inlineStr">
        <is>
          <t>IF(OR(F311="",AN311=""),"",IF(COUNT(AI311:AM311)=0,"",AN311-LOOKUP(2,1/(AI311:AM311&lt;&gt;""),AI311:AM311)))</t>
        </is>
      </c>
      <c r="BB311" s="39" t="inlineStr">
        <is>
          <t>IF(OR(F311="",AO311=""),"",IF(COUNT(AI311:AN311)=0,"",AO311-LOOKUP(2,1/(AI311:AN311&lt;&gt;""),AI311:AN311)))</t>
        </is>
      </c>
      <c r="BC311" s="39" t="inlineStr">
        <is>
          <t>IF(OR(F311="",AP311=""),"",IF(COUNT(AI311:AO311)=0,"",AP311-LOOKUP(2,1/(AI311:AO311&lt;&gt;""),AI311:AO311)))</t>
        </is>
      </c>
      <c r="BD311" s="39" t="inlineStr">
        <is>
          <t>IF(OR(F311="",AQ311=""),"",IF(COUNT(AI311:AP311)=0,"",AQ311-LOOKUP(2,1/(AI311:AP311&lt;&gt;""),AI311:AP311)))</t>
        </is>
      </c>
      <c r="BE311" s="39" t="inlineStr">
        <is>
          <t>IF(OR(F311="",AR311=""),"",IF(COUNT(AI311:AQ311)=0,"",AR311-LOOKUP(2,1/(AI311:AQ311&lt;&gt;""),AI311:AQ311)))</t>
        </is>
      </c>
      <c r="BF311" s="39" t="inlineStr">
        <is>
          <t>IF(OR(F311="",AS311=""),"",IF(COUNT(AI311:AR311)=0,"",AS311-LOOKUP(2,1/(AI311:AR311&lt;&gt;""),AI311:AR311)))</t>
        </is>
      </c>
      <c r="BG311" s="39" t="inlineStr">
        <is>
          <t>IF(OR(F311="",AT311=""),"",IF(COUNT(AI311:AS311)=0,"",AT311-LOOKUP(2,1/(AI311:AS311&lt;&gt;""),AI311:AS311)))</t>
        </is>
      </c>
      <c r="BH311" s="39" t="inlineStr">
        <is>
          <t>IF(OR(F311="",AU311=""),"",IF(COUNT(AI311:AT311)=0,"",AU311-LOOKUP(2,1/(AI311:AT311&lt;&gt;""),AI311:AT311)))</t>
        </is>
      </c>
      <c r="BI311" s="39" t="inlineStr">
        <is>
          <t>IF(OR(F311="",AV311=""),"",IF(COUNT(AI311:AU311)=0,"",AV311-LOOKUP(2,1/(AI311:AU311&lt;&gt;""),AI311:AU311)))</t>
        </is>
      </c>
      <c r="BJ311" s="41" t="inlineStr">
        <is>
          <t>IF(J311="","All_Provinces",IFERROR(VLOOKUP(J311,'09_Lookups'!$A$4:$B$20,2,FALSE),"All_Provinces"))</t>
        </is>
      </c>
      <c r="BK311" s="41" t="inlineStr">
        <is>
          <t>IF(K311="","All_Districts",IFERROR(VLOOKUP(K311,'09_Lookups'!$E$4:$F$42,2,FALSE),"All_Districts"))</t>
        </is>
      </c>
    </row>
    <row r="312" outlineLevel="1" ht="18" customHeight="1">
      <c r="A312" s="42" t="inlineStr">
        <is>
          <t>IF(F312="","",ROW()-3)</t>
        </is>
      </c>
      <c r="B312" s="61" t="inlineStr">
        <is>
          <t>AF2-WSM-22</t>
        </is>
      </c>
      <c r="C312" s="61" t="inlineStr">
        <is>
          <t>Package #22-AF2 WSM: Construction of 5 Check dams 1.Kocni Karez , 2.By Khosh , 3. Ghul Khani, 4. Chy Dara in Ghorak district , and 5. Khanjak Mastan Aka in Nesh district of Kandahar province.</t>
        </is>
      </c>
      <c r="D312" s="61" t="inlineStr">
        <is>
          <t>2 of 5</t>
        </is>
      </c>
      <c r="E312" s="52" t="inlineStr">
        <is>
          <t>AF2-WSM-N-009</t>
        </is>
      </c>
      <c r="F312" s="52" t="inlineStr">
        <is>
          <t>Chy Dara Check Dam</t>
        </is>
      </c>
      <c r="G312" s="52" t="inlineStr">
        <is>
          <t>Watershed Management</t>
        </is>
      </c>
      <c r="H312" s="52" t="inlineStr">
        <is>
          <t>Check Dam</t>
        </is>
      </c>
      <c r="I312" s="52" t="inlineStr">
        <is>
          <t>Emergency Food Security Project (EFSP) – WBK/AF-2</t>
        </is>
      </c>
      <c r="J312" s="52" t="inlineStr">
        <is>
          <t>South / Kandahar</t>
        </is>
      </c>
      <c r="K312" s="52" t="inlineStr">
        <is>
          <t>Kandahar</t>
        </is>
      </c>
      <c r="L312" s="52" t="inlineStr">
        <is>
          <t>Ghorak</t>
        </is>
      </c>
      <c r="M312" s="52" t="inlineStr">
        <is>
          <t>Chy dar Village</t>
        </is>
      </c>
      <c r="N312" s="52" t="inlineStr">
        <is>
          <t>World Bank (WBK/AF-2)</t>
        </is>
      </c>
      <c r="O312" s="52" t="inlineStr">
        <is>
          <t>Not awarded</t>
        </is>
      </c>
      <c r="P312" s="52" t="inlineStr">
        <is>
          <t>4.WSM remaining contracts</t>
        </is>
      </c>
      <c r="Q312" s="52" t="inlineStr"/>
      <c r="R312" s="52" t="inlineStr"/>
      <c r="S312" s="53" t="n">
        <v>135000</v>
      </c>
      <c r="T312" s="46" t="inlineStr">
        <is>
          <t>IF(AQ312="","",AQ312)</t>
        </is>
      </c>
      <c r="U312" s="54" t="n">
        <v>46356</v>
      </c>
      <c r="V312" s="55" t="n">
        <v>5.9</v>
      </c>
      <c r="W312" s="54" t="n">
        <v>46536</v>
      </c>
      <c r="X312" s="46" t="inlineStr">
        <is>
          <t>IF(W312&lt;&gt;"",W312,IF(OR(T312="",V312=""),"",EDATE(T312,V312)))</t>
        </is>
      </c>
      <c r="Y312" s="54" t="n"/>
      <c r="Z312" s="55" t="n"/>
      <c r="AA312" s="52" t="inlineStr">
        <is>
          <t>Under Design</t>
        </is>
      </c>
      <c r="AB312" s="52" t="inlineStr">
        <is>
          <t>Technical clearance is expected to receive at end October. PR raised and ITB launched by the first week of November and award of contract by the end of November. Construction period for six months</t>
        </is>
      </c>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outlineLevel="1" ht="18" customHeight="1">
      <c r="A313" s="42" t="inlineStr">
        <is>
          <t>IF(F313="","",ROW()-3)</t>
        </is>
      </c>
      <c r="B313" s="61" t="inlineStr">
        <is>
          <t>AF2-WSM-22</t>
        </is>
      </c>
      <c r="C313" s="61" t="inlineStr">
        <is>
          <t>Package #22-AF2 WSM: Construction of 5 Check dams 1.Kocni Karez , 2.By Khosh , 3. Ghul Khani, 4. Chy Dara in Ghorak district , and 5. Khanjak Mastan Aka in Nesh district of Kandahar province.</t>
        </is>
      </c>
      <c r="D313" s="61" t="inlineStr">
        <is>
          <t>3 of 5</t>
        </is>
      </c>
      <c r="E313" s="44" t="inlineStr">
        <is>
          <t>AF2-WSM-N-010</t>
        </is>
      </c>
      <c r="F313" s="44" t="inlineStr">
        <is>
          <t>Ghul Khani Dara Check Dam</t>
        </is>
      </c>
      <c r="G313" s="44" t="inlineStr">
        <is>
          <t>Watershed Management</t>
        </is>
      </c>
      <c r="H313" s="44" t="inlineStr">
        <is>
          <t>Check Dam</t>
        </is>
      </c>
      <c r="I313" s="44" t="inlineStr">
        <is>
          <t>Emergency Food Security Project (EFSP) – WBK/AF-2</t>
        </is>
      </c>
      <c r="J313" s="44" t="inlineStr">
        <is>
          <t>South / Kandahar</t>
        </is>
      </c>
      <c r="K313" s="44" t="inlineStr">
        <is>
          <t>Kandahar</t>
        </is>
      </c>
      <c r="L313" s="44" t="inlineStr">
        <is>
          <t>Ghorak</t>
        </is>
      </c>
      <c r="M313" s="44" t="inlineStr">
        <is>
          <t>Ghul Khani Village</t>
        </is>
      </c>
      <c r="N313" s="44" t="inlineStr">
        <is>
          <t>World Bank (WBK/AF-2)</t>
        </is>
      </c>
      <c r="O313" s="44" t="inlineStr">
        <is>
          <t>Not awarded</t>
        </is>
      </c>
      <c r="P313" s="44" t="inlineStr">
        <is>
          <t>4.WSM remaining contracts</t>
        </is>
      </c>
      <c r="Q313" s="44" t="inlineStr"/>
      <c r="R313" s="44" t="inlineStr"/>
      <c r="S313" s="45" t="n">
        <v>135000</v>
      </c>
      <c r="T313" s="46" t="inlineStr">
        <is>
          <t>IF(AQ313="","",AQ313)</t>
        </is>
      </c>
      <c r="U313" s="47" t="n">
        <v>46356</v>
      </c>
      <c r="V313" s="48" t="n">
        <v>5.9</v>
      </c>
      <c r="W313" s="47" t="n">
        <v>46536</v>
      </c>
      <c r="X313" s="46" t="inlineStr">
        <is>
          <t>IF(W313&lt;&gt;"",W313,IF(OR(T313="",V313=""),"",EDATE(T313,V313)))</t>
        </is>
      </c>
      <c r="Y313" s="47" t="n"/>
      <c r="Z313" s="48" t="n"/>
      <c r="AA313" s="44" t="inlineStr">
        <is>
          <t>Under Design</t>
        </is>
      </c>
      <c r="AB313" s="44" t="inlineStr">
        <is>
          <t>Technical clearance is expected to receive at end October. PR raised and ITB launched by the first week of November and award of contract by the end of November. Construction period for six months</t>
        </is>
      </c>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outlineLevel="1" ht="18" customHeight="1">
      <c r="A314" s="42" t="inlineStr">
        <is>
          <t>IF(F314="","",ROW()-3)</t>
        </is>
      </c>
      <c r="B314" s="61" t="inlineStr">
        <is>
          <t>AF2-WSM-22</t>
        </is>
      </c>
      <c r="C314" s="61" t="inlineStr">
        <is>
          <t>Package #22-AF2 WSM: Construction of 5 Check dams 1.Kocni Karez , 2.By Khosh , 3. Ghul Khani, 4. Chy Dara in Ghorak district , and 5. Khanjak Mastan Aka in Nesh district of Kandahar province.</t>
        </is>
      </c>
      <c r="D314" s="61" t="inlineStr">
        <is>
          <t>4 of 5</t>
        </is>
      </c>
      <c r="E314" s="52" t="inlineStr">
        <is>
          <t>AF2-WSM-N-011</t>
        </is>
      </c>
      <c r="F314" s="52" t="inlineStr">
        <is>
          <t>Khanjak Check Dam</t>
        </is>
      </c>
      <c r="G314" s="52" t="inlineStr">
        <is>
          <t>Watershed Management</t>
        </is>
      </c>
      <c r="H314" s="52" t="inlineStr">
        <is>
          <t>Check Dam</t>
        </is>
      </c>
      <c r="I314" s="52" t="inlineStr">
        <is>
          <t>Emergency Food Security Project (EFSP) – WBK/AF-2</t>
        </is>
      </c>
      <c r="J314" s="52" t="inlineStr">
        <is>
          <t>South / Kandahar</t>
        </is>
      </c>
      <c r="K314" s="52" t="inlineStr">
        <is>
          <t>Kandahar</t>
        </is>
      </c>
      <c r="L314" s="52" t="inlineStr">
        <is>
          <t>Nesh</t>
        </is>
      </c>
      <c r="M314" s="52" t="inlineStr">
        <is>
          <t>Khanjak Mastan Aka</t>
        </is>
      </c>
      <c r="N314" s="52" t="inlineStr">
        <is>
          <t>World Bank (WBK/AF-2)</t>
        </is>
      </c>
      <c r="O314" s="52" t="inlineStr">
        <is>
          <t>Not awarded</t>
        </is>
      </c>
      <c r="P314" s="52" t="inlineStr">
        <is>
          <t>4.WSM remaining contracts</t>
        </is>
      </c>
      <c r="Q314" s="52" t="inlineStr"/>
      <c r="R314" s="52" t="inlineStr"/>
      <c r="S314" s="53" t="n">
        <v>135000</v>
      </c>
      <c r="T314" s="46" t="inlineStr">
        <is>
          <t>IF(AQ314="","",AQ314)</t>
        </is>
      </c>
      <c r="U314" s="54" t="n">
        <v>46356</v>
      </c>
      <c r="V314" s="55" t="n">
        <v>5.9</v>
      </c>
      <c r="W314" s="54" t="n">
        <v>46536</v>
      </c>
      <c r="X314" s="46" t="inlineStr">
        <is>
          <t>IF(W314&lt;&gt;"",W314,IF(OR(T314="",V314=""),"",EDATE(T314,V314)))</t>
        </is>
      </c>
      <c r="Y314" s="54" t="n"/>
      <c r="Z314" s="55" t="n"/>
      <c r="AA314" s="52" t="inlineStr">
        <is>
          <t>Under Design</t>
        </is>
      </c>
      <c r="AB314" s="52" t="inlineStr">
        <is>
          <t>Technical clearance is expected to receive at end October. PR raised and ITB launched by the first week of November and award of contract by the end of November. Construction period for six months</t>
        </is>
      </c>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outlineLevel="1" ht="18" customHeight="1">
      <c r="A315" s="42" t="inlineStr">
        <is>
          <t>IF(F315="","",ROW()-3)</t>
        </is>
      </c>
      <c r="B315" s="61" t="inlineStr">
        <is>
          <t>AF2-WSM-22</t>
        </is>
      </c>
      <c r="C315" s="61" t="inlineStr">
        <is>
          <t>Package #22-AF2 WSM: Construction of 5 Check dams 1.Kocni Karez , 2.By Khosh , 3. Ghul Khani, 4. Chy Dara in Ghorak district , and 5. Khanjak Mastan Aka in Nesh district of Kandahar province.</t>
        </is>
      </c>
      <c r="D315" s="61" t="inlineStr">
        <is>
          <t>5 of 5</t>
        </is>
      </c>
      <c r="E315" s="44" t="inlineStr">
        <is>
          <t>AF2-WSM-N-012</t>
        </is>
      </c>
      <c r="F315" s="44" t="inlineStr">
        <is>
          <t>Kocni Karez Check Dam</t>
        </is>
      </c>
      <c r="G315" s="44" t="inlineStr">
        <is>
          <t>Watershed Management</t>
        </is>
      </c>
      <c r="H315" s="44" t="inlineStr">
        <is>
          <t>Karez Rehabilitation</t>
        </is>
      </c>
      <c r="I315" s="44" t="inlineStr">
        <is>
          <t>Emergency Food Security Project (EFSP) – WBK/AF-2</t>
        </is>
      </c>
      <c r="J315" s="44" t="inlineStr">
        <is>
          <t>South / Kandahar</t>
        </is>
      </c>
      <c r="K315" s="44" t="inlineStr">
        <is>
          <t>Kandahar</t>
        </is>
      </c>
      <c r="L315" s="44" t="inlineStr">
        <is>
          <t>Ghorak</t>
        </is>
      </c>
      <c r="M315" s="44" t="inlineStr">
        <is>
          <t>Kocni Karez Village</t>
        </is>
      </c>
      <c r="N315" s="44" t="inlineStr">
        <is>
          <t>World Bank (WBK/AF-2)</t>
        </is>
      </c>
      <c r="O315" s="44" t="inlineStr">
        <is>
          <t>Not awarded</t>
        </is>
      </c>
      <c r="P315" s="44" t="inlineStr">
        <is>
          <t>4.WSM remaining contracts</t>
        </is>
      </c>
      <c r="Q315" s="44" t="inlineStr"/>
      <c r="R315" s="44" t="inlineStr"/>
      <c r="S315" s="45" t="n">
        <v>135000</v>
      </c>
      <c r="T315" s="46" t="inlineStr">
        <is>
          <t>IF(AQ315="","",AQ315)</t>
        </is>
      </c>
      <c r="U315" s="47" t="n">
        <v>46356</v>
      </c>
      <c r="V315" s="48" t="n">
        <v>5.9</v>
      </c>
      <c r="W315" s="47" t="n">
        <v>46536</v>
      </c>
      <c r="X315" s="46" t="inlineStr">
        <is>
          <t>IF(W315&lt;&gt;"",W315,IF(OR(T315="",V315=""),"",EDATE(T315,V315)))</t>
        </is>
      </c>
      <c r="Y315" s="47" t="n"/>
      <c r="Z315" s="48" t="n"/>
      <c r="AA315" s="44" t="inlineStr">
        <is>
          <t>Under Design</t>
        </is>
      </c>
      <c r="AB315" s="44" t="inlineStr">
        <is>
          <t>Technical clearance is expected to receive at end October. PR raised and ITB launched by the first week of November and award of contract by the end of November. Construction period for six months</t>
        </is>
      </c>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32" t="inlineStr">
        <is>
          <t>IF(F316="","",ROW()-3)</t>
        </is>
      </c>
      <c r="B316" s="62" t="inlineStr">
        <is>
          <t>AF2-WSM-23</t>
        </is>
      </c>
      <c r="C316" s="62" t="inlineStr">
        <is>
          <t>Package #23-AF2 WSM: Construction of 1,Payazak, 2.Sharak, 3.Khairtot, and 4. Mula Hanifiya Check Dams, located in Shawalikot district of Kandahar province.</t>
        </is>
      </c>
      <c r="D316" s="62" t="inlineStr">
        <is>
          <t>1 of 4</t>
        </is>
      </c>
      <c r="E316" s="34" t="inlineStr">
        <is>
          <t>AF2-WSM-A-046</t>
        </is>
      </c>
      <c r="F316" s="34" t="inlineStr">
        <is>
          <t>Khairtot Check Dam</t>
        </is>
      </c>
      <c r="G316" s="34" t="inlineStr">
        <is>
          <t>Watershed Management</t>
        </is>
      </c>
      <c r="H316" s="34" t="inlineStr">
        <is>
          <t>Check Dam</t>
        </is>
      </c>
      <c r="I316" s="34" t="inlineStr">
        <is>
          <t>Emergency Food Security Project (EFSP) – WBK/AF-2</t>
        </is>
      </c>
      <c r="J316" s="34" t="inlineStr">
        <is>
          <t>South / Kandahar</t>
        </is>
      </c>
      <c r="K316" s="34" t="inlineStr">
        <is>
          <t>Kandahar</t>
        </is>
      </c>
      <c r="L316" s="34" t="inlineStr">
        <is>
          <t>Shawalikot</t>
        </is>
      </c>
      <c r="M316" s="34" t="inlineStr">
        <is>
          <t>Khairtot</t>
        </is>
      </c>
      <c r="N316" s="34" t="inlineStr">
        <is>
          <t>World Bank (WBK/AF-2)</t>
        </is>
      </c>
      <c r="O316" s="34" t="inlineStr">
        <is>
          <t>Awarded</t>
        </is>
      </c>
      <c r="P316" s="34" t="inlineStr">
        <is>
          <t>3.WSM awarded contracts</t>
        </is>
      </c>
      <c r="Q316" s="34" t="inlineStr">
        <is>
          <t>Afghan Laser Engineering and Construction Company (ALCC)</t>
        </is>
      </c>
      <c r="R316" s="34" t="inlineStr">
        <is>
          <t>057/2026</t>
        </is>
      </c>
      <c r="S316" s="35" t="n">
        <v>34668.62</v>
      </c>
      <c r="T316" s="36" t="inlineStr">
        <is>
          <t>IF(AQ316="","",AQ316)</t>
        </is>
      </c>
      <c r="U316" s="37" t="n"/>
      <c r="V316" s="38" t="n">
        <v>5</v>
      </c>
      <c r="W316" s="37" t="n">
        <v>46079</v>
      </c>
      <c r="X316" s="36" t="inlineStr">
        <is>
          <t>IF(W316&lt;&gt;"",W316,IF(OR(T316="",V316=""),"",EDATE(T316,V316)))</t>
        </is>
      </c>
      <c r="Y316" s="37" t="n"/>
      <c r="Z316" s="38" t="n">
        <v>0</v>
      </c>
      <c r="AA316" s="34" t="inlineStr">
        <is>
          <t>Awarded</t>
        </is>
      </c>
      <c r="AB316" s="34" t="inlineStr">
        <is>
          <t>Completed on Sep, 2026</t>
        </is>
      </c>
      <c r="AC316" s="32" t="inlineStr">
        <is>
          <t>IF(F316="","",IF(COUNT(AI316:AV316)=0,IF(AA316="","Not started",AA316),SUBSTITUTE(LOOKUP(2,1/(AI316:AV316&lt;&gt;""),$AI$3:$AV$3),"Date: ","")))</t>
        </is>
      </c>
      <c r="AD316" s="39" t="inlineStr">
        <is>
          <t>IF(OR(F316="",COUNT(AI316:AV316)=0),"",TODAY()-LOOKUP(2,1/(AI316:AV316&lt;&gt;""),AI316:AV316))</t>
        </is>
      </c>
      <c r="AE316" s="39" t="inlineStr">
        <is>
          <t>IF(OR(F316="",COUNT(AI316:AV316)&lt;2),"",LOOKUP(2,1/(AI316:AV316&lt;&gt;""),AI316:AV316)-MIN(AI316:AV316))</t>
        </is>
      </c>
      <c r="AF316" s="39" t="inlineStr">
        <is>
          <t>IF(OR(AD316="",AC316="Not started",AC316=""),"",IFERROR(AD316-IF(VLOOKUP(AC316,'06_Status_Pipeline'!$B$3:$E$20,4,FALSE)="",0,VLOOKUP(AC316,'06_Status_Pipeline'!$B$3:$E$20,4,FALSE)),""))</t>
        </is>
      </c>
      <c r="AG316" s="3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39" t="inlineStr">
        <is>
          <t>IF(OR(F316="",AC316="Completed / Handover",AC316="Cancelled"),"",IF(O316="Not awarded",IF(U316&lt;&gt;"",U316-TODAY(),IF(X316="","",X316-TODAY())),IF(X316="","",X316-TODAY())))</t>
        </is>
      </c>
      <c r="AI316" s="66" t="n"/>
      <c r="AJ316" s="66" t="n"/>
      <c r="AK316" s="66" t="n"/>
      <c r="AL316" s="66" t="n"/>
      <c r="AM316" s="66" t="n"/>
      <c r="AN316" s="66" t="n"/>
      <c r="AO316" s="66" t="n"/>
      <c r="AP316" s="66" t="n"/>
      <c r="AQ316" s="66" t="n">
        <v>46261</v>
      </c>
      <c r="AR316" s="66" t="n"/>
      <c r="AS316" s="66" t="n"/>
      <c r="AT316" s="40" t="n"/>
      <c r="AU316" s="40" t="n"/>
      <c r="AV316" s="40" t="n"/>
      <c r="AW316" s="39" t="inlineStr">
        <is>
          <t>IF(OR(F316="",AJ316=""),"",IF(COUNT(AI316:AI316)=0,"",AJ316-LOOKUP(2,1/(AI316:AI316&lt;&gt;""),AI316:AI316)))</t>
        </is>
      </c>
      <c r="AX316" s="39" t="inlineStr">
        <is>
          <t>IF(OR(F316="",AK316=""),"",IF(COUNT(AI316:AJ316)=0,"",AK316-LOOKUP(2,1/(AI316:AJ316&lt;&gt;""),AI316:AJ316)))</t>
        </is>
      </c>
      <c r="AY316" s="39" t="inlineStr">
        <is>
          <t>IF(OR(F316="",AL316=""),"",IF(COUNT(AI316:AK316)=0,"",AL316-LOOKUP(2,1/(AI316:AK316&lt;&gt;""),AI316:AK316)))</t>
        </is>
      </c>
      <c r="AZ316" s="39" t="inlineStr">
        <is>
          <t>IF(OR(F316="",AM316=""),"",IF(COUNT(AI316:AL316)=0,"",AM316-LOOKUP(2,1/(AI316:AL316&lt;&gt;""),AI316:AL316)))</t>
        </is>
      </c>
      <c r="BA316" s="39" t="inlineStr">
        <is>
          <t>IF(OR(F316="",AN316=""),"",IF(COUNT(AI316:AM316)=0,"",AN316-LOOKUP(2,1/(AI316:AM316&lt;&gt;""),AI316:AM316)))</t>
        </is>
      </c>
      <c r="BB316" s="39" t="inlineStr">
        <is>
          <t>IF(OR(F316="",AO316=""),"",IF(COUNT(AI316:AN316)=0,"",AO316-LOOKUP(2,1/(AI316:AN316&lt;&gt;""),AI316:AN316)))</t>
        </is>
      </c>
      <c r="BC316" s="39" t="inlineStr">
        <is>
          <t>IF(OR(F316="",AP316=""),"",IF(COUNT(AI316:AO316)=0,"",AP316-LOOKUP(2,1/(AI316:AO316&lt;&gt;""),AI316:AO316)))</t>
        </is>
      </c>
      <c r="BD316" s="39" t="inlineStr">
        <is>
          <t>IF(OR(F316="",AQ316=""),"",IF(COUNT(AI316:AP316)=0,"",AQ316-LOOKUP(2,1/(AI316:AP316&lt;&gt;""),AI316:AP316)))</t>
        </is>
      </c>
      <c r="BE316" s="39" t="inlineStr">
        <is>
          <t>IF(OR(F316="",AR316=""),"",IF(COUNT(AI316:AQ316)=0,"",AR316-LOOKUP(2,1/(AI316:AQ316&lt;&gt;""),AI316:AQ316)))</t>
        </is>
      </c>
      <c r="BF316" s="39" t="inlineStr">
        <is>
          <t>IF(OR(F316="",AS316=""),"",IF(COUNT(AI316:AR316)=0,"",AS316-LOOKUP(2,1/(AI316:AR316&lt;&gt;""),AI316:AR316)))</t>
        </is>
      </c>
      <c r="BG316" s="39" t="inlineStr">
        <is>
          <t>IF(OR(F316="",AT316=""),"",IF(COUNT(AI316:AS316)=0,"",AT316-LOOKUP(2,1/(AI316:AS316&lt;&gt;""),AI316:AS316)))</t>
        </is>
      </c>
      <c r="BH316" s="39" t="inlineStr">
        <is>
          <t>IF(OR(F316="",AU316=""),"",IF(COUNT(AI316:AT316)=0,"",AU316-LOOKUP(2,1/(AI316:AT316&lt;&gt;""),AI316:AT316)))</t>
        </is>
      </c>
      <c r="BI316" s="39" t="inlineStr">
        <is>
          <t>IF(OR(F316="",AV316=""),"",IF(COUNT(AI316:AU316)=0,"",AV316-LOOKUP(2,1/(AI316:AU316&lt;&gt;""),AI316:AU316)))</t>
        </is>
      </c>
      <c r="BJ316" s="41" t="inlineStr">
        <is>
          <t>IF(J316="","All_Provinces",IFERROR(VLOOKUP(J316,'09_Lookups'!$A$4:$B$20,2,FALSE),"All_Provinces"))</t>
        </is>
      </c>
      <c r="BK316" s="41" t="inlineStr">
        <is>
          <t>IF(K316="","All_Districts",IFERROR(VLOOKUP(K316,'09_Lookups'!$E$4:$F$42,2,FALSE),"All_Districts"))</t>
        </is>
      </c>
    </row>
    <row r="317" outlineLevel="1" ht="18" customHeight="1">
      <c r="A317" s="42" t="inlineStr">
        <is>
          <t>IF(F317="","",ROW()-3)</t>
        </is>
      </c>
      <c r="B317" s="63" t="inlineStr">
        <is>
          <t>AF2-WSM-23</t>
        </is>
      </c>
      <c r="C317" s="63" t="inlineStr">
        <is>
          <t>Package #23-AF2 WSM: Construction of 1,Payazak, 2.Sharak, 3.Khairtot, and 4. Mula Hanifiya Check Dams, located in Shawalikot district of Kandahar province.</t>
        </is>
      </c>
      <c r="D317" s="63" t="inlineStr">
        <is>
          <t>2 of 4</t>
        </is>
      </c>
      <c r="E317" s="44" t="inlineStr">
        <is>
          <t>AF2-WSM-A-047</t>
        </is>
      </c>
      <c r="F317" s="44" t="inlineStr">
        <is>
          <t>Mula Hanifiya Check Dam</t>
        </is>
      </c>
      <c r="G317" s="44" t="inlineStr">
        <is>
          <t>Watershed Management</t>
        </is>
      </c>
      <c r="H317" s="44" t="inlineStr">
        <is>
          <t>Check Dam</t>
        </is>
      </c>
      <c r="I317" s="44" t="inlineStr">
        <is>
          <t>Emergency Food Security Project (EFSP) – WBK/AF-2</t>
        </is>
      </c>
      <c r="J317" s="44" t="inlineStr">
        <is>
          <t>South / Kandahar</t>
        </is>
      </c>
      <c r="K317" s="44" t="inlineStr">
        <is>
          <t>Kandahar</t>
        </is>
      </c>
      <c r="L317" s="44" t="inlineStr">
        <is>
          <t>Shawalikot</t>
        </is>
      </c>
      <c r="M317" s="44" t="inlineStr">
        <is>
          <t>Mula Hanifiya</t>
        </is>
      </c>
      <c r="N317" s="44" t="inlineStr">
        <is>
          <t>World Bank (WBK/AF-2)</t>
        </is>
      </c>
      <c r="O317" s="44" t="inlineStr">
        <is>
          <t>Awarded</t>
        </is>
      </c>
      <c r="P317" s="44" t="inlineStr">
        <is>
          <t>3.WSM awarded contracts</t>
        </is>
      </c>
      <c r="Q317" s="44" t="inlineStr">
        <is>
          <t>Afghan Laser Engineering and Construction Company (ALCC)</t>
        </is>
      </c>
      <c r="R317" s="44" t="inlineStr">
        <is>
          <t>057/2026</t>
        </is>
      </c>
      <c r="S317" s="45" t="n">
        <v>27314.98</v>
      </c>
      <c r="T317" s="46" t="inlineStr">
        <is>
          <t>IF(AQ317="","",AQ317)</t>
        </is>
      </c>
      <c r="U317" s="47" t="n"/>
      <c r="V317" s="48" t="n">
        <v>5</v>
      </c>
      <c r="W317" s="47" t="n">
        <v>46079</v>
      </c>
      <c r="X317" s="46" t="inlineStr">
        <is>
          <t>IF(W317&lt;&gt;"",W317,IF(OR(T317="",V317=""),"",EDATE(T317,V317)))</t>
        </is>
      </c>
      <c r="Y317" s="47" t="n"/>
      <c r="Z317" s="48" t="n">
        <v>0</v>
      </c>
      <c r="AA317" s="44" t="inlineStr">
        <is>
          <t>Awarded</t>
        </is>
      </c>
      <c r="AB317" s="44" t="inlineStr">
        <is>
          <t>Completed on Sep, 2026</t>
        </is>
      </c>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67" t="n"/>
      <c r="AJ317" s="67" t="n"/>
      <c r="AK317" s="67" t="n"/>
      <c r="AL317" s="67" t="n"/>
      <c r="AM317" s="67" t="n"/>
      <c r="AN317" s="67" t="n"/>
      <c r="AO317" s="67" t="n"/>
      <c r="AP317" s="67" t="n"/>
      <c r="AQ317" s="67" t="n">
        <v>46261</v>
      </c>
      <c r="AR317" s="67" t="n"/>
      <c r="AS317" s="6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outlineLevel="1" ht="18" customHeight="1">
      <c r="A318" s="42" t="inlineStr">
        <is>
          <t>IF(F318="","",ROW()-3)</t>
        </is>
      </c>
      <c r="B318" s="63" t="inlineStr">
        <is>
          <t>AF2-WSM-23</t>
        </is>
      </c>
      <c r="C318" s="63" t="inlineStr">
        <is>
          <t>Package #23-AF2 WSM: Construction of 1,Payazak, 2.Sharak, 3.Khairtot, and 4. Mula Hanifiya Check Dams, located in Shawalikot district of Kandahar province.</t>
        </is>
      </c>
      <c r="D318" s="63" t="inlineStr">
        <is>
          <t>3 of 4</t>
        </is>
      </c>
      <c r="E318" s="52" t="inlineStr">
        <is>
          <t>AF2-WSM-A-048</t>
        </is>
      </c>
      <c r="F318" s="52" t="inlineStr">
        <is>
          <t>Payazak Check Dam</t>
        </is>
      </c>
      <c r="G318" s="52" t="inlineStr">
        <is>
          <t>Watershed Management</t>
        </is>
      </c>
      <c r="H318" s="52" t="inlineStr">
        <is>
          <t>Check Dam</t>
        </is>
      </c>
      <c r="I318" s="52" t="inlineStr">
        <is>
          <t>Emergency Food Security Project (EFSP) – WBK/AF-2</t>
        </is>
      </c>
      <c r="J318" s="52" t="inlineStr">
        <is>
          <t>South / Kandahar</t>
        </is>
      </c>
      <c r="K318" s="52" t="inlineStr">
        <is>
          <t>Kandahar</t>
        </is>
      </c>
      <c r="L318" s="52" t="inlineStr">
        <is>
          <t>Shawalikot</t>
        </is>
      </c>
      <c r="M318" s="52" t="inlineStr">
        <is>
          <t>Payazak</t>
        </is>
      </c>
      <c r="N318" s="52" t="inlineStr">
        <is>
          <t>World Bank (WBK/AF-2)</t>
        </is>
      </c>
      <c r="O318" s="52" t="inlineStr">
        <is>
          <t>Awarded</t>
        </is>
      </c>
      <c r="P318" s="52" t="inlineStr">
        <is>
          <t>3.WSM awarded contracts</t>
        </is>
      </c>
      <c r="Q318" s="52" t="inlineStr">
        <is>
          <t>Afghan Laser Engineering and Construction Company (ALCC)</t>
        </is>
      </c>
      <c r="R318" s="52" t="inlineStr">
        <is>
          <t>057/2026</t>
        </is>
      </c>
      <c r="S318" s="53" t="n">
        <v>28065.1</v>
      </c>
      <c r="T318" s="46" t="inlineStr">
        <is>
          <t>IF(AQ318="","",AQ318)</t>
        </is>
      </c>
      <c r="U318" s="54" t="n"/>
      <c r="V318" s="55" t="n">
        <v>5</v>
      </c>
      <c r="W318" s="54" t="n">
        <v>46079</v>
      </c>
      <c r="X318" s="46" t="inlineStr">
        <is>
          <t>IF(W318&lt;&gt;"",W318,IF(OR(T318="",V318=""),"",EDATE(T318,V318)))</t>
        </is>
      </c>
      <c r="Y318" s="54" t="n"/>
      <c r="Z318" s="55" t="n">
        <v>0</v>
      </c>
      <c r="AA318" s="52" t="inlineStr">
        <is>
          <t>Awarded</t>
        </is>
      </c>
      <c r="AB318" s="52" t="inlineStr">
        <is>
          <t>Completed on Sep, 2026</t>
        </is>
      </c>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67" t="n"/>
      <c r="AJ318" s="67" t="n"/>
      <c r="AK318" s="67" t="n"/>
      <c r="AL318" s="67" t="n"/>
      <c r="AM318" s="67" t="n"/>
      <c r="AN318" s="67" t="n"/>
      <c r="AO318" s="67" t="n"/>
      <c r="AP318" s="67" t="n"/>
      <c r="AQ318" s="67" t="n">
        <v>46261</v>
      </c>
      <c r="AR318" s="67" t="n"/>
      <c r="AS318" s="67"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outlineLevel="1" ht="18" customHeight="1">
      <c r="A319" s="42" t="inlineStr">
        <is>
          <t>IF(F319="","",ROW()-3)</t>
        </is>
      </c>
      <c r="B319" s="63" t="inlineStr">
        <is>
          <t>AF2-WSM-23</t>
        </is>
      </c>
      <c r="C319" s="63" t="inlineStr">
        <is>
          <t>Package #23-AF2 WSM: Construction of 1,Payazak, 2.Sharak, 3.Khairtot, and 4. Mula Hanifiya Check Dams, located in Shawalikot district of Kandahar province.</t>
        </is>
      </c>
      <c r="D319" s="63" t="inlineStr">
        <is>
          <t>4 of 4</t>
        </is>
      </c>
      <c r="E319" s="44" t="inlineStr">
        <is>
          <t>AF2-WSM-A-049</t>
        </is>
      </c>
      <c r="F319" s="44" t="inlineStr">
        <is>
          <t>Sharak Check Dam</t>
        </is>
      </c>
      <c r="G319" s="44" t="inlineStr">
        <is>
          <t>Watershed Management</t>
        </is>
      </c>
      <c r="H319" s="44" t="inlineStr">
        <is>
          <t>Check Dam</t>
        </is>
      </c>
      <c r="I319" s="44" t="inlineStr">
        <is>
          <t>Emergency Food Security Project (EFSP) – WBK/AF-2</t>
        </is>
      </c>
      <c r="J319" s="44" t="inlineStr">
        <is>
          <t>South / Kandahar</t>
        </is>
      </c>
      <c r="K319" s="44" t="inlineStr">
        <is>
          <t>Kandahar</t>
        </is>
      </c>
      <c r="L319" s="44" t="inlineStr">
        <is>
          <t>Shawalikot</t>
        </is>
      </c>
      <c r="M319" s="44" t="inlineStr">
        <is>
          <t>Sharak</t>
        </is>
      </c>
      <c r="N319" s="44" t="inlineStr">
        <is>
          <t>World Bank (WBK/AF-2)</t>
        </is>
      </c>
      <c r="O319" s="44" t="inlineStr">
        <is>
          <t>Awarded</t>
        </is>
      </c>
      <c r="P319" s="44" t="inlineStr">
        <is>
          <t>3.WSM awarded contracts</t>
        </is>
      </c>
      <c r="Q319" s="44" t="inlineStr">
        <is>
          <t>Afghan Laser Engineering and Construction Company (ALCC)</t>
        </is>
      </c>
      <c r="R319" s="44" t="inlineStr">
        <is>
          <t>057/2026</t>
        </is>
      </c>
      <c r="S319" s="45" t="n">
        <v>34142.26</v>
      </c>
      <c r="T319" s="46" t="inlineStr">
        <is>
          <t>IF(AQ319="","",AQ319)</t>
        </is>
      </c>
      <c r="U319" s="47" t="n"/>
      <c r="V319" s="48" t="n">
        <v>5</v>
      </c>
      <c r="W319" s="47" t="n">
        <v>46079</v>
      </c>
      <c r="X319" s="46" t="inlineStr">
        <is>
          <t>IF(W319&lt;&gt;"",W319,IF(OR(T319="",V319=""),"",EDATE(T319,V319)))</t>
        </is>
      </c>
      <c r="Y319" s="47" t="n"/>
      <c r="Z319" s="48" t="n">
        <v>0</v>
      </c>
      <c r="AA319" s="44" t="inlineStr">
        <is>
          <t>Awarded</t>
        </is>
      </c>
      <c r="AB319" s="44" t="inlineStr">
        <is>
          <t>Completed on Sep, 2026</t>
        </is>
      </c>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67" t="n"/>
      <c r="AJ319" s="67" t="n"/>
      <c r="AK319" s="67" t="n"/>
      <c r="AL319" s="67" t="n"/>
      <c r="AM319" s="67" t="n"/>
      <c r="AN319" s="67" t="n"/>
      <c r="AO319" s="67" t="n"/>
      <c r="AP319" s="67" t="n"/>
      <c r="AQ319" s="67" t="n">
        <v>46261</v>
      </c>
      <c r="AR319" s="67" t="n"/>
      <c r="AS319" s="6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32" t="inlineStr">
        <is>
          <t>IF(F320="","",ROW()-3)</t>
        </is>
      </c>
      <c r="B320" s="64" t="inlineStr">
        <is>
          <t>AF2-WSM-24</t>
        </is>
      </c>
      <c r="C320" s="64" t="inlineStr">
        <is>
          <t>Package #24-AF2 WSM: Construction of 5 Check dams 1. Kashata Tangi, 2. Forodi, 3. Valary in Nawzad district, 4.Band Khawanin, and 5.Tykhoghi in Washer district of Helmand province.</t>
        </is>
      </c>
      <c r="D320" s="64" t="inlineStr">
        <is>
          <t>1 of 5</t>
        </is>
      </c>
      <c r="E320" s="34" t="inlineStr">
        <is>
          <t>AF2-WSM-N-013</t>
        </is>
      </c>
      <c r="F320" s="34" t="inlineStr">
        <is>
          <t>Band Khawanin check dam</t>
        </is>
      </c>
      <c r="G320" s="34" t="inlineStr">
        <is>
          <t>Watershed Management</t>
        </is>
      </c>
      <c r="H320" s="34" t="inlineStr">
        <is>
          <t>Check Dam</t>
        </is>
      </c>
      <c r="I320" s="34" t="inlineStr">
        <is>
          <t>Emergency Food Security Project (EFSP) – WBK/AF-2</t>
        </is>
      </c>
      <c r="J320" s="34" t="inlineStr">
        <is>
          <t>South / Kandahar</t>
        </is>
      </c>
      <c r="K320" s="34" t="inlineStr">
        <is>
          <t>Helmand</t>
        </is>
      </c>
      <c r="L320" s="34" t="inlineStr">
        <is>
          <t>Washer</t>
        </is>
      </c>
      <c r="M320" s="34" t="inlineStr">
        <is>
          <t>Shaposhta Village</t>
        </is>
      </c>
      <c r="N320" s="34" t="inlineStr">
        <is>
          <t>World Bank (WBK/AF-2)</t>
        </is>
      </c>
      <c r="O320" s="34" t="inlineStr">
        <is>
          <t>Not awarded</t>
        </is>
      </c>
      <c r="P320" s="34" t="inlineStr">
        <is>
          <t>4.WSM remaining contracts</t>
        </is>
      </c>
      <c r="Q320" s="34" t="inlineStr"/>
      <c r="R320" s="34" t="inlineStr"/>
      <c r="S320" s="35" t="n">
        <v>125000</v>
      </c>
      <c r="T320" s="36" t="inlineStr">
        <is>
          <t>IF(AQ320="","",AQ320)</t>
        </is>
      </c>
      <c r="U320" s="37" t="n">
        <v>46359</v>
      </c>
      <c r="V320" s="38" t="n">
        <v>5.9</v>
      </c>
      <c r="W320" s="37" t="n">
        <v>46539</v>
      </c>
      <c r="X320" s="36" t="inlineStr">
        <is>
          <t>IF(W320&lt;&gt;"",W320,IF(OR(T320="",V320=""),"",EDATE(T320,V320)))</t>
        </is>
      </c>
      <c r="Y320" s="37" t="n"/>
      <c r="Z320" s="38" t="n"/>
      <c r="AA320" s="34" t="inlineStr">
        <is>
          <t>Under Design</t>
        </is>
      </c>
      <c r="AB320" s="34" t="inlineStr">
        <is>
          <t>Technical clearance is expected to receive at first week of November. PR raised and ITB launched by the second week of November and award of contract by the first week of December. Construction period for six months</t>
        </is>
      </c>
      <c r="AC320" s="32" t="inlineStr">
        <is>
          <t>IF(F320="","",IF(COUNT(AI320:AV320)=0,IF(AA320="","Not started",AA320),SUBSTITUTE(LOOKUP(2,1/(AI320:AV320&lt;&gt;""),$AI$3:$AV$3),"Date: ","")))</t>
        </is>
      </c>
      <c r="AD320" s="39" t="inlineStr">
        <is>
          <t>IF(OR(F320="",COUNT(AI320:AV320)=0),"",TODAY()-LOOKUP(2,1/(AI320:AV320&lt;&gt;""),AI320:AV320))</t>
        </is>
      </c>
      <c r="AE320" s="39" t="inlineStr">
        <is>
          <t>IF(OR(F320="",COUNT(AI320:AV320)&lt;2),"",LOOKUP(2,1/(AI320:AV320&lt;&gt;""),AI320:AV320)-MIN(AI320:AV320))</t>
        </is>
      </c>
      <c r="AF320" s="39" t="inlineStr">
        <is>
          <t>IF(OR(AD320="",AC320="Not started",AC320=""),"",IFERROR(AD320-IF(VLOOKUP(AC320,'06_Status_Pipeline'!$B$3:$E$20,4,FALSE)="",0,VLOOKUP(AC320,'06_Status_Pipeline'!$B$3:$E$20,4,FALSE)),""))</t>
        </is>
      </c>
      <c r="AG320" s="3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39" t="inlineStr">
        <is>
          <t>IF(OR(F320="",AC320="Completed / Handover",AC320="Cancelled"),"",IF(O320="Not awarded",IF(U320&lt;&gt;"",U320-TODAY(),IF(X320="","",X320-TODAY())),IF(X320="","",X320-TODAY())))</t>
        </is>
      </c>
      <c r="AI320" s="37" t="n"/>
      <c r="AJ320" s="37" t="n"/>
      <c r="AK320" s="37" t="n"/>
      <c r="AL320" s="37" t="n"/>
      <c r="AM320" s="37" t="n"/>
      <c r="AN320" s="37" t="n"/>
      <c r="AO320" s="37" t="n"/>
      <c r="AP320" s="37" t="n"/>
      <c r="AQ320" s="37" t="n"/>
      <c r="AR320" s="37" t="n"/>
      <c r="AS320" s="37" t="n"/>
      <c r="AT320" s="40" t="n"/>
      <c r="AU320" s="40" t="n"/>
      <c r="AV320" s="40" t="n"/>
      <c r="AW320" s="39" t="inlineStr">
        <is>
          <t>IF(OR(F320="",AJ320=""),"",IF(COUNT(AI320:AI320)=0,"",AJ320-LOOKUP(2,1/(AI320:AI320&lt;&gt;""),AI320:AI320)))</t>
        </is>
      </c>
      <c r="AX320" s="39" t="inlineStr">
        <is>
          <t>IF(OR(F320="",AK320=""),"",IF(COUNT(AI320:AJ320)=0,"",AK320-LOOKUP(2,1/(AI320:AJ320&lt;&gt;""),AI320:AJ320)))</t>
        </is>
      </c>
      <c r="AY320" s="39" t="inlineStr">
        <is>
          <t>IF(OR(F320="",AL320=""),"",IF(COUNT(AI320:AK320)=0,"",AL320-LOOKUP(2,1/(AI320:AK320&lt;&gt;""),AI320:AK320)))</t>
        </is>
      </c>
      <c r="AZ320" s="39" t="inlineStr">
        <is>
          <t>IF(OR(F320="",AM320=""),"",IF(COUNT(AI320:AL320)=0,"",AM320-LOOKUP(2,1/(AI320:AL320&lt;&gt;""),AI320:AL320)))</t>
        </is>
      </c>
      <c r="BA320" s="39" t="inlineStr">
        <is>
          <t>IF(OR(F320="",AN320=""),"",IF(COUNT(AI320:AM320)=0,"",AN320-LOOKUP(2,1/(AI320:AM320&lt;&gt;""),AI320:AM320)))</t>
        </is>
      </c>
      <c r="BB320" s="39" t="inlineStr">
        <is>
          <t>IF(OR(F320="",AO320=""),"",IF(COUNT(AI320:AN320)=0,"",AO320-LOOKUP(2,1/(AI320:AN320&lt;&gt;""),AI320:AN320)))</t>
        </is>
      </c>
      <c r="BC320" s="39" t="inlineStr">
        <is>
          <t>IF(OR(F320="",AP320=""),"",IF(COUNT(AI320:AO320)=0,"",AP320-LOOKUP(2,1/(AI320:AO320&lt;&gt;""),AI320:AO320)))</t>
        </is>
      </c>
      <c r="BD320" s="39" t="inlineStr">
        <is>
          <t>IF(OR(F320="",AQ320=""),"",IF(COUNT(AI320:AP320)=0,"",AQ320-LOOKUP(2,1/(AI320:AP320&lt;&gt;""),AI320:AP320)))</t>
        </is>
      </c>
      <c r="BE320" s="39" t="inlineStr">
        <is>
          <t>IF(OR(F320="",AR320=""),"",IF(COUNT(AI320:AQ320)=0,"",AR320-LOOKUP(2,1/(AI320:AQ320&lt;&gt;""),AI320:AQ320)))</t>
        </is>
      </c>
      <c r="BF320" s="39" t="inlineStr">
        <is>
          <t>IF(OR(F320="",AS320=""),"",IF(COUNT(AI320:AR320)=0,"",AS320-LOOKUP(2,1/(AI320:AR320&lt;&gt;""),AI320:AR320)))</t>
        </is>
      </c>
      <c r="BG320" s="39" t="inlineStr">
        <is>
          <t>IF(OR(F320="",AT320=""),"",IF(COUNT(AI320:AS320)=0,"",AT320-LOOKUP(2,1/(AI320:AS320&lt;&gt;""),AI320:AS320)))</t>
        </is>
      </c>
      <c r="BH320" s="39" t="inlineStr">
        <is>
          <t>IF(OR(F320="",AU320=""),"",IF(COUNT(AI320:AT320)=0,"",AU320-LOOKUP(2,1/(AI320:AT320&lt;&gt;""),AI320:AT320)))</t>
        </is>
      </c>
      <c r="BI320" s="39" t="inlineStr">
        <is>
          <t>IF(OR(F320="",AV320=""),"",IF(COUNT(AI320:AU320)=0,"",AV320-LOOKUP(2,1/(AI320:AU320&lt;&gt;""),AI320:AU320)))</t>
        </is>
      </c>
      <c r="BJ320" s="41" t="inlineStr">
        <is>
          <t>IF(J320="","All_Provinces",IFERROR(VLOOKUP(J320,'09_Lookups'!$A$4:$B$20,2,FALSE),"All_Provinces"))</t>
        </is>
      </c>
      <c r="BK320" s="41" t="inlineStr">
        <is>
          <t>IF(K320="","All_Districts",IFERROR(VLOOKUP(K320,'09_Lookups'!$E$4:$F$42,2,FALSE),"All_Districts"))</t>
        </is>
      </c>
    </row>
    <row r="321" outlineLevel="1" ht="18" customHeight="1">
      <c r="A321" s="42" t="inlineStr">
        <is>
          <t>IF(F321="","",ROW()-3)</t>
        </is>
      </c>
      <c r="B321" s="65" t="inlineStr">
        <is>
          <t>AF2-WSM-24</t>
        </is>
      </c>
      <c r="C321" s="65" t="inlineStr">
        <is>
          <t>Package #24-AF2 WSM: Construction of 5 Check dams 1. Kashata Tangi, 2. Forodi, 3. Valary in Nawzad district, 4.Band Khawanin, and 5.Tykhoghi in Washer district of Helmand province.</t>
        </is>
      </c>
      <c r="D321" s="65" t="inlineStr">
        <is>
          <t>2 of 5</t>
        </is>
      </c>
      <c r="E321" s="44" t="inlineStr">
        <is>
          <t>AF2-WSM-N-014</t>
        </is>
      </c>
      <c r="F321" s="44" t="inlineStr">
        <is>
          <t>Forodi Check Dam</t>
        </is>
      </c>
      <c r="G321" s="44" t="inlineStr">
        <is>
          <t>Watershed Management</t>
        </is>
      </c>
      <c r="H321" s="44" t="inlineStr">
        <is>
          <t>Check Dam</t>
        </is>
      </c>
      <c r="I321" s="44" t="inlineStr">
        <is>
          <t>Emergency Food Security Project (EFSP) – WBK/AF-2</t>
        </is>
      </c>
      <c r="J321" s="44" t="inlineStr">
        <is>
          <t>South / Kandahar</t>
        </is>
      </c>
      <c r="K321" s="44" t="inlineStr">
        <is>
          <t>Helmand</t>
        </is>
      </c>
      <c r="L321" s="44" t="inlineStr">
        <is>
          <t>Nawzad</t>
        </is>
      </c>
      <c r="M321" s="44" t="inlineStr">
        <is>
          <t>Zoroji Village</t>
        </is>
      </c>
      <c r="N321" s="44" t="inlineStr">
        <is>
          <t>World Bank (WBK/AF-2)</t>
        </is>
      </c>
      <c r="O321" s="44" t="inlineStr">
        <is>
          <t>Not awarded</t>
        </is>
      </c>
      <c r="P321" s="44" t="inlineStr">
        <is>
          <t>4.WSM remaining contracts</t>
        </is>
      </c>
      <c r="Q321" s="44" t="inlineStr"/>
      <c r="R321" s="44" t="inlineStr"/>
      <c r="S321" s="45" t="n">
        <v>125000</v>
      </c>
      <c r="T321" s="46" t="inlineStr">
        <is>
          <t>IF(AQ321="","",AQ321)</t>
        </is>
      </c>
      <c r="U321" s="47" t="n">
        <v>46359</v>
      </c>
      <c r="V321" s="48" t="n">
        <v>5.9</v>
      </c>
      <c r="W321" s="47" t="n">
        <v>46539</v>
      </c>
      <c r="X321" s="46" t="inlineStr">
        <is>
          <t>IF(W321&lt;&gt;"",W321,IF(OR(T321="",V321=""),"",EDATE(T321,V321)))</t>
        </is>
      </c>
      <c r="Y321" s="47" t="n"/>
      <c r="Z321" s="48" t="n"/>
      <c r="AA321" s="44" t="inlineStr">
        <is>
          <t>Under Design</t>
        </is>
      </c>
      <c r="AB321" s="44" t="inlineStr">
        <is>
          <t>Technical clearance is expected to receive at first week of November. PR raised and ITB launched by the second week of November and award of contract by the first week of December. Construction period for six months</t>
        </is>
      </c>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outlineLevel="1" ht="18" customHeight="1">
      <c r="A322" s="42" t="inlineStr">
        <is>
          <t>IF(F322="","",ROW()-3)</t>
        </is>
      </c>
      <c r="B322" s="65" t="inlineStr">
        <is>
          <t>AF2-WSM-24</t>
        </is>
      </c>
      <c r="C322" s="65" t="inlineStr">
        <is>
          <t>Package #24-AF2 WSM: Construction of 5 Check dams 1. Kashata Tangi, 2. Forodi, 3. Valary in Nawzad district, 4.Band Khawanin, and 5.Tykhoghi in Washer district of Helmand province.</t>
        </is>
      </c>
      <c r="D322" s="65" t="inlineStr">
        <is>
          <t>3 of 5</t>
        </is>
      </c>
      <c r="E322" s="52" t="inlineStr">
        <is>
          <t>AF2-WSM-N-015</t>
        </is>
      </c>
      <c r="F322" s="52" t="inlineStr">
        <is>
          <t>Kashata Tangi Check Dam</t>
        </is>
      </c>
      <c r="G322" s="52" t="inlineStr">
        <is>
          <t>Watershed Management</t>
        </is>
      </c>
      <c r="H322" s="52" t="inlineStr">
        <is>
          <t>Check Dam</t>
        </is>
      </c>
      <c r="I322" s="52" t="inlineStr">
        <is>
          <t>Emergency Food Security Project (EFSP) – WBK/AF-2</t>
        </is>
      </c>
      <c r="J322" s="52" t="inlineStr">
        <is>
          <t>South / Kandahar</t>
        </is>
      </c>
      <c r="K322" s="52" t="inlineStr">
        <is>
          <t>Helmand</t>
        </is>
      </c>
      <c r="L322" s="52" t="inlineStr">
        <is>
          <t>Nawzad</t>
        </is>
      </c>
      <c r="M322" s="52" t="inlineStr">
        <is>
          <t>Kashata Tangi Village</t>
        </is>
      </c>
      <c r="N322" s="52" t="inlineStr">
        <is>
          <t>World Bank (WBK/AF-2)</t>
        </is>
      </c>
      <c r="O322" s="52" t="inlineStr">
        <is>
          <t>Not awarded</t>
        </is>
      </c>
      <c r="P322" s="52" t="inlineStr">
        <is>
          <t>4.WSM remaining contracts</t>
        </is>
      </c>
      <c r="Q322" s="52" t="inlineStr"/>
      <c r="R322" s="52" t="inlineStr"/>
      <c r="S322" s="53" t="n">
        <v>125000</v>
      </c>
      <c r="T322" s="46" t="inlineStr">
        <is>
          <t>IF(AQ322="","",AQ322)</t>
        </is>
      </c>
      <c r="U322" s="54" t="n">
        <v>46359</v>
      </c>
      <c r="V322" s="55" t="n">
        <v>5.9</v>
      </c>
      <c r="W322" s="54" t="n">
        <v>46539</v>
      </c>
      <c r="X322" s="46" t="inlineStr">
        <is>
          <t>IF(W322&lt;&gt;"",W322,IF(OR(T322="",V322=""),"",EDATE(T322,V322)))</t>
        </is>
      </c>
      <c r="Y322" s="54" t="n"/>
      <c r="Z322" s="55" t="n"/>
      <c r="AA322" s="52" t="inlineStr">
        <is>
          <t>Under Design</t>
        </is>
      </c>
      <c r="AB322" s="52" t="inlineStr">
        <is>
          <t>Technical clearance is expected to receive at first week of November. PR raised and ITB launched by the second week of November and award of contract by the first week of December. Construction period for six months</t>
        </is>
      </c>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outlineLevel="1" ht="18" customHeight="1">
      <c r="A323" s="42" t="inlineStr">
        <is>
          <t>IF(F323="","",ROW()-3)</t>
        </is>
      </c>
      <c r="B323" s="65" t="inlineStr">
        <is>
          <t>AF2-WSM-24</t>
        </is>
      </c>
      <c r="C323" s="65" t="inlineStr">
        <is>
          <t>Package #24-AF2 WSM: Construction of 5 Check dams 1. Kashata Tangi, 2. Forodi, 3. Valary in Nawzad district, 4.Band Khawanin, and 5.Tykhoghi in Washer district of Helmand province.</t>
        </is>
      </c>
      <c r="D323" s="65" t="inlineStr">
        <is>
          <t>4 of 5</t>
        </is>
      </c>
      <c r="E323" s="44" t="inlineStr">
        <is>
          <t>AF2-WSM-N-016</t>
        </is>
      </c>
      <c r="F323" s="44" t="inlineStr">
        <is>
          <t>Tykhoghi Check Dam</t>
        </is>
      </c>
      <c r="G323" s="44" t="inlineStr">
        <is>
          <t>Watershed Management</t>
        </is>
      </c>
      <c r="H323" s="44" t="inlineStr">
        <is>
          <t>Check Dam</t>
        </is>
      </c>
      <c r="I323" s="44" t="inlineStr">
        <is>
          <t>Emergency Food Security Project (EFSP) – WBK/AF-2</t>
        </is>
      </c>
      <c r="J323" s="44" t="inlineStr">
        <is>
          <t>South / Kandahar</t>
        </is>
      </c>
      <c r="K323" s="44" t="inlineStr">
        <is>
          <t>Helmand</t>
        </is>
      </c>
      <c r="L323" s="44" t="inlineStr">
        <is>
          <t>Washer</t>
        </is>
      </c>
      <c r="M323" s="44" t="inlineStr">
        <is>
          <t>Koshki Spid Villag</t>
        </is>
      </c>
      <c r="N323" s="44" t="inlineStr">
        <is>
          <t>World Bank (WBK/AF-2)</t>
        </is>
      </c>
      <c r="O323" s="44" t="inlineStr">
        <is>
          <t>Not awarded</t>
        </is>
      </c>
      <c r="P323" s="44" t="inlineStr">
        <is>
          <t>4.WSM remaining contracts</t>
        </is>
      </c>
      <c r="Q323" s="44" t="inlineStr"/>
      <c r="R323" s="44" t="inlineStr"/>
      <c r="S323" s="45" t="n">
        <v>125000</v>
      </c>
      <c r="T323" s="46" t="inlineStr">
        <is>
          <t>IF(AQ323="","",AQ323)</t>
        </is>
      </c>
      <c r="U323" s="47" t="n">
        <v>46359</v>
      </c>
      <c r="V323" s="48" t="n">
        <v>5.9</v>
      </c>
      <c r="W323" s="47" t="n">
        <v>46539</v>
      </c>
      <c r="X323" s="46" t="inlineStr">
        <is>
          <t>IF(W323&lt;&gt;"",W323,IF(OR(T323="",V323=""),"",EDATE(T323,V323)))</t>
        </is>
      </c>
      <c r="Y323" s="47" t="n"/>
      <c r="Z323" s="48" t="n"/>
      <c r="AA323" s="44" t="inlineStr">
        <is>
          <t>Under Design</t>
        </is>
      </c>
      <c r="AB323" s="44" t="inlineStr">
        <is>
          <t>Technical clearance is expected to receive at first week of November. PR raised and ITB launched by the second week of November and award of contract by the first week of December. Construction period for six months</t>
        </is>
      </c>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outlineLevel="1" ht="18" customHeight="1">
      <c r="A324" s="42" t="inlineStr">
        <is>
          <t>IF(F324="","",ROW()-3)</t>
        </is>
      </c>
      <c r="B324" s="65" t="inlineStr">
        <is>
          <t>AF2-WSM-24</t>
        </is>
      </c>
      <c r="C324" s="65" t="inlineStr">
        <is>
          <t>Package #24-AF2 WSM: Construction of 5 Check dams 1. Kashata Tangi, 2. Forodi, 3. Valary in Nawzad district, 4.Band Khawanin, and 5.Tykhoghi in Washer district of Helmand province.</t>
        </is>
      </c>
      <c r="D324" s="65" t="inlineStr">
        <is>
          <t>5 of 5</t>
        </is>
      </c>
      <c r="E324" s="52" t="inlineStr">
        <is>
          <t>AF2-WSM-N-017</t>
        </is>
      </c>
      <c r="F324" s="52" t="inlineStr">
        <is>
          <t>Valary Check Dam</t>
        </is>
      </c>
      <c r="G324" s="52" t="inlineStr">
        <is>
          <t>Watershed Management</t>
        </is>
      </c>
      <c r="H324" s="52" t="inlineStr">
        <is>
          <t>Check Dam</t>
        </is>
      </c>
      <c r="I324" s="52" t="inlineStr">
        <is>
          <t>Emergency Food Security Project (EFSP) – WBK/AF-2</t>
        </is>
      </c>
      <c r="J324" s="52" t="inlineStr">
        <is>
          <t>South / Kandahar</t>
        </is>
      </c>
      <c r="K324" s="52" t="inlineStr">
        <is>
          <t>Helmand</t>
        </is>
      </c>
      <c r="L324" s="52" t="inlineStr">
        <is>
          <t>Nawzad</t>
        </is>
      </c>
      <c r="M324" s="52" t="inlineStr">
        <is>
          <t>Valary village</t>
        </is>
      </c>
      <c r="N324" s="52" t="inlineStr">
        <is>
          <t>World Bank (WBK/AF-2)</t>
        </is>
      </c>
      <c r="O324" s="52" t="inlineStr">
        <is>
          <t>Not awarded</t>
        </is>
      </c>
      <c r="P324" s="52" t="inlineStr">
        <is>
          <t>4.WSM remaining contracts</t>
        </is>
      </c>
      <c r="Q324" s="52" t="inlineStr"/>
      <c r="R324" s="52" t="inlineStr"/>
      <c r="S324" s="53" t="n">
        <v>125000</v>
      </c>
      <c r="T324" s="46" t="inlineStr">
        <is>
          <t>IF(AQ324="","",AQ324)</t>
        </is>
      </c>
      <c r="U324" s="54" t="n">
        <v>46359</v>
      </c>
      <c r="V324" s="55" t="n">
        <v>5.9</v>
      </c>
      <c r="W324" s="54" t="n">
        <v>46539</v>
      </c>
      <c r="X324" s="46" t="inlineStr">
        <is>
          <t>IF(W324&lt;&gt;"",W324,IF(OR(T324="",V324=""),"",EDATE(T324,V324)))</t>
        </is>
      </c>
      <c r="Y324" s="54" t="n"/>
      <c r="Z324" s="55" t="n"/>
      <c r="AA324" s="52" t="inlineStr">
        <is>
          <t>Under Design</t>
        </is>
      </c>
      <c r="AB324" s="52" t="inlineStr">
        <is>
          <t>Technical clearance is expected to receive at first week of November. PR raised and ITB launched by the second week of November and award of contract by the first week of December. Construction period for six months</t>
        </is>
      </c>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32" t="inlineStr">
        <is>
          <t>IF(F325="","",ROW()-3)</t>
        </is>
      </c>
      <c r="B325" s="33" t="inlineStr">
        <is>
          <t>AF2-WSM-25</t>
        </is>
      </c>
      <c r="C325" s="33" t="inlineStr">
        <is>
          <t>Package #25-AF2 WSM: Construction of Qali Gaz, Ghobana, and Nawi Kach Check dams, located in Mizana district of Zabul province.</t>
        </is>
      </c>
      <c r="D325" s="33" t="inlineStr">
        <is>
          <t>1 of 3</t>
        </is>
      </c>
      <c r="E325" s="57" t="inlineStr">
        <is>
          <t>AF2-WSM-N-018</t>
        </is>
      </c>
      <c r="F325" s="57" t="inlineStr">
        <is>
          <t>Ghobana Check Dam</t>
        </is>
      </c>
      <c r="G325" s="57" t="inlineStr">
        <is>
          <t>Watershed Management</t>
        </is>
      </c>
      <c r="H325" s="57" t="inlineStr">
        <is>
          <t>Check Dam</t>
        </is>
      </c>
      <c r="I325" s="57" t="inlineStr">
        <is>
          <t>Emergency Food Security Project (EFSP) – WBK/AF-2</t>
        </is>
      </c>
      <c r="J325" s="57" t="inlineStr">
        <is>
          <t>South / Kandahar</t>
        </is>
      </c>
      <c r="K325" s="57" t="inlineStr">
        <is>
          <t>Zabul</t>
        </is>
      </c>
      <c r="L325" s="57" t="inlineStr">
        <is>
          <t>Mizana</t>
        </is>
      </c>
      <c r="M325" s="57" t="inlineStr">
        <is>
          <t>Takhom Village</t>
        </is>
      </c>
      <c r="N325" s="57" t="inlineStr">
        <is>
          <t>World Bank (WBK/AF-2)</t>
        </is>
      </c>
      <c r="O325" s="57" t="inlineStr">
        <is>
          <t>Not awarded</t>
        </is>
      </c>
      <c r="P325" s="57" t="inlineStr">
        <is>
          <t>4.WSM remaining contracts</t>
        </is>
      </c>
      <c r="Q325" s="57" t="inlineStr"/>
      <c r="R325" s="57" t="inlineStr"/>
      <c r="S325" s="58" t="n">
        <v>97679</v>
      </c>
      <c r="T325" s="36" t="inlineStr">
        <is>
          <t>IF(AQ325="","",AQ325)</t>
        </is>
      </c>
      <c r="U325" s="59" t="n">
        <v>46351</v>
      </c>
      <c r="V325" s="60" t="n">
        <v>6.9</v>
      </c>
      <c r="W325" s="59" t="n">
        <v>46561</v>
      </c>
      <c r="X325" s="36" t="inlineStr">
        <is>
          <t>IF(W325&lt;&gt;"",W325,IF(OR(T325="",V325=""),"",EDATE(T325,V325)))</t>
        </is>
      </c>
      <c r="Y325" s="59" t="n"/>
      <c r="Z325" s="60" t="n"/>
      <c r="AA325" s="57" t="inlineStr">
        <is>
          <t>PR to be Raised</t>
        </is>
      </c>
      <c r="AB325" s="57" t="inlineStr">
        <is>
          <t>Construction period seven months including slack period.</t>
        </is>
      </c>
      <c r="AC325" s="32" t="inlineStr">
        <is>
          <t>IF(F325="","",IF(COUNT(AI325:AV325)=0,IF(AA325="","Not started",AA325),SUBSTITUTE(LOOKUP(2,1/(AI325:AV325&lt;&gt;""),$AI$3:$AV$3),"Date: ","")))</t>
        </is>
      </c>
      <c r="AD325" s="39" t="inlineStr">
        <is>
          <t>IF(OR(F325="",COUNT(AI325:AV325)=0),"",TODAY()-LOOKUP(2,1/(AI325:AV325&lt;&gt;""),AI325:AV325))</t>
        </is>
      </c>
      <c r="AE325" s="39" t="inlineStr">
        <is>
          <t>IF(OR(F325="",COUNT(AI325:AV325)&lt;2),"",LOOKUP(2,1/(AI325:AV325&lt;&gt;""),AI325:AV325)-MIN(AI325:AV325))</t>
        </is>
      </c>
      <c r="AF325" s="39" t="inlineStr">
        <is>
          <t>IF(OR(AD325="",AC325="Not started",AC325=""),"",IFERROR(AD325-IF(VLOOKUP(AC325,'06_Status_Pipeline'!$B$3:$E$20,4,FALSE)="",0,VLOOKUP(AC325,'06_Status_Pipeline'!$B$3:$E$20,4,FALSE)),""))</t>
        </is>
      </c>
      <c r="AG325" s="3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39" t="inlineStr">
        <is>
          <t>IF(OR(F325="",AC325="Completed / Handover",AC325="Cancelled"),"",IF(O325="Not awarded",IF(U325&lt;&gt;"",U325-TODAY(),IF(X325="","",X325-TODAY())),IF(X325="","",X325-TODAY())))</t>
        </is>
      </c>
      <c r="AI325" s="59" t="n"/>
      <c r="AJ325" s="59" t="n"/>
      <c r="AK325" s="59" t="n"/>
      <c r="AL325" s="59" t="n"/>
      <c r="AM325" s="59" t="n"/>
      <c r="AN325" s="59" t="n"/>
      <c r="AO325" s="59" t="n"/>
      <c r="AP325" s="59" t="n"/>
      <c r="AQ325" s="59" t="n"/>
      <c r="AR325" s="59" t="n"/>
      <c r="AS325" s="59" t="n"/>
      <c r="AT325" s="40" t="n"/>
      <c r="AU325" s="40" t="n"/>
      <c r="AV325" s="40" t="n"/>
      <c r="AW325" s="39" t="inlineStr">
        <is>
          <t>IF(OR(F325="",AJ325=""),"",IF(COUNT(AI325:AI325)=0,"",AJ325-LOOKUP(2,1/(AI325:AI325&lt;&gt;""),AI325:AI325)))</t>
        </is>
      </c>
      <c r="AX325" s="39" t="inlineStr">
        <is>
          <t>IF(OR(F325="",AK325=""),"",IF(COUNT(AI325:AJ325)=0,"",AK325-LOOKUP(2,1/(AI325:AJ325&lt;&gt;""),AI325:AJ325)))</t>
        </is>
      </c>
      <c r="AY325" s="39" t="inlineStr">
        <is>
          <t>IF(OR(F325="",AL325=""),"",IF(COUNT(AI325:AK325)=0,"",AL325-LOOKUP(2,1/(AI325:AK325&lt;&gt;""),AI325:AK325)))</t>
        </is>
      </c>
      <c r="AZ325" s="39" t="inlineStr">
        <is>
          <t>IF(OR(F325="",AM325=""),"",IF(COUNT(AI325:AL325)=0,"",AM325-LOOKUP(2,1/(AI325:AL325&lt;&gt;""),AI325:AL325)))</t>
        </is>
      </c>
      <c r="BA325" s="39" t="inlineStr">
        <is>
          <t>IF(OR(F325="",AN325=""),"",IF(COUNT(AI325:AM325)=0,"",AN325-LOOKUP(2,1/(AI325:AM325&lt;&gt;""),AI325:AM325)))</t>
        </is>
      </c>
      <c r="BB325" s="39" t="inlineStr">
        <is>
          <t>IF(OR(F325="",AO325=""),"",IF(COUNT(AI325:AN325)=0,"",AO325-LOOKUP(2,1/(AI325:AN325&lt;&gt;""),AI325:AN325)))</t>
        </is>
      </c>
      <c r="BC325" s="39" t="inlineStr">
        <is>
          <t>IF(OR(F325="",AP325=""),"",IF(COUNT(AI325:AO325)=0,"",AP325-LOOKUP(2,1/(AI325:AO325&lt;&gt;""),AI325:AO325)))</t>
        </is>
      </c>
      <c r="BD325" s="39" t="inlineStr">
        <is>
          <t>IF(OR(F325="",AQ325=""),"",IF(COUNT(AI325:AP325)=0,"",AQ325-LOOKUP(2,1/(AI325:AP325&lt;&gt;""),AI325:AP325)))</t>
        </is>
      </c>
      <c r="BE325" s="39" t="inlineStr">
        <is>
          <t>IF(OR(F325="",AR325=""),"",IF(COUNT(AI325:AQ325)=0,"",AR325-LOOKUP(2,1/(AI325:AQ325&lt;&gt;""),AI325:AQ325)))</t>
        </is>
      </c>
      <c r="BF325" s="39" t="inlineStr">
        <is>
          <t>IF(OR(F325="",AS325=""),"",IF(COUNT(AI325:AR325)=0,"",AS325-LOOKUP(2,1/(AI325:AR325&lt;&gt;""),AI325:AR325)))</t>
        </is>
      </c>
      <c r="BG325" s="39" t="inlineStr">
        <is>
          <t>IF(OR(F325="",AT325=""),"",IF(COUNT(AI325:AS325)=0,"",AT325-LOOKUP(2,1/(AI325:AS325&lt;&gt;""),AI325:AS325)))</t>
        </is>
      </c>
      <c r="BH325" s="39" t="inlineStr">
        <is>
          <t>IF(OR(F325="",AU325=""),"",IF(COUNT(AI325:AT325)=0,"",AU325-LOOKUP(2,1/(AI325:AT325&lt;&gt;""),AI325:AT325)))</t>
        </is>
      </c>
      <c r="BI325" s="39" t="inlineStr">
        <is>
          <t>IF(OR(F325="",AV325=""),"",IF(COUNT(AI325:AU325)=0,"",AV325-LOOKUP(2,1/(AI325:AU325&lt;&gt;""),AI325:AU325)))</t>
        </is>
      </c>
      <c r="BJ325" s="41" t="inlineStr">
        <is>
          <t>IF(J325="","All_Provinces",IFERROR(VLOOKUP(J325,'09_Lookups'!$A$4:$B$20,2,FALSE),"All_Provinces"))</t>
        </is>
      </c>
      <c r="BK325" s="41" t="inlineStr">
        <is>
          <t>IF(K325="","All_Districts",IFERROR(VLOOKUP(K325,'09_Lookups'!$E$4:$F$42,2,FALSE),"All_Districts"))</t>
        </is>
      </c>
    </row>
    <row r="326" outlineLevel="1" ht="18" customHeight="1">
      <c r="A326" s="42" t="inlineStr">
        <is>
          <t>IF(F326="","",ROW()-3)</t>
        </is>
      </c>
      <c r="B326" s="43" t="inlineStr">
        <is>
          <t>AF2-WSM-25</t>
        </is>
      </c>
      <c r="C326" s="43" t="inlineStr">
        <is>
          <t>Package #25-AF2 WSM: Construction of Qali Gaz, Ghobana, and Nawi Kach Check dams, located in Mizana district of Zabul province.</t>
        </is>
      </c>
      <c r="D326" s="43" t="inlineStr">
        <is>
          <t>2 of 3</t>
        </is>
      </c>
      <c r="E326" s="52" t="inlineStr">
        <is>
          <t>AF2-WSM-N-019</t>
        </is>
      </c>
      <c r="F326" s="52" t="inlineStr">
        <is>
          <t>Nawi Kach Check Dam</t>
        </is>
      </c>
      <c r="G326" s="52" t="inlineStr">
        <is>
          <t>Watershed Management</t>
        </is>
      </c>
      <c r="H326" s="52" t="inlineStr">
        <is>
          <t>Check Dam</t>
        </is>
      </c>
      <c r="I326" s="52" t="inlineStr">
        <is>
          <t>Emergency Food Security Project (EFSP) – WBK/AF-2</t>
        </is>
      </c>
      <c r="J326" s="52" t="inlineStr">
        <is>
          <t>South / Kandahar</t>
        </is>
      </c>
      <c r="K326" s="52" t="inlineStr">
        <is>
          <t>Zabul</t>
        </is>
      </c>
      <c r="L326" s="52" t="inlineStr">
        <is>
          <t>Mizana</t>
        </is>
      </c>
      <c r="M326" s="52" t="inlineStr">
        <is>
          <t>Landi Nawa Village</t>
        </is>
      </c>
      <c r="N326" s="52" t="inlineStr">
        <is>
          <t>World Bank (WBK/AF-2)</t>
        </is>
      </c>
      <c r="O326" s="52" t="inlineStr">
        <is>
          <t>Not awarded</t>
        </is>
      </c>
      <c r="P326" s="52" t="inlineStr">
        <is>
          <t>4.WSM remaining contracts</t>
        </is>
      </c>
      <c r="Q326" s="52" t="inlineStr"/>
      <c r="R326" s="52" t="inlineStr"/>
      <c r="S326" s="53" t="n">
        <v>97679</v>
      </c>
      <c r="T326" s="46" t="inlineStr">
        <is>
          <t>IF(AQ326="","",AQ326)</t>
        </is>
      </c>
      <c r="U326" s="54" t="n">
        <v>46351</v>
      </c>
      <c r="V326" s="55" t="n">
        <v>6.9</v>
      </c>
      <c r="W326" s="54" t="n">
        <v>46561</v>
      </c>
      <c r="X326" s="46" t="inlineStr">
        <is>
          <t>IF(W326&lt;&gt;"",W326,IF(OR(T326="",V326=""),"",EDATE(T326,V326)))</t>
        </is>
      </c>
      <c r="Y326" s="54" t="n"/>
      <c r="Z326" s="55" t="n"/>
      <c r="AA326" s="52" t="inlineStr">
        <is>
          <t>PR to be Raised</t>
        </is>
      </c>
      <c r="AB326" s="52" t="inlineStr">
        <is>
          <t>Construction period seven months including slack period.</t>
        </is>
      </c>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outlineLevel="1" ht="18" customHeight="1">
      <c r="A327" s="42" t="inlineStr">
        <is>
          <t>IF(F327="","",ROW()-3)</t>
        </is>
      </c>
      <c r="B327" s="43" t="inlineStr">
        <is>
          <t>AF2-WSM-25</t>
        </is>
      </c>
      <c r="C327" s="43" t="inlineStr">
        <is>
          <t>Package #25-AF2 WSM: Construction of Qali Gaz, Ghobana, and Nawi Kach Check dams, located in Mizana district of Zabul province.</t>
        </is>
      </c>
      <c r="D327" s="43" t="inlineStr">
        <is>
          <t>3 of 3</t>
        </is>
      </c>
      <c r="E327" s="44" t="inlineStr">
        <is>
          <t>AF2-WSM-N-020</t>
        </is>
      </c>
      <c r="F327" s="44" t="inlineStr">
        <is>
          <t>Qali Gaz Check Dam</t>
        </is>
      </c>
      <c r="G327" s="44" t="inlineStr">
        <is>
          <t>Watershed Management</t>
        </is>
      </c>
      <c r="H327" s="44" t="inlineStr">
        <is>
          <t>Check Dam</t>
        </is>
      </c>
      <c r="I327" s="44" t="inlineStr">
        <is>
          <t>Emergency Food Security Project (EFSP) – WBK/AF-2</t>
        </is>
      </c>
      <c r="J327" s="44" t="inlineStr">
        <is>
          <t>South / Kandahar</t>
        </is>
      </c>
      <c r="K327" s="44" t="inlineStr">
        <is>
          <t>Zabul</t>
        </is>
      </c>
      <c r="L327" s="44" t="inlineStr">
        <is>
          <t>Mizana</t>
        </is>
      </c>
      <c r="M327" s="44" t="inlineStr">
        <is>
          <t>Qali Gaz Village</t>
        </is>
      </c>
      <c r="N327" s="44" t="inlineStr">
        <is>
          <t>World Bank (WBK/AF-2)</t>
        </is>
      </c>
      <c r="O327" s="44" t="inlineStr">
        <is>
          <t>Not awarded</t>
        </is>
      </c>
      <c r="P327" s="44" t="inlineStr">
        <is>
          <t>4.WSM remaining contracts</t>
        </is>
      </c>
      <c r="Q327" s="44" t="inlineStr"/>
      <c r="R327" s="44" t="inlineStr"/>
      <c r="S327" s="45" t="n">
        <v>97679</v>
      </c>
      <c r="T327" s="46" t="inlineStr">
        <is>
          <t>IF(AQ327="","",AQ327)</t>
        </is>
      </c>
      <c r="U327" s="47" t="n">
        <v>46351</v>
      </c>
      <c r="V327" s="48" t="n">
        <v>6.9</v>
      </c>
      <c r="W327" s="47" t="n">
        <v>46561</v>
      </c>
      <c r="X327" s="46" t="inlineStr">
        <is>
          <t>IF(W327&lt;&gt;"",W327,IF(OR(T327="",V327=""),"",EDATE(T327,V327)))</t>
        </is>
      </c>
      <c r="Y327" s="47" t="n"/>
      <c r="Z327" s="48" t="n"/>
      <c r="AA327" s="44" t="inlineStr">
        <is>
          <t>PR to be Raised</t>
        </is>
      </c>
      <c r="AB327" s="44" t="inlineStr">
        <is>
          <t>Construction period seven months including slack period.</t>
        </is>
      </c>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32" t="inlineStr">
        <is>
          <t>IF(F328="","",ROW()-3)</t>
        </is>
      </c>
      <c r="B328" s="56" t="inlineStr">
        <is>
          <t>AF2-WSM-26</t>
        </is>
      </c>
      <c r="C328" s="56"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8" s="56" t="inlineStr">
        <is>
          <t>1 of 6</t>
        </is>
      </c>
      <c r="E328" s="34" t="inlineStr">
        <is>
          <t>AF2-WSM-A-050</t>
        </is>
      </c>
      <c r="F328" s="34" t="inlineStr">
        <is>
          <t>1. Yawol Ha Check Dam-1</t>
        </is>
      </c>
      <c r="G328" s="34" t="inlineStr">
        <is>
          <t>Watershed Management</t>
        </is>
      </c>
      <c r="H328" s="34" t="inlineStr">
        <is>
          <t>Check Dam</t>
        </is>
      </c>
      <c r="I328" s="34" t="inlineStr">
        <is>
          <t>Emergency Food Security Project (EFSP) – WBK/AF-2</t>
        </is>
      </c>
      <c r="J328" s="34" t="inlineStr">
        <is>
          <t>Northeast / Kunduz</t>
        </is>
      </c>
      <c r="K328" s="34" t="inlineStr">
        <is>
          <t>Badakhshan</t>
        </is>
      </c>
      <c r="L328" s="34" t="inlineStr">
        <is>
          <t>Teshkan</t>
        </is>
      </c>
      <c r="M328" s="34" t="inlineStr">
        <is>
          <t>Yawol Ha-1</t>
        </is>
      </c>
      <c r="N328" s="34" t="inlineStr">
        <is>
          <t>World Bank (WBK/AF-2)</t>
        </is>
      </c>
      <c r="O328" s="34" t="inlineStr">
        <is>
          <t>Awarded</t>
        </is>
      </c>
      <c r="P328" s="34" t="inlineStr">
        <is>
          <t>3.WSM awarded contracts</t>
        </is>
      </c>
      <c r="Q328" s="34" t="inlineStr">
        <is>
          <t>Faiz Qurbani Construction Company (FQCC)</t>
        </is>
      </c>
      <c r="R328" s="34" t="inlineStr">
        <is>
          <t>027/2026</t>
        </is>
      </c>
      <c r="S328" s="35" t="n">
        <v>28489.9</v>
      </c>
      <c r="T328" s="36" t="inlineStr">
        <is>
          <t>IF(AQ328="","",AQ328)</t>
        </is>
      </c>
      <c r="U328" s="37" t="n"/>
      <c r="V328" s="38" t="n">
        <v>7</v>
      </c>
      <c r="W328" s="37" t="n">
        <v>46334</v>
      </c>
      <c r="X328" s="36" t="inlineStr">
        <is>
          <t>IF(W328&lt;&gt;"",W328,IF(OR(T328="",V328=""),"",EDATE(T328,V328)))</t>
        </is>
      </c>
      <c r="Y328" s="37" t="n"/>
      <c r="Z328" s="38" t="n">
        <v>10</v>
      </c>
      <c r="AA328" s="34" t="inlineStr">
        <is>
          <t>Under Construction</t>
        </is>
      </c>
      <c r="AB328" s="34" t="inlineStr">
        <is>
          <t>Completed on Sep, 2026</t>
        </is>
      </c>
      <c r="AC328" s="32" t="inlineStr">
        <is>
          <t>IF(F328="","",IF(COUNT(AI328:AV328)=0,IF(AA328="","Not started",AA328),SUBSTITUTE(LOOKUP(2,1/(AI328:AV328&lt;&gt;""),$AI$3:$AV$3),"Date: ","")))</t>
        </is>
      </c>
      <c r="AD328" s="39" t="inlineStr">
        <is>
          <t>IF(OR(F328="",COUNT(AI328:AV328)=0),"",TODAY()-LOOKUP(2,1/(AI328:AV328&lt;&gt;""),AI328:AV328))</t>
        </is>
      </c>
      <c r="AE328" s="39" t="inlineStr">
        <is>
          <t>IF(OR(F328="",COUNT(AI328:AV328)&lt;2),"",LOOKUP(2,1/(AI328:AV328&lt;&gt;""),AI328:AV328)-MIN(AI328:AV328))</t>
        </is>
      </c>
      <c r="AF328" s="39" t="inlineStr">
        <is>
          <t>IF(OR(AD328="",AC328="Not started",AC328=""),"",IFERROR(AD328-IF(VLOOKUP(AC328,'06_Status_Pipeline'!$B$3:$E$20,4,FALSE)="",0,VLOOKUP(AC328,'06_Status_Pipeline'!$B$3:$E$20,4,FALSE)),""))</t>
        </is>
      </c>
      <c r="AG328" s="3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39" t="inlineStr">
        <is>
          <t>IF(OR(F328="",AC328="Completed / Handover",AC328="Cancelled"),"",IF(O328="Not awarded",IF(U328&lt;&gt;"",U328-TODAY(),IF(X328="","",X328-TODAY())),IF(X328="","",X328-TODAY())))</t>
        </is>
      </c>
      <c r="AI328" s="66" t="n"/>
      <c r="AJ328" s="66" t="n"/>
      <c r="AK328" s="66" t="n"/>
      <c r="AL328" s="66" t="n"/>
      <c r="AM328" s="66" t="n"/>
      <c r="AN328" s="66" t="n"/>
      <c r="AO328" s="66" t="n"/>
      <c r="AP328" s="66" t="n"/>
      <c r="AQ328" s="66" t="n">
        <v>46121</v>
      </c>
      <c r="AR328" s="66" t="n">
        <v>46121</v>
      </c>
      <c r="AS328" s="66" t="n"/>
      <c r="AT328" s="40" t="n"/>
      <c r="AU328" s="40" t="n"/>
      <c r="AV328" s="40" t="n"/>
      <c r="AW328" s="39" t="inlineStr">
        <is>
          <t>IF(OR(F328="",AJ328=""),"",IF(COUNT(AI328:AI328)=0,"",AJ328-LOOKUP(2,1/(AI328:AI328&lt;&gt;""),AI328:AI328)))</t>
        </is>
      </c>
      <c r="AX328" s="39" t="inlineStr">
        <is>
          <t>IF(OR(F328="",AK328=""),"",IF(COUNT(AI328:AJ328)=0,"",AK328-LOOKUP(2,1/(AI328:AJ328&lt;&gt;""),AI328:AJ328)))</t>
        </is>
      </c>
      <c r="AY328" s="39" t="inlineStr">
        <is>
          <t>IF(OR(F328="",AL328=""),"",IF(COUNT(AI328:AK328)=0,"",AL328-LOOKUP(2,1/(AI328:AK328&lt;&gt;""),AI328:AK328)))</t>
        </is>
      </c>
      <c r="AZ328" s="39" t="inlineStr">
        <is>
          <t>IF(OR(F328="",AM328=""),"",IF(COUNT(AI328:AL328)=0,"",AM328-LOOKUP(2,1/(AI328:AL328&lt;&gt;""),AI328:AL328)))</t>
        </is>
      </c>
      <c r="BA328" s="39" t="inlineStr">
        <is>
          <t>IF(OR(F328="",AN328=""),"",IF(COUNT(AI328:AM328)=0,"",AN328-LOOKUP(2,1/(AI328:AM328&lt;&gt;""),AI328:AM328)))</t>
        </is>
      </c>
      <c r="BB328" s="39" t="inlineStr">
        <is>
          <t>IF(OR(F328="",AO328=""),"",IF(COUNT(AI328:AN328)=0,"",AO328-LOOKUP(2,1/(AI328:AN328&lt;&gt;""),AI328:AN328)))</t>
        </is>
      </c>
      <c r="BC328" s="39" t="inlineStr">
        <is>
          <t>IF(OR(F328="",AP328=""),"",IF(COUNT(AI328:AO328)=0,"",AP328-LOOKUP(2,1/(AI328:AO328&lt;&gt;""),AI328:AO328)))</t>
        </is>
      </c>
      <c r="BD328" s="39" t="inlineStr">
        <is>
          <t>IF(OR(F328="",AQ328=""),"",IF(COUNT(AI328:AP328)=0,"",AQ328-LOOKUP(2,1/(AI328:AP328&lt;&gt;""),AI328:AP328)))</t>
        </is>
      </c>
      <c r="BE328" s="39" t="inlineStr">
        <is>
          <t>IF(OR(F328="",AR328=""),"",IF(COUNT(AI328:AQ328)=0,"",AR328-LOOKUP(2,1/(AI328:AQ328&lt;&gt;""),AI328:AQ328)))</t>
        </is>
      </c>
      <c r="BF328" s="39" t="inlineStr">
        <is>
          <t>IF(OR(F328="",AS328=""),"",IF(COUNT(AI328:AR328)=0,"",AS328-LOOKUP(2,1/(AI328:AR328&lt;&gt;""),AI328:AR328)))</t>
        </is>
      </c>
      <c r="BG328" s="39" t="inlineStr">
        <is>
          <t>IF(OR(F328="",AT328=""),"",IF(COUNT(AI328:AS328)=0,"",AT328-LOOKUP(2,1/(AI328:AS328&lt;&gt;""),AI328:AS328)))</t>
        </is>
      </c>
      <c r="BH328" s="39" t="inlineStr">
        <is>
          <t>IF(OR(F328="",AU328=""),"",IF(COUNT(AI328:AT328)=0,"",AU328-LOOKUP(2,1/(AI328:AT328&lt;&gt;""),AI328:AT328)))</t>
        </is>
      </c>
      <c r="BI328" s="39" t="inlineStr">
        <is>
          <t>IF(OR(F328="",AV328=""),"",IF(COUNT(AI328:AU328)=0,"",AV328-LOOKUP(2,1/(AI328:AU328&lt;&gt;""),AI328:AU328)))</t>
        </is>
      </c>
      <c r="BJ328" s="41" t="inlineStr">
        <is>
          <t>IF(J328="","All_Provinces",IFERROR(VLOOKUP(J328,'09_Lookups'!$A$4:$B$20,2,FALSE),"All_Provinces"))</t>
        </is>
      </c>
      <c r="BK328" s="41" t="inlineStr">
        <is>
          <t>IF(K328="","All_Districts",IFERROR(VLOOKUP(K328,'09_Lookups'!$E$4:$F$42,2,FALSE),"All_Districts"))</t>
        </is>
      </c>
    </row>
    <row r="329" outlineLevel="1" ht="18" customHeight="1">
      <c r="A329" s="42" t="inlineStr">
        <is>
          <t>IF(F329="","",ROW()-3)</t>
        </is>
      </c>
      <c r="B329" s="61" t="inlineStr">
        <is>
          <t>AF2-WSM-26</t>
        </is>
      </c>
      <c r="C329"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9" s="61" t="inlineStr">
        <is>
          <t>2 of 6</t>
        </is>
      </c>
      <c r="E329" s="44" t="inlineStr">
        <is>
          <t>AF2-WSM-A-051</t>
        </is>
      </c>
      <c r="F329" s="44" t="inlineStr">
        <is>
          <t>2. Yawol Ha Check Dam-2</t>
        </is>
      </c>
      <c r="G329" s="44" t="inlineStr">
        <is>
          <t>Watershed Management</t>
        </is>
      </c>
      <c r="H329" s="44" t="inlineStr">
        <is>
          <t>Check Dam</t>
        </is>
      </c>
      <c r="I329" s="44" t="inlineStr">
        <is>
          <t>Emergency Food Security Project (EFSP) – WBK/AF-2</t>
        </is>
      </c>
      <c r="J329" s="44" t="inlineStr">
        <is>
          <t>Northeast / Kunduz</t>
        </is>
      </c>
      <c r="K329" s="44" t="inlineStr">
        <is>
          <t>Badakhshan</t>
        </is>
      </c>
      <c r="L329" s="44" t="inlineStr">
        <is>
          <t>Teshkan</t>
        </is>
      </c>
      <c r="M329" s="44" t="inlineStr">
        <is>
          <t>Yawol Ha-2</t>
        </is>
      </c>
      <c r="N329" s="44" t="inlineStr">
        <is>
          <t>World Bank (WBK/AF-2)</t>
        </is>
      </c>
      <c r="O329" s="44" t="inlineStr">
        <is>
          <t>Awarded</t>
        </is>
      </c>
      <c r="P329" s="44" t="inlineStr">
        <is>
          <t>3.WSM awarded contracts</t>
        </is>
      </c>
      <c r="Q329" s="44" t="inlineStr">
        <is>
          <t>Faiz Qurbani Construction Company (FQCC)</t>
        </is>
      </c>
      <c r="R329" s="44" t="inlineStr">
        <is>
          <t>027/2026</t>
        </is>
      </c>
      <c r="S329" s="45" t="n">
        <v>29242.96</v>
      </c>
      <c r="T329" s="46" t="inlineStr">
        <is>
          <t>IF(AQ329="","",AQ329)</t>
        </is>
      </c>
      <c r="U329" s="47" t="n"/>
      <c r="V329" s="48" t="n">
        <v>7</v>
      </c>
      <c r="W329" s="47" t="n">
        <v>46334</v>
      </c>
      <c r="X329" s="46" t="inlineStr">
        <is>
          <t>IF(W329&lt;&gt;"",W329,IF(OR(T329="",V329=""),"",EDATE(T329,V329)))</t>
        </is>
      </c>
      <c r="Y329" s="47" t="n"/>
      <c r="Z329" s="48" t="n">
        <v>0</v>
      </c>
      <c r="AA329" s="44" t="inlineStr">
        <is>
          <t>Awarded</t>
        </is>
      </c>
      <c r="AB329" s="44" t="inlineStr">
        <is>
          <t>Completed on Sep, 2026</t>
        </is>
      </c>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67" t="n"/>
      <c r="AJ329" s="67" t="n"/>
      <c r="AK329" s="67" t="n"/>
      <c r="AL329" s="67" t="n"/>
      <c r="AM329" s="67" t="n"/>
      <c r="AN329" s="67" t="n"/>
      <c r="AO329" s="67" t="n"/>
      <c r="AP329" s="67" t="n"/>
      <c r="AQ329" s="67" t="n">
        <v>46121</v>
      </c>
      <c r="AR329" s="67" t="n"/>
      <c r="AS329" s="6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outlineLevel="1" ht="18" customHeight="1">
      <c r="A330" s="42" t="inlineStr">
        <is>
          <t>IF(F330="","",ROW()-3)</t>
        </is>
      </c>
      <c r="B330" s="61" t="inlineStr">
        <is>
          <t>AF2-WSM-26</t>
        </is>
      </c>
      <c r="C330"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0" s="61" t="inlineStr">
        <is>
          <t>3 of 6</t>
        </is>
      </c>
      <c r="E330" s="52" t="inlineStr">
        <is>
          <t>AF2-WSM-A-052</t>
        </is>
      </c>
      <c r="F330" s="52" t="inlineStr">
        <is>
          <t>3.Sewak Dara Kelaki Check Dam</t>
        </is>
      </c>
      <c r="G330" s="52" t="inlineStr">
        <is>
          <t>Watershed Management</t>
        </is>
      </c>
      <c r="H330" s="52" t="inlineStr">
        <is>
          <t>Check Dam</t>
        </is>
      </c>
      <c r="I330" s="52" t="inlineStr">
        <is>
          <t>Emergency Food Security Project (EFSP) – WBK/AF-2</t>
        </is>
      </c>
      <c r="J330" s="52" t="inlineStr">
        <is>
          <t>Northeast / Kunduz</t>
        </is>
      </c>
      <c r="K330" s="52" t="inlineStr">
        <is>
          <t>Badakhshan</t>
        </is>
      </c>
      <c r="L330" s="52" t="inlineStr">
        <is>
          <t>Darayim</t>
        </is>
      </c>
      <c r="M330" s="52" t="inlineStr">
        <is>
          <t>Sewak Dara</t>
        </is>
      </c>
      <c r="N330" s="52" t="inlineStr">
        <is>
          <t>World Bank (WBK/AF-2)</t>
        </is>
      </c>
      <c r="O330" s="52" t="inlineStr">
        <is>
          <t>Awarded</t>
        </is>
      </c>
      <c r="P330" s="52" t="inlineStr">
        <is>
          <t>3.WSM awarded contracts</t>
        </is>
      </c>
      <c r="Q330" s="52" t="inlineStr">
        <is>
          <t>Faiz Qurbani Construction Company (FQCC)</t>
        </is>
      </c>
      <c r="R330" s="52" t="inlineStr">
        <is>
          <t>027/2026</t>
        </is>
      </c>
      <c r="S330" s="53" t="n">
        <v>59018.99</v>
      </c>
      <c r="T330" s="46" t="inlineStr">
        <is>
          <t>IF(AQ330="","",AQ330)</t>
        </is>
      </c>
      <c r="U330" s="54" t="n"/>
      <c r="V330" s="55" t="n">
        <v>7</v>
      </c>
      <c r="W330" s="54" t="n">
        <v>46334</v>
      </c>
      <c r="X330" s="46" t="inlineStr">
        <is>
          <t>IF(W330&lt;&gt;"",W330,IF(OR(T330="",V330=""),"",EDATE(T330,V330)))</t>
        </is>
      </c>
      <c r="Y330" s="54" t="n"/>
      <c r="Z330" s="55" t="n">
        <v>100</v>
      </c>
      <c r="AA330" s="52" t="inlineStr">
        <is>
          <t>Completed / Handover</t>
        </is>
      </c>
      <c r="AB330" s="52" t="inlineStr">
        <is>
          <t>Completed on Sep, 2026</t>
        </is>
      </c>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67" t="n"/>
      <c r="AJ330" s="67" t="n"/>
      <c r="AK330" s="67" t="n"/>
      <c r="AL330" s="67" t="n"/>
      <c r="AM330" s="67" t="n"/>
      <c r="AN330" s="67" t="n"/>
      <c r="AO330" s="67" t="n"/>
      <c r="AP330" s="67" t="n"/>
      <c r="AQ330" s="67" t="n">
        <v>46121</v>
      </c>
      <c r="AR330" s="67" t="n">
        <v>46121</v>
      </c>
      <c r="AS330" s="67" t="n">
        <v>46334</v>
      </c>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outlineLevel="1" ht="18" customHeight="1">
      <c r="A331" s="42" t="inlineStr">
        <is>
          <t>IF(F331="","",ROW()-3)</t>
        </is>
      </c>
      <c r="B331" s="61" t="inlineStr">
        <is>
          <t>AF2-WSM-26</t>
        </is>
      </c>
      <c r="C331"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1" s="61" t="inlineStr">
        <is>
          <t>4 of 6</t>
        </is>
      </c>
      <c r="E331" s="44" t="inlineStr">
        <is>
          <t>AF2-WSM-A-053</t>
        </is>
      </c>
      <c r="F331" s="44" t="inlineStr">
        <is>
          <t>4. Golaki Check Dam</t>
        </is>
      </c>
      <c r="G331" s="44" t="inlineStr">
        <is>
          <t>Watershed Management</t>
        </is>
      </c>
      <c r="H331" s="44" t="inlineStr">
        <is>
          <t>Check Dam</t>
        </is>
      </c>
      <c r="I331" s="44" t="inlineStr">
        <is>
          <t>Emergency Food Security Project (EFSP) – WBK/AF-2</t>
        </is>
      </c>
      <c r="J331" s="44" t="inlineStr">
        <is>
          <t>Northeast / Kunduz</t>
        </is>
      </c>
      <c r="K331" s="44" t="inlineStr">
        <is>
          <t>Badakhshan</t>
        </is>
      </c>
      <c r="L331" s="44" t="inlineStr">
        <is>
          <t>Darayim</t>
        </is>
      </c>
      <c r="M331" s="44" t="inlineStr">
        <is>
          <t>Golaki</t>
        </is>
      </c>
      <c r="N331" s="44" t="inlineStr">
        <is>
          <t>World Bank (WBK/AF-2)</t>
        </is>
      </c>
      <c r="O331" s="44" t="inlineStr">
        <is>
          <t>Awarded</t>
        </is>
      </c>
      <c r="P331" s="44" t="inlineStr">
        <is>
          <t>3.WSM awarded contracts</t>
        </is>
      </c>
      <c r="Q331" s="44" t="inlineStr">
        <is>
          <t>Faiz Qurbani Construction Company (FQCC)</t>
        </is>
      </c>
      <c r="R331" s="44" t="inlineStr">
        <is>
          <t>027/2026</t>
        </is>
      </c>
      <c r="S331" s="45" t="n">
        <v>62408.88</v>
      </c>
      <c r="T331" s="46" t="inlineStr">
        <is>
          <t>IF(AQ331="","",AQ331)</t>
        </is>
      </c>
      <c r="U331" s="47" t="n"/>
      <c r="V331" s="48" t="n">
        <v>7</v>
      </c>
      <c r="W331" s="47" t="n">
        <v>46334</v>
      </c>
      <c r="X331" s="46" t="inlineStr">
        <is>
          <t>IF(W331&lt;&gt;"",W331,IF(OR(T331="",V331=""),"",EDATE(T331,V331)))</t>
        </is>
      </c>
      <c r="Y331" s="47" t="n"/>
      <c r="Z331" s="48" t="n">
        <v>100</v>
      </c>
      <c r="AA331" s="44" t="inlineStr">
        <is>
          <t>Completed / Handover</t>
        </is>
      </c>
      <c r="AB331" s="44" t="inlineStr">
        <is>
          <t>Completed on Sep, 2026</t>
        </is>
      </c>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67" t="n"/>
      <c r="AJ331" s="67" t="n"/>
      <c r="AK331" s="67" t="n"/>
      <c r="AL331" s="67" t="n"/>
      <c r="AM331" s="67" t="n"/>
      <c r="AN331" s="67" t="n"/>
      <c r="AO331" s="67" t="n"/>
      <c r="AP331" s="67" t="n"/>
      <c r="AQ331" s="67" t="n">
        <v>46121</v>
      </c>
      <c r="AR331" s="67" t="n">
        <v>46121</v>
      </c>
      <c r="AS331" s="67" t="n">
        <v>46334</v>
      </c>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outlineLevel="1" ht="18" customHeight="1">
      <c r="A332" s="42" t="inlineStr">
        <is>
          <t>IF(F332="","",ROW()-3)</t>
        </is>
      </c>
      <c r="B332" s="61" t="inlineStr">
        <is>
          <t>AF2-WSM-26</t>
        </is>
      </c>
      <c r="C332"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2" s="61" t="inlineStr">
        <is>
          <t>5 of 6</t>
        </is>
      </c>
      <c r="E332" s="52" t="inlineStr">
        <is>
          <t>AF2-WSM-A-054</t>
        </is>
      </c>
      <c r="F332" s="52" t="inlineStr">
        <is>
          <t>5. Khanaqa Check Dam</t>
        </is>
      </c>
      <c r="G332" s="52" t="inlineStr">
        <is>
          <t>Watershed Management</t>
        </is>
      </c>
      <c r="H332" s="52" t="inlineStr">
        <is>
          <t>Check Dam</t>
        </is>
      </c>
      <c r="I332" s="52" t="inlineStr">
        <is>
          <t>Emergency Food Security Project (EFSP) – WBK/AF-2</t>
        </is>
      </c>
      <c r="J332" s="52" t="inlineStr">
        <is>
          <t>Northeast / Kunduz</t>
        </is>
      </c>
      <c r="K332" s="52" t="inlineStr">
        <is>
          <t>Badakhshan</t>
        </is>
      </c>
      <c r="L332" s="52" t="inlineStr">
        <is>
          <t>Arghanj Khwah</t>
        </is>
      </c>
      <c r="M332" s="52" t="inlineStr">
        <is>
          <t>Khanaqa</t>
        </is>
      </c>
      <c r="N332" s="52" t="inlineStr">
        <is>
          <t>World Bank (WBK/AF-2)</t>
        </is>
      </c>
      <c r="O332" s="52" t="inlineStr">
        <is>
          <t>Awarded</t>
        </is>
      </c>
      <c r="P332" s="52" t="inlineStr">
        <is>
          <t>3.WSM awarded contracts</t>
        </is>
      </c>
      <c r="Q332" s="52" t="inlineStr">
        <is>
          <t>Faiz Qurbani Construction Company (FQCC)</t>
        </is>
      </c>
      <c r="R332" s="52" t="inlineStr">
        <is>
          <t>027/2026</t>
        </is>
      </c>
      <c r="S332" s="53" t="n">
        <v>29058.49</v>
      </c>
      <c r="T332" s="46" t="inlineStr">
        <is>
          <t>IF(AQ332="","",AQ332)</t>
        </is>
      </c>
      <c r="U332" s="54" t="n"/>
      <c r="V332" s="55" t="n">
        <v>7</v>
      </c>
      <c r="W332" s="54" t="n">
        <v>46334</v>
      </c>
      <c r="X332" s="46" t="inlineStr">
        <is>
          <t>IF(W332&lt;&gt;"",W332,IF(OR(T332="",V332=""),"",EDATE(T332,V332)))</t>
        </is>
      </c>
      <c r="Y332" s="54" t="n"/>
      <c r="Z332" s="55" t="n">
        <v>0</v>
      </c>
      <c r="AA332" s="52" t="inlineStr">
        <is>
          <t>Awarded</t>
        </is>
      </c>
      <c r="AB332" s="52" t="inlineStr">
        <is>
          <t>Completed on Sep, 2026</t>
        </is>
      </c>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67" t="n"/>
      <c r="AJ332" s="67" t="n"/>
      <c r="AK332" s="67" t="n"/>
      <c r="AL332" s="67" t="n"/>
      <c r="AM332" s="67" t="n"/>
      <c r="AN332" s="67" t="n"/>
      <c r="AO332" s="67" t="n"/>
      <c r="AP332" s="67" t="n"/>
      <c r="AQ332" s="67" t="n">
        <v>46121</v>
      </c>
      <c r="AR332" s="67" t="n"/>
      <c r="AS332" s="67"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outlineLevel="1" ht="18" customHeight="1">
      <c r="A333" s="42" t="inlineStr">
        <is>
          <t>IF(F333="","",ROW()-3)</t>
        </is>
      </c>
      <c r="B333" s="61" t="inlineStr">
        <is>
          <t>AF2-WSM-26</t>
        </is>
      </c>
      <c r="C333"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3" s="61" t="inlineStr">
        <is>
          <t>6 of 6</t>
        </is>
      </c>
      <c r="E333" s="44" t="inlineStr">
        <is>
          <t>AF2-WSM-A-055</t>
        </is>
      </c>
      <c r="F333" s="44" t="inlineStr">
        <is>
          <t>6. Sum Darra Check Dam</t>
        </is>
      </c>
      <c r="G333" s="44" t="inlineStr">
        <is>
          <t>Watershed Management</t>
        </is>
      </c>
      <c r="H333" s="44" t="inlineStr">
        <is>
          <t>Check Dam</t>
        </is>
      </c>
      <c r="I333" s="44" t="inlineStr">
        <is>
          <t>Emergency Food Security Project (EFSP) – WBK/AF-2</t>
        </is>
      </c>
      <c r="J333" s="44" t="inlineStr">
        <is>
          <t>Northeast / Kunduz</t>
        </is>
      </c>
      <c r="K333" s="44" t="inlineStr">
        <is>
          <t>Badakhshan</t>
        </is>
      </c>
      <c r="L333" s="44" t="inlineStr">
        <is>
          <t>Arghanj Khwah</t>
        </is>
      </c>
      <c r="M333" s="44" t="inlineStr">
        <is>
          <t>Sum Dara</t>
        </is>
      </c>
      <c r="N333" s="44" t="inlineStr">
        <is>
          <t>World Bank (WBK/AF-2)</t>
        </is>
      </c>
      <c r="O333" s="44" t="inlineStr">
        <is>
          <t>Awarded</t>
        </is>
      </c>
      <c r="P333" s="44" t="inlineStr">
        <is>
          <t>3.WSM awarded contracts</t>
        </is>
      </c>
      <c r="Q333" s="44" t="inlineStr">
        <is>
          <t>Faiz Qurbani Construction Company (FQCC)</t>
        </is>
      </c>
      <c r="R333" s="44" t="inlineStr">
        <is>
          <t>027/2026</t>
        </is>
      </c>
      <c r="S333" s="45" t="n">
        <v>31519.9</v>
      </c>
      <c r="T333" s="46" t="inlineStr">
        <is>
          <t>IF(AQ333="","",AQ333)</t>
        </is>
      </c>
      <c r="U333" s="47" t="n"/>
      <c r="V333" s="48" t="n">
        <v>7</v>
      </c>
      <c r="W333" s="47" t="n">
        <v>46334</v>
      </c>
      <c r="X333" s="46" t="inlineStr">
        <is>
          <t>IF(W333&lt;&gt;"",W333,IF(OR(T333="",V333=""),"",EDATE(T333,V333)))</t>
        </is>
      </c>
      <c r="Y333" s="47" t="n"/>
      <c r="Z333" s="48" t="n">
        <v>0</v>
      </c>
      <c r="AA333" s="44" t="inlineStr">
        <is>
          <t>Awarded</t>
        </is>
      </c>
      <c r="AB333" s="44" t="inlineStr">
        <is>
          <t>Completed on Sep, 2026</t>
        </is>
      </c>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67" t="n"/>
      <c r="AJ333" s="67" t="n"/>
      <c r="AK333" s="67" t="n"/>
      <c r="AL333" s="67" t="n"/>
      <c r="AM333" s="67" t="n"/>
      <c r="AN333" s="67" t="n"/>
      <c r="AO333" s="67" t="n"/>
      <c r="AP333" s="67" t="n"/>
      <c r="AQ333" s="67" t="n">
        <v>46121</v>
      </c>
      <c r="AR333" s="67" t="n"/>
      <c r="AS333" s="6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32" t="inlineStr">
        <is>
          <t>IF(F334="","",ROW()-3)</t>
        </is>
      </c>
      <c r="B334" s="62" t="inlineStr">
        <is>
          <t>AF2-WSM-27</t>
        </is>
      </c>
      <c r="C334" s="62" t="inlineStr">
        <is>
          <t>Package #27-AF2 WSM: Construction of 5 Check Dams in 5 district sites of 1. Sholish Darra in Namak Ab, 2.Gaji Darra in Hazar Sumoch, 3.Silaba in Khwaja Ghar, 4.Shoor Toghai in Khwaja Bahawudd in and 5.Khalyazi in Yangi Qala districts of Takhar province.</t>
        </is>
      </c>
      <c r="D334" s="62" t="inlineStr">
        <is>
          <t>1 of 5</t>
        </is>
      </c>
      <c r="E334" s="34" t="inlineStr">
        <is>
          <t>AF2-WSM-A-056</t>
        </is>
      </c>
      <c r="F334" s="34" t="inlineStr">
        <is>
          <t>1.Sholish Darra Check Dam</t>
        </is>
      </c>
      <c r="G334" s="34" t="inlineStr">
        <is>
          <t>Watershed Management</t>
        </is>
      </c>
      <c r="H334" s="34" t="inlineStr">
        <is>
          <t>Check Dam</t>
        </is>
      </c>
      <c r="I334" s="34" t="inlineStr">
        <is>
          <t>Emergency Food Security Project (EFSP) – WBK/AF-2</t>
        </is>
      </c>
      <c r="J334" s="34" t="inlineStr">
        <is>
          <t>Northeast / Kunduz</t>
        </is>
      </c>
      <c r="K334" s="34" t="inlineStr">
        <is>
          <t>Takhar</t>
        </is>
      </c>
      <c r="L334" s="34" t="inlineStr">
        <is>
          <t>Namak Ab</t>
        </is>
      </c>
      <c r="M334" s="34" t="inlineStr">
        <is>
          <t>Sholish Darra</t>
        </is>
      </c>
      <c r="N334" s="34" t="inlineStr">
        <is>
          <t>World Bank (WBK/AF-2)</t>
        </is>
      </c>
      <c r="O334" s="34" t="inlineStr">
        <is>
          <t>Awarded</t>
        </is>
      </c>
      <c r="P334" s="34" t="inlineStr">
        <is>
          <t>3.WSM awarded contracts</t>
        </is>
      </c>
      <c r="Q334" s="34" t="inlineStr">
        <is>
          <t>Shafiqullah Wahidi Construction Company (SWCC)</t>
        </is>
      </c>
      <c r="R334" s="34" t="inlineStr">
        <is>
          <t>037/2026</t>
        </is>
      </c>
      <c r="S334" s="35" t="n">
        <v>29465.27</v>
      </c>
      <c r="T334" s="36" t="inlineStr">
        <is>
          <t>IF(AQ334="","",AQ334)</t>
        </is>
      </c>
      <c r="U334" s="37" t="n"/>
      <c r="V334" s="38" t="n">
        <v>6</v>
      </c>
      <c r="W334" s="37" t="n">
        <v>46346</v>
      </c>
      <c r="X334" s="36" t="inlineStr">
        <is>
          <t>IF(W334&lt;&gt;"",W334,IF(OR(T334="",V334=""),"",EDATE(T334,V334)))</t>
        </is>
      </c>
      <c r="Y334" s="37" t="n"/>
      <c r="Z334" s="38" t="n">
        <v>0</v>
      </c>
      <c r="AA334" s="34" t="inlineStr">
        <is>
          <t>Awarded</t>
        </is>
      </c>
      <c r="AB334" s="34" t="inlineStr">
        <is>
          <t>Completed on Sep, 2026</t>
        </is>
      </c>
      <c r="AC334" s="32" t="inlineStr">
        <is>
          <t>IF(F334="","",IF(COUNT(AI334:AV334)=0,IF(AA334="","Not started",AA334),SUBSTITUTE(LOOKUP(2,1/(AI334:AV334&lt;&gt;""),$AI$3:$AV$3),"Date: ","")))</t>
        </is>
      </c>
      <c r="AD334" s="39" t="inlineStr">
        <is>
          <t>IF(OR(F334="",COUNT(AI334:AV334)=0),"",TODAY()-LOOKUP(2,1/(AI334:AV334&lt;&gt;""),AI334:AV334))</t>
        </is>
      </c>
      <c r="AE334" s="39" t="inlineStr">
        <is>
          <t>IF(OR(F334="",COUNT(AI334:AV334)&lt;2),"",LOOKUP(2,1/(AI334:AV334&lt;&gt;""),AI334:AV334)-MIN(AI334:AV334))</t>
        </is>
      </c>
      <c r="AF334" s="39" t="inlineStr">
        <is>
          <t>IF(OR(AD334="",AC334="Not started",AC334=""),"",IFERROR(AD334-IF(VLOOKUP(AC334,'06_Status_Pipeline'!$B$3:$E$20,4,FALSE)="",0,VLOOKUP(AC334,'06_Status_Pipeline'!$B$3:$E$20,4,FALSE)),""))</t>
        </is>
      </c>
      <c r="AG334" s="3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39" t="inlineStr">
        <is>
          <t>IF(OR(F334="",AC334="Completed / Handover",AC334="Cancelled"),"",IF(O334="Not awarded",IF(U334&lt;&gt;"",U334-TODAY(),IF(X334="","",X334-TODAY())),IF(X334="","",X334-TODAY())))</t>
        </is>
      </c>
      <c r="AI334" s="66" t="n"/>
      <c r="AJ334" s="66" t="n"/>
      <c r="AK334" s="66" t="n"/>
      <c r="AL334" s="66" t="n"/>
      <c r="AM334" s="66" t="n"/>
      <c r="AN334" s="66" t="n"/>
      <c r="AO334" s="66" t="n"/>
      <c r="AP334" s="66" t="n"/>
      <c r="AQ334" s="66" t="n">
        <v>46163</v>
      </c>
      <c r="AR334" s="66" t="n"/>
      <c r="AS334" s="66" t="n"/>
      <c r="AT334" s="40" t="n"/>
      <c r="AU334" s="40" t="n"/>
      <c r="AV334" s="40" t="n"/>
      <c r="AW334" s="39" t="inlineStr">
        <is>
          <t>IF(OR(F334="",AJ334=""),"",IF(COUNT(AI334:AI334)=0,"",AJ334-LOOKUP(2,1/(AI334:AI334&lt;&gt;""),AI334:AI334)))</t>
        </is>
      </c>
      <c r="AX334" s="39" t="inlineStr">
        <is>
          <t>IF(OR(F334="",AK334=""),"",IF(COUNT(AI334:AJ334)=0,"",AK334-LOOKUP(2,1/(AI334:AJ334&lt;&gt;""),AI334:AJ334)))</t>
        </is>
      </c>
      <c r="AY334" s="39" t="inlineStr">
        <is>
          <t>IF(OR(F334="",AL334=""),"",IF(COUNT(AI334:AK334)=0,"",AL334-LOOKUP(2,1/(AI334:AK334&lt;&gt;""),AI334:AK334)))</t>
        </is>
      </c>
      <c r="AZ334" s="39" t="inlineStr">
        <is>
          <t>IF(OR(F334="",AM334=""),"",IF(COUNT(AI334:AL334)=0,"",AM334-LOOKUP(2,1/(AI334:AL334&lt;&gt;""),AI334:AL334)))</t>
        </is>
      </c>
      <c r="BA334" s="39" t="inlineStr">
        <is>
          <t>IF(OR(F334="",AN334=""),"",IF(COUNT(AI334:AM334)=0,"",AN334-LOOKUP(2,1/(AI334:AM334&lt;&gt;""),AI334:AM334)))</t>
        </is>
      </c>
      <c r="BB334" s="39" t="inlineStr">
        <is>
          <t>IF(OR(F334="",AO334=""),"",IF(COUNT(AI334:AN334)=0,"",AO334-LOOKUP(2,1/(AI334:AN334&lt;&gt;""),AI334:AN334)))</t>
        </is>
      </c>
      <c r="BC334" s="39" t="inlineStr">
        <is>
          <t>IF(OR(F334="",AP334=""),"",IF(COUNT(AI334:AO334)=0,"",AP334-LOOKUP(2,1/(AI334:AO334&lt;&gt;""),AI334:AO334)))</t>
        </is>
      </c>
      <c r="BD334" s="39" t="inlineStr">
        <is>
          <t>IF(OR(F334="",AQ334=""),"",IF(COUNT(AI334:AP334)=0,"",AQ334-LOOKUP(2,1/(AI334:AP334&lt;&gt;""),AI334:AP334)))</t>
        </is>
      </c>
      <c r="BE334" s="39" t="inlineStr">
        <is>
          <t>IF(OR(F334="",AR334=""),"",IF(COUNT(AI334:AQ334)=0,"",AR334-LOOKUP(2,1/(AI334:AQ334&lt;&gt;""),AI334:AQ334)))</t>
        </is>
      </c>
      <c r="BF334" s="39" t="inlineStr">
        <is>
          <t>IF(OR(F334="",AS334=""),"",IF(COUNT(AI334:AR334)=0,"",AS334-LOOKUP(2,1/(AI334:AR334&lt;&gt;""),AI334:AR334)))</t>
        </is>
      </c>
      <c r="BG334" s="39" t="inlineStr">
        <is>
          <t>IF(OR(F334="",AT334=""),"",IF(COUNT(AI334:AS334)=0,"",AT334-LOOKUP(2,1/(AI334:AS334&lt;&gt;""),AI334:AS334)))</t>
        </is>
      </c>
      <c r="BH334" s="39" t="inlineStr">
        <is>
          <t>IF(OR(F334="",AU334=""),"",IF(COUNT(AI334:AT334)=0,"",AU334-LOOKUP(2,1/(AI334:AT334&lt;&gt;""),AI334:AT334)))</t>
        </is>
      </c>
      <c r="BI334" s="39" t="inlineStr">
        <is>
          <t>IF(OR(F334="",AV334=""),"",IF(COUNT(AI334:AU334)=0,"",AV334-LOOKUP(2,1/(AI334:AU334&lt;&gt;""),AI334:AU334)))</t>
        </is>
      </c>
      <c r="BJ334" s="41" t="inlineStr">
        <is>
          <t>IF(J334="","All_Provinces",IFERROR(VLOOKUP(J334,'09_Lookups'!$A$4:$B$20,2,FALSE),"All_Provinces"))</t>
        </is>
      </c>
      <c r="BK334" s="41" t="inlineStr">
        <is>
          <t>IF(K334="","All_Districts",IFERROR(VLOOKUP(K334,'09_Lookups'!$E$4:$F$42,2,FALSE),"All_Districts"))</t>
        </is>
      </c>
    </row>
    <row r="335" outlineLevel="1" ht="18" customHeight="1">
      <c r="A335" s="42" t="inlineStr">
        <is>
          <t>IF(F335="","",ROW()-3)</t>
        </is>
      </c>
      <c r="B335" s="63" t="inlineStr">
        <is>
          <t>AF2-WSM-27</t>
        </is>
      </c>
      <c r="C335" s="63" t="inlineStr">
        <is>
          <t>Package #27-AF2 WSM: Construction of 5 Check Dams in 5 district sites of 1. Sholish Darra in Namak Ab, 2.Gaji Darra in Hazar Sumoch, 3.Silaba in Khwaja Ghar, 4.Shoor Toghai in Khwaja Bahawudd in and 5.Khalyazi in Yangi Qala districts of Takhar province.</t>
        </is>
      </c>
      <c r="D335" s="63" t="inlineStr">
        <is>
          <t>2 of 5</t>
        </is>
      </c>
      <c r="E335" s="44" t="inlineStr">
        <is>
          <t>AF2-WSM-A-057</t>
        </is>
      </c>
      <c r="F335" s="44" t="inlineStr">
        <is>
          <t>2.Gaji Darra Check Dam</t>
        </is>
      </c>
      <c r="G335" s="44" t="inlineStr">
        <is>
          <t>Watershed Management</t>
        </is>
      </c>
      <c r="H335" s="44" t="inlineStr">
        <is>
          <t>Check Dam</t>
        </is>
      </c>
      <c r="I335" s="44" t="inlineStr">
        <is>
          <t>Emergency Food Security Project (EFSP) – WBK/AF-2</t>
        </is>
      </c>
      <c r="J335" s="44" t="inlineStr">
        <is>
          <t>Northeast / Kunduz</t>
        </is>
      </c>
      <c r="K335" s="44" t="inlineStr">
        <is>
          <t>Takhar</t>
        </is>
      </c>
      <c r="L335" s="44" t="inlineStr">
        <is>
          <t>Hazar Sumoch</t>
        </is>
      </c>
      <c r="M335" s="44" t="inlineStr">
        <is>
          <t>Gaji Darra</t>
        </is>
      </c>
      <c r="N335" s="44" t="inlineStr">
        <is>
          <t>World Bank (WBK/AF-2)</t>
        </is>
      </c>
      <c r="O335" s="44" t="inlineStr">
        <is>
          <t>Awarded</t>
        </is>
      </c>
      <c r="P335" s="44" t="inlineStr">
        <is>
          <t>3.WSM awarded contracts</t>
        </is>
      </c>
      <c r="Q335" s="44" t="inlineStr">
        <is>
          <t>Shafiqullah Wahidi Construction Company (SWCC)</t>
        </is>
      </c>
      <c r="R335" s="44" t="inlineStr">
        <is>
          <t>037/2026</t>
        </is>
      </c>
      <c r="S335" s="45" t="n">
        <v>28776.59</v>
      </c>
      <c r="T335" s="46" t="inlineStr">
        <is>
          <t>IF(AQ335="","",AQ335)</t>
        </is>
      </c>
      <c r="U335" s="47" t="n"/>
      <c r="V335" s="48" t="n">
        <v>6</v>
      </c>
      <c r="W335" s="47" t="n">
        <v>46346</v>
      </c>
      <c r="X335" s="46" t="inlineStr">
        <is>
          <t>IF(W335&lt;&gt;"",W335,IF(OR(T335="",V335=""),"",EDATE(T335,V335)))</t>
        </is>
      </c>
      <c r="Y335" s="47" t="n"/>
      <c r="Z335" s="48" t="n">
        <v>0</v>
      </c>
      <c r="AA335" s="44" t="inlineStr">
        <is>
          <t>Awarded</t>
        </is>
      </c>
      <c r="AB335" s="44" t="inlineStr">
        <is>
          <t>Completed on Sep, 2026</t>
        </is>
      </c>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67" t="n"/>
      <c r="AJ335" s="67" t="n"/>
      <c r="AK335" s="67" t="n"/>
      <c r="AL335" s="67" t="n"/>
      <c r="AM335" s="67" t="n"/>
      <c r="AN335" s="67" t="n"/>
      <c r="AO335" s="67" t="n"/>
      <c r="AP335" s="67" t="n"/>
      <c r="AQ335" s="67" t="n">
        <v>46163</v>
      </c>
      <c r="AR335" s="67" t="n"/>
      <c r="AS335" s="6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outlineLevel="1" ht="18" customHeight="1">
      <c r="A336" s="42" t="inlineStr">
        <is>
          <t>IF(F336="","",ROW()-3)</t>
        </is>
      </c>
      <c r="B336" s="63" t="inlineStr">
        <is>
          <t>AF2-WSM-27</t>
        </is>
      </c>
      <c r="C336" s="63" t="inlineStr">
        <is>
          <t>Package #27-AF2 WSM: Construction of 5 Check Dams in 5 district sites of 1. Sholish Darra in Namak Ab, 2.Gaji Darra in Hazar Sumoch, 3.Silaba in Khwaja Ghar, 4.Shoor Toghai in Khwaja Bahawudd in and 5.Khalyazi in Yangi Qala districts of Takhar province.</t>
        </is>
      </c>
      <c r="D336" s="63" t="inlineStr">
        <is>
          <t>3 of 5</t>
        </is>
      </c>
      <c r="E336" s="52" t="inlineStr">
        <is>
          <t>AF2-WSM-A-058</t>
        </is>
      </c>
      <c r="F336" s="52" t="inlineStr">
        <is>
          <t>3.Silaba Check Dam</t>
        </is>
      </c>
      <c r="G336" s="52" t="inlineStr">
        <is>
          <t>Watershed Management</t>
        </is>
      </c>
      <c r="H336" s="52" t="inlineStr">
        <is>
          <t>Check Dam</t>
        </is>
      </c>
      <c r="I336" s="52" t="inlineStr">
        <is>
          <t>Emergency Food Security Project (EFSP) – WBK/AF-2</t>
        </is>
      </c>
      <c r="J336" s="52" t="inlineStr">
        <is>
          <t>Northeast / Kunduz</t>
        </is>
      </c>
      <c r="K336" s="52" t="inlineStr">
        <is>
          <t>Takhar</t>
        </is>
      </c>
      <c r="L336" s="52" t="inlineStr">
        <is>
          <t>Khwaja Ghar</t>
        </is>
      </c>
      <c r="M336" s="52" t="inlineStr">
        <is>
          <t>Charagh Sai-e, Silaba</t>
        </is>
      </c>
      <c r="N336" s="52" t="inlineStr">
        <is>
          <t>World Bank (WBK/AF-2)</t>
        </is>
      </c>
      <c r="O336" s="52" t="inlineStr">
        <is>
          <t>Awarded</t>
        </is>
      </c>
      <c r="P336" s="52" t="inlineStr">
        <is>
          <t>3.WSM awarded contracts</t>
        </is>
      </c>
      <c r="Q336" s="52" t="inlineStr">
        <is>
          <t>Shafiqullah Wahidi Construction Company (SWCC)</t>
        </is>
      </c>
      <c r="R336" s="52" t="inlineStr">
        <is>
          <t>037/2026</t>
        </is>
      </c>
      <c r="S336" s="53" t="n">
        <v>17455.39</v>
      </c>
      <c r="T336" s="46" t="inlineStr">
        <is>
          <t>IF(AQ336="","",AQ336)</t>
        </is>
      </c>
      <c r="U336" s="54" t="n"/>
      <c r="V336" s="55" t="n">
        <v>6</v>
      </c>
      <c r="W336" s="54" t="n">
        <v>46346</v>
      </c>
      <c r="X336" s="46" t="inlineStr">
        <is>
          <t>IF(W336&lt;&gt;"",W336,IF(OR(T336="",V336=""),"",EDATE(T336,V336)))</t>
        </is>
      </c>
      <c r="Y336" s="54" t="n"/>
      <c r="Z336" s="55" t="n">
        <v>100</v>
      </c>
      <c r="AA336" s="52" t="inlineStr">
        <is>
          <t>Completed / Handover</t>
        </is>
      </c>
      <c r="AB336" s="52" t="inlineStr">
        <is>
          <t>Completed on Sep, 2026</t>
        </is>
      </c>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67" t="n"/>
      <c r="AJ336" s="67" t="n"/>
      <c r="AK336" s="67" t="n"/>
      <c r="AL336" s="67" t="n"/>
      <c r="AM336" s="67" t="n"/>
      <c r="AN336" s="67" t="n"/>
      <c r="AO336" s="67" t="n"/>
      <c r="AP336" s="67" t="n"/>
      <c r="AQ336" s="67" t="n">
        <v>46163</v>
      </c>
      <c r="AR336" s="67" t="n">
        <v>46163</v>
      </c>
      <c r="AS336" s="67" t="n">
        <v>46346</v>
      </c>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outlineLevel="1" ht="18" customHeight="1">
      <c r="A337" s="42" t="inlineStr">
        <is>
          <t>IF(F337="","",ROW()-3)</t>
        </is>
      </c>
      <c r="B337" s="63" t="inlineStr">
        <is>
          <t>AF2-WSM-27</t>
        </is>
      </c>
      <c r="C337" s="63" t="inlineStr">
        <is>
          <t>Package #27-AF2 WSM: Construction of 5 Check Dams in 5 district sites of 1. Sholish Darra in Namak Ab, 2.Gaji Darra in Hazar Sumoch, 3.Silaba in Khwaja Ghar, 4.Shoor Toghai in Khwaja Bahawudd in and 5.Khalyazi in Yangi Qala districts of Takhar province.</t>
        </is>
      </c>
      <c r="D337" s="63" t="inlineStr">
        <is>
          <t>4 of 5</t>
        </is>
      </c>
      <c r="E337" s="44" t="inlineStr">
        <is>
          <t>AF2-WSM-A-059</t>
        </is>
      </c>
      <c r="F337" s="44" t="inlineStr">
        <is>
          <t>4.Shoor Toghai Check Dam</t>
        </is>
      </c>
      <c r="G337" s="44" t="inlineStr">
        <is>
          <t>Watershed Management</t>
        </is>
      </c>
      <c r="H337" s="44" t="inlineStr">
        <is>
          <t>Check Dam</t>
        </is>
      </c>
      <c r="I337" s="44" t="inlineStr">
        <is>
          <t>Emergency Food Security Project (EFSP) – WBK/AF-2</t>
        </is>
      </c>
      <c r="J337" s="44" t="inlineStr">
        <is>
          <t>Northeast / Kunduz</t>
        </is>
      </c>
      <c r="K337" s="44" t="inlineStr">
        <is>
          <t>Takhar</t>
        </is>
      </c>
      <c r="L337" s="44" t="inlineStr">
        <is>
          <t>Khwaja Bahawuddin</t>
        </is>
      </c>
      <c r="M337" s="44" t="inlineStr">
        <is>
          <t>Shoor Toghai and Koratam</t>
        </is>
      </c>
      <c r="N337" s="44" t="inlineStr">
        <is>
          <t>World Bank (WBK/AF-2)</t>
        </is>
      </c>
      <c r="O337" s="44" t="inlineStr">
        <is>
          <t>Awarded</t>
        </is>
      </c>
      <c r="P337" s="44" t="inlineStr">
        <is>
          <t>3.WSM awarded contracts</t>
        </is>
      </c>
      <c r="Q337" s="44" t="inlineStr">
        <is>
          <t>Shafiqullah Wahidi Construction Company (SWCC)</t>
        </is>
      </c>
      <c r="R337" s="44" t="inlineStr">
        <is>
          <t>037/2026</t>
        </is>
      </c>
      <c r="S337" s="45" t="n">
        <v>93678.89999999999</v>
      </c>
      <c r="T337" s="46" t="inlineStr">
        <is>
          <t>IF(AQ337="","",AQ337)</t>
        </is>
      </c>
      <c r="U337" s="47" t="n"/>
      <c r="V337" s="48" t="n">
        <v>6</v>
      </c>
      <c r="W337" s="47" t="n">
        <v>46346</v>
      </c>
      <c r="X337" s="46" t="inlineStr">
        <is>
          <t>IF(W337&lt;&gt;"",W337,IF(OR(T337="",V337=""),"",EDATE(T337,V337)))</t>
        </is>
      </c>
      <c r="Y337" s="47" t="n"/>
      <c r="Z337" s="48" t="n">
        <v>80</v>
      </c>
      <c r="AA337" s="44" t="inlineStr">
        <is>
          <t>Under Construction</t>
        </is>
      </c>
      <c r="AB337" s="44" t="inlineStr">
        <is>
          <t>Completed on Sep, 2026</t>
        </is>
      </c>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67" t="n"/>
      <c r="AJ337" s="67" t="n"/>
      <c r="AK337" s="67" t="n"/>
      <c r="AL337" s="67" t="n"/>
      <c r="AM337" s="67" t="n"/>
      <c r="AN337" s="67" t="n"/>
      <c r="AO337" s="67" t="n"/>
      <c r="AP337" s="67" t="n"/>
      <c r="AQ337" s="67" t="n">
        <v>46163</v>
      </c>
      <c r="AR337" s="67" t="n">
        <v>46163</v>
      </c>
      <c r="AS337" s="6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outlineLevel="1" ht="18" customHeight="1">
      <c r="A338" s="42" t="inlineStr">
        <is>
          <t>IF(F338="","",ROW()-3)</t>
        </is>
      </c>
      <c r="B338" s="63" t="inlineStr">
        <is>
          <t>AF2-WSM-27</t>
        </is>
      </c>
      <c r="C338" s="63" t="inlineStr">
        <is>
          <t>Package #27-AF2 WSM: Construction of 5 Check Dams in 5 district sites of 1. Sholish Darra in Namak Ab, 2.Gaji Darra in Hazar Sumoch, 3.Silaba in Khwaja Ghar, 4.Shoor Toghai in Khwaja Bahawudd in and 5.Khalyazi in Yangi Qala districts of Takhar province.</t>
        </is>
      </c>
      <c r="D338" s="63" t="inlineStr">
        <is>
          <t>5 of 5</t>
        </is>
      </c>
      <c r="E338" s="52" t="inlineStr">
        <is>
          <t>AF2-WSM-A-060</t>
        </is>
      </c>
      <c r="F338" s="52" t="inlineStr">
        <is>
          <t>5.Khalyazi Check Dam</t>
        </is>
      </c>
      <c r="G338" s="52" t="inlineStr">
        <is>
          <t>Watershed Management</t>
        </is>
      </c>
      <c r="H338" s="52" t="inlineStr">
        <is>
          <t>Check Dam</t>
        </is>
      </c>
      <c r="I338" s="52" t="inlineStr">
        <is>
          <t>Emergency Food Security Project (EFSP) – WBK/AF-2</t>
        </is>
      </c>
      <c r="J338" s="52" t="inlineStr">
        <is>
          <t>Northeast / Kunduz</t>
        </is>
      </c>
      <c r="K338" s="52" t="inlineStr">
        <is>
          <t>Takhar</t>
        </is>
      </c>
      <c r="L338" s="52" t="inlineStr">
        <is>
          <t>Yangi Qala</t>
        </is>
      </c>
      <c r="M338" s="52" t="inlineStr">
        <is>
          <t>Khalyazi</t>
        </is>
      </c>
      <c r="N338" s="52" t="inlineStr">
        <is>
          <t>World Bank (WBK/AF-2)</t>
        </is>
      </c>
      <c r="O338" s="52" t="inlineStr">
        <is>
          <t>Awarded</t>
        </is>
      </c>
      <c r="P338" s="52" t="inlineStr">
        <is>
          <t>3.WSM awarded contracts</t>
        </is>
      </c>
      <c r="Q338" s="52" t="inlineStr">
        <is>
          <t>Shafiqullah Wahidi Construction Company (SWCC)</t>
        </is>
      </c>
      <c r="R338" s="52" t="inlineStr">
        <is>
          <t>037/2026</t>
        </is>
      </c>
      <c r="S338" s="53" t="n">
        <v>30229.57</v>
      </c>
      <c r="T338" s="46" t="inlineStr">
        <is>
          <t>IF(AQ338="","",AQ338)</t>
        </is>
      </c>
      <c r="U338" s="54" t="n"/>
      <c r="V338" s="55" t="n">
        <v>6</v>
      </c>
      <c r="W338" s="54" t="n">
        <v>46346</v>
      </c>
      <c r="X338" s="46" t="inlineStr">
        <is>
          <t>IF(W338&lt;&gt;"",W338,IF(OR(T338="",V338=""),"",EDATE(T338,V338)))</t>
        </is>
      </c>
      <c r="Y338" s="54" t="n"/>
      <c r="Z338" s="55" t="n">
        <v>0</v>
      </c>
      <c r="AA338" s="52" t="inlineStr">
        <is>
          <t>Awarded</t>
        </is>
      </c>
      <c r="AB338" s="52" t="inlineStr">
        <is>
          <t>Completed on Sep, 2026</t>
        </is>
      </c>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67" t="n"/>
      <c r="AJ338" s="67" t="n"/>
      <c r="AK338" s="67" t="n"/>
      <c r="AL338" s="67" t="n"/>
      <c r="AM338" s="67" t="n"/>
      <c r="AN338" s="67" t="n"/>
      <c r="AO338" s="67" t="n"/>
      <c r="AP338" s="67" t="n"/>
      <c r="AQ338" s="67" t="n">
        <v>46163</v>
      </c>
      <c r="AR338" s="67" t="n"/>
      <c r="AS338" s="67"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32" t="inlineStr">
        <is>
          <t>IF(F339="","",ROW()-3)</t>
        </is>
      </c>
      <c r="B339" s="64" t="inlineStr">
        <is>
          <t>AF2-WSM-28</t>
        </is>
      </c>
      <c r="C339" s="64" t="inlineStr">
        <is>
          <t>Package #28-AF2 WSM: Construction of 2 Check dams of 1. Chatqa Sai in Dahna-e-Ghori and 2.Tahiryan in Baghlan Markazi districts of Baghlan province.</t>
        </is>
      </c>
      <c r="D339" s="64" t="inlineStr">
        <is>
          <t>1 of 2</t>
        </is>
      </c>
      <c r="E339" s="57" t="inlineStr">
        <is>
          <t>AF2-WSM-A-061</t>
        </is>
      </c>
      <c r="F339" s="57" t="inlineStr">
        <is>
          <t>Chatqa Sai Check Dam</t>
        </is>
      </c>
      <c r="G339" s="57" t="inlineStr">
        <is>
          <t>Watershed Management</t>
        </is>
      </c>
      <c r="H339" s="57" t="inlineStr">
        <is>
          <t>Check Dam</t>
        </is>
      </c>
      <c r="I339" s="57" t="inlineStr">
        <is>
          <t>Emergency Food Security Project (EFSP) – WBK/AF-2</t>
        </is>
      </c>
      <c r="J339" s="57" t="inlineStr">
        <is>
          <t>Northeast / Kunduz</t>
        </is>
      </c>
      <c r="K339" s="57" t="inlineStr">
        <is>
          <t>Baghlan</t>
        </is>
      </c>
      <c r="L339" s="57" t="inlineStr">
        <is>
          <t>Dahna-e-Ghori</t>
        </is>
      </c>
      <c r="M339" s="57" t="inlineStr">
        <is>
          <t>Chatqa Sai</t>
        </is>
      </c>
      <c r="N339" s="57" t="inlineStr">
        <is>
          <t>World Bank (WBK/AF-2)</t>
        </is>
      </c>
      <c r="O339" s="57" t="inlineStr">
        <is>
          <t>Awarded</t>
        </is>
      </c>
      <c r="P339" s="57" t="inlineStr">
        <is>
          <t>3.WSM awarded contracts</t>
        </is>
      </c>
      <c r="Q339" s="57" t="inlineStr">
        <is>
          <t>Arman Sharq Construction Company ASCC)</t>
        </is>
      </c>
      <c r="R339" s="57" t="inlineStr">
        <is>
          <t>054/2026</t>
        </is>
      </c>
      <c r="S339" s="58" t="n">
        <v>62969</v>
      </c>
      <c r="T339" s="36" t="inlineStr">
        <is>
          <t>IF(AQ339="","",AQ339)</t>
        </is>
      </c>
      <c r="U339" s="59" t="n"/>
      <c r="V339" s="60" t="n">
        <v>4</v>
      </c>
      <c r="W339" s="59" t="n">
        <v>46363</v>
      </c>
      <c r="X339" s="36" t="inlineStr">
        <is>
          <t>IF(W339&lt;&gt;"",W339,IF(OR(T339="",V339=""),"",EDATE(T339,V339)))</t>
        </is>
      </c>
      <c r="Y339" s="59" t="n"/>
      <c r="Z339" s="60" t="n">
        <v>70</v>
      </c>
      <c r="AA339" s="57" t="inlineStr">
        <is>
          <t>Under Construction</t>
        </is>
      </c>
      <c r="AB339" s="57" t="inlineStr">
        <is>
          <t>Completed on Sep, 2026</t>
        </is>
      </c>
      <c r="AC339" s="32" t="inlineStr">
        <is>
          <t>IF(F339="","",IF(COUNT(AI339:AV339)=0,IF(AA339="","Not started",AA339),SUBSTITUTE(LOOKUP(2,1/(AI339:AV339&lt;&gt;""),$AI$3:$AV$3),"Date: ","")))</t>
        </is>
      </c>
      <c r="AD339" s="39" t="inlineStr">
        <is>
          <t>IF(OR(F339="",COUNT(AI339:AV339)=0),"",TODAY()-LOOKUP(2,1/(AI339:AV339&lt;&gt;""),AI339:AV339))</t>
        </is>
      </c>
      <c r="AE339" s="39" t="inlineStr">
        <is>
          <t>IF(OR(F339="",COUNT(AI339:AV339)&lt;2),"",LOOKUP(2,1/(AI339:AV339&lt;&gt;""),AI339:AV339)-MIN(AI339:AV339))</t>
        </is>
      </c>
      <c r="AF339" s="39" t="inlineStr">
        <is>
          <t>IF(OR(AD339="",AC339="Not started",AC339=""),"",IFERROR(AD339-IF(VLOOKUP(AC339,'06_Status_Pipeline'!$B$3:$E$20,4,FALSE)="",0,VLOOKUP(AC339,'06_Status_Pipeline'!$B$3:$E$20,4,FALSE)),""))</t>
        </is>
      </c>
      <c r="AG339" s="3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39" t="inlineStr">
        <is>
          <t>IF(OR(F339="",AC339="Completed / Handover",AC339="Cancelled"),"",IF(O339="Not awarded",IF(U339&lt;&gt;"",U339-TODAY(),IF(X339="","",X339-TODAY())),IF(X339="","",X339-TODAY())))</t>
        </is>
      </c>
      <c r="AI339" s="66" t="n"/>
      <c r="AJ339" s="66" t="n"/>
      <c r="AK339" s="66" t="n"/>
      <c r="AL339" s="66" t="n"/>
      <c r="AM339" s="66" t="n"/>
      <c r="AN339" s="66" t="n"/>
      <c r="AO339" s="66" t="n"/>
      <c r="AP339" s="66" t="n"/>
      <c r="AQ339" s="66" t="n">
        <v>46242</v>
      </c>
      <c r="AR339" s="66" t="n">
        <v>46242</v>
      </c>
      <c r="AS339" s="66" t="n"/>
      <c r="AT339" s="40" t="n"/>
      <c r="AU339" s="40" t="n"/>
      <c r="AV339" s="40" t="n"/>
      <c r="AW339" s="39" t="inlineStr">
        <is>
          <t>IF(OR(F339="",AJ339=""),"",IF(COUNT(AI339:AI339)=0,"",AJ339-LOOKUP(2,1/(AI339:AI339&lt;&gt;""),AI339:AI339)))</t>
        </is>
      </c>
      <c r="AX339" s="39" t="inlineStr">
        <is>
          <t>IF(OR(F339="",AK339=""),"",IF(COUNT(AI339:AJ339)=0,"",AK339-LOOKUP(2,1/(AI339:AJ339&lt;&gt;""),AI339:AJ339)))</t>
        </is>
      </c>
      <c r="AY339" s="39" t="inlineStr">
        <is>
          <t>IF(OR(F339="",AL339=""),"",IF(COUNT(AI339:AK339)=0,"",AL339-LOOKUP(2,1/(AI339:AK339&lt;&gt;""),AI339:AK339)))</t>
        </is>
      </c>
      <c r="AZ339" s="39" t="inlineStr">
        <is>
          <t>IF(OR(F339="",AM339=""),"",IF(COUNT(AI339:AL339)=0,"",AM339-LOOKUP(2,1/(AI339:AL339&lt;&gt;""),AI339:AL339)))</t>
        </is>
      </c>
      <c r="BA339" s="39" t="inlineStr">
        <is>
          <t>IF(OR(F339="",AN339=""),"",IF(COUNT(AI339:AM339)=0,"",AN339-LOOKUP(2,1/(AI339:AM339&lt;&gt;""),AI339:AM339)))</t>
        </is>
      </c>
      <c r="BB339" s="39" t="inlineStr">
        <is>
          <t>IF(OR(F339="",AO339=""),"",IF(COUNT(AI339:AN339)=0,"",AO339-LOOKUP(2,1/(AI339:AN339&lt;&gt;""),AI339:AN339)))</t>
        </is>
      </c>
      <c r="BC339" s="39" t="inlineStr">
        <is>
          <t>IF(OR(F339="",AP339=""),"",IF(COUNT(AI339:AO339)=0,"",AP339-LOOKUP(2,1/(AI339:AO339&lt;&gt;""),AI339:AO339)))</t>
        </is>
      </c>
      <c r="BD339" s="39" t="inlineStr">
        <is>
          <t>IF(OR(F339="",AQ339=""),"",IF(COUNT(AI339:AP339)=0,"",AQ339-LOOKUP(2,1/(AI339:AP339&lt;&gt;""),AI339:AP339)))</t>
        </is>
      </c>
      <c r="BE339" s="39" t="inlineStr">
        <is>
          <t>IF(OR(F339="",AR339=""),"",IF(COUNT(AI339:AQ339)=0,"",AR339-LOOKUP(2,1/(AI339:AQ339&lt;&gt;""),AI339:AQ339)))</t>
        </is>
      </c>
      <c r="BF339" s="39" t="inlineStr">
        <is>
          <t>IF(OR(F339="",AS339=""),"",IF(COUNT(AI339:AR339)=0,"",AS339-LOOKUP(2,1/(AI339:AR339&lt;&gt;""),AI339:AR339)))</t>
        </is>
      </c>
      <c r="BG339" s="39" t="inlineStr">
        <is>
          <t>IF(OR(F339="",AT339=""),"",IF(COUNT(AI339:AS339)=0,"",AT339-LOOKUP(2,1/(AI339:AS339&lt;&gt;""),AI339:AS339)))</t>
        </is>
      </c>
      <c r="BH339" s="39" t="inlineStr">
        <is>
          <t>IF(OR(F339="",AU339=""),"",IF(COUNT(AI339:AT339)=0,"",AU339-LOOKUP(2,1/(AI339:AT339&lt;&gt;""),AI339:AT339)))</t>
        </is>
      </c>
      <c r="BI339" s="39" t="inlineStr">
        <is>
          <t>IF(OR(F339="",AV339=""),"",IF(COUNT(AI339:AU339)=0,"",AV339-LOOKUP(2,1/(AI339:AU339&lt;&gt;""),AI339:AU339)))</t>
        </is>
      </c>
      <c r="BJ339" s="41" t="inlineStr">
        <is>
          <t>IF(J339="","All_Provinces",IFERROR(VLOOKUP(J339,'09_Lookups'!$A$4:$B$20,2,FALSE),"All_Provinces"))</t>
        </is>
      </c>
      <c r="BK339" s="41" t="inlineStr">
        <is>
          <t>IF(K339="","All_Districts",IFERROR(VLOOKUP(K339,'09_Lookups'!$E$4:$F$42,2,FALSE),"All_Districts"))</t>
        </is>
      </c>
    </row>
    <row r="340" outlineLevel="1" ht="18" customHeight="1">
      <c r="A340" s="42" t="inlineStr">
        <is>
          <t>IF(F340="","",ROW()-3)</t>
        </is>
      </c>
      <c r="B340" s="65" t="inlineStr">
        <is>
          <t>AF2-WSM-28</t>
        </is>
      </c>
      <c r="C340" s="65" t="inlineStr">
        <is>
          <t>Package #28-AF2 WSM: Construction of 2 Check dams of 1. Chatqa Sai in Dahna-e-Ghori and 2.Tahiryan in Baghlan Markazi districts of Baghlan province.</t>
        </is>
      </c>
      <c r="D340" s="65" t="inlineStr">
        <is>
          <t>2 of 2</t>
        </is>
      </c>
      <c r="E340" s="52" t="inlineStr">
        <is>
          <t>AF2-WSM-A-062</t>
        </is>
      </c>
      <c r="F340" s="52" t="inlineStr">
        <is>
          <t>Tahiryan Check Dam</t>
        </is>
      </c>
      <c r="G340" s="52" t="inlineStr">
        <is>
          <t>Watershed Management</t>
        </is>
      </c>
      <c r="H340" s="52" t="inlineStr">
        <is>
          <t>Check Dam</t>
        </is>
      </c>
      <c r="I340" s="52" t="inlineStr">
        <is>
          <t>Emergency Food Security Project (EFSP) – WBK/AF-2</t>
        </is>
      </c>
      <c r="J340" s="52" t="inlineStr">
        <is>
          <t>Northeast / Kunduz</t>
        </is>
      </c>
      <c r="K340" s="52" t="inlineStr">
        <is>
          <t>Baghlan</t>
        </is>
      </c>
      <c r="L340" s="52" t="inlineStr">
        <is>
          <t>Baghlan Markazi</t>
        </is>
      </c>
      <c r="M340" s="52" t="inlineStr">
        <is>
          <t>Tahiryan</t>
        </is>
      </c>
      <c r="N340" s="52" t="inlineStr">
        <is>
          <t>World Bank (WBK/AF-2)</t>
        </is>
      </c>
      <c r="O340" s="52" t="inlineStr">
        <is>
          <t>Awarded</t>
        </is>
      </c>
      <c r="P340" s="52" t="inlineStr">
        <is>
          <t>3.WSM awarded contracts</t>
        </is>
      </c>
      <c r="Q340" s="52" t="inlineStr">
        <is>
          <t>Arman Sharq Construction Company ASCC)</t>
        </is>
      </c>
      <c r="R340" s="52" t="inlineStr">
        <is>
          <t>054/2026</t>
        </is>
      </c>
      <c r="S340" s="53" t="n">
        <v>36531</v>
      </c>
      <c r="T340" s="46" t="inlineStr">
        <is>
          <t>IF(AQ340="","",AQ340)</t>
        </is>
      </c>
      <c r="U340" s="54" t="n"/>
      <c r="V340" s="55" t="n">
        <v>4</v>
      </c>
      <c r="W340" s="54" t="n">
        <v>46363</v>
      </c>
      <c r="X340" s="46" t="inlineStr">
        <is>
          <t>IF(W340&lt;&gt;"",W340,IF(OR(T340="",V340=""),"",EDATE(T340,V340)))</t>
        </is>
      </c>
      <c r="Y340" s="54" t="n"/>
      <c r="Z340" s="55" t="n">
        <v>5</v>
      </c>
      <c r="AA340" s="52" t="inlineStr">
        <is>
          <t>Under Construction</t>
        </is>
      </c>
      <c r="AB340" s="52" t="inlineStr">
        <is>
          <t>Completed on Sep, 2026</t>
        </is>
      </c>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67" t="n"/>
      <c r="AJ340" s="67" t="n"/>
      <c r="AK340" s="67" t="n"/>
      <c r="AL340" s="67" t="n"/>
      <c r="AM340" s="67" t="n"/>
      <c r="AN340" s="67" t="n"/>
      <c r="AO340" s="67" t="n"/>
      <c r="AP340" s="67" t="n"/>
      <c r="AQ340" s="67" t="n">
        <v>46242</v>
      </c>
      <c r="AR340" s="67" t="n">
        <v>46242</v>
      </c>
      <c r="AS340" s="67"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32" t="inlineStr">
        <is>
          <t>IF(F341="","",ROW()-3)</t>
        </is>
      </c>
      <c r="B341" s="33" t="inlineStr">
        <is>
          <t>AF2-WSM-29</t>
        </is>
      </c>
      <c r="C341" s="33" t="inlineStr">
        <is>
          <t>Package # 29-AF2 WSM: Construction 1. Alburs and 2. Marmul Check dams, located in Marmul and Alburs districts of Balkh province</t>
        </is>
      </c>
      <c r="D341" s="33" t="inlineStr">
        <is>
          <t>1 of 2</t>
        </is>
      </c>
      <c r="E341" s="57" t="inlineStr">
        <is>
          <t>AF2-WSM-A-063</t>
        </is>
      </c>
      <c r="F341" s="57" t="inlineStr">
        <is>
          <t>Alburz Check dam</t>
        </is>
      </c>
      <c r="G341" s="57" t="inlineStr">
        <is>
          <t>Watershed Management</t>
        </is>
      </c>
      <c r="H341" s="57" t="inlineStr">
        <is>
          <t>Check Dam</t>
        </is>
      </c>
      <c r="I341" s="57" t="inlineStr">
        <is>
          <t>Emergency Food Security Project (EFSP) – WBK/AF-2</t>
        </is>
      </c>
      <c r="J341" s="57" t="inlineStr">
        <is>
          <t>North / Mazar</t>
        </is>
      </c>
      <c r="K341" s="57" t="inlineStr">
        <is>
          <t>Balkh</t>
        </is>
      </c>
      <c r="L341" s="57" t="inlineStr">
        <is>
          <t>Alburz</t>
        </is>
      </c>
      <c r="M341" s="57" t="inlineStr">
        <is>
          <t>Barga Turkmaniya, Tagab-e-Emam Sahib Fatima Khail, Khedr Khail</t>
        </is>
      </c>
      <c r="N341" s="57" t="inlineStr">
        <is>
          <t>World Bank (WBK/AF-2)</t>
        </is>
      </c>
      <c r="O341" s="57" t="inlineStr">
        <is>
          <t>Awarded</t>
        </is>
      </c>
      <c r="P341" s="57" t="inlineStr">
        <is>
          <t>3.WSM awarded contracts</t>
        </is>
      </c>
      <c r="Q341" s="57" t="inlineStr">
        <is>
          <t>Omar Mortaza Construction &amp; Road Building JV Karwan Seraji Construction and Road Building Company (OMCC&amp;KSCC)</t>
        </is>
      </c>
      <c r="R341" s="57" t="inlineStr">
        <is>
          <t>034/2026</t>
        </is>
      </c>
      <c r="S341" s="58" t="n">
        <v>54628.26</v>
      </c>
      <c r="T341" s="36" t="inlineStr">
        <is>
          <t>IF(AQ341="","",AQ341)</t>
        </is>
      </c>
      <c r="U341" s="59" t="n"/>
      <c r="V341" s="60" t="n">
        <v>5</v>
      </c>
      <c r="W341" s="59" t="n">
        <v>46306</v>
      </c>
      <c r="X341" s="36" t="inlineStr">
        <is>
          <t>IF(W341&lt;&gt;"",W341,IF(OR(T341="",V341=""),"",EDATE(T341,V341)))</t>
        </is>
      </c>
      <c r="Y341" s="59" t="n"/>
      <c r="Z341" s="60" t="n">
        <v>100</v>
      </c>
      <c r="AA341" s="57" t="inlineStr">
        <is>
          <t>Completed / Handover</t>
        </is>
      </c>
      <c r="AB341" s="57" t="inlineStr">
        <is>
          <t>Completed on Sep, 2026</t>
        </is>
      </c>
      <c r="AC341" s="32" t="inlineStr">
        <is>
          <t>IF(F341="","",IF(COUNT(AI341:AV341)=0,IF(AA341="","Not started",AA341),SUBSTITUTE(LOOKUP(2,1/(AI341:AV341&lt;&gt;""),$AI$3:$AV$3),"Date: ","")))</t>
        </is>
      </c>
      <c r="AD341" s="39" t="inlineStr">
        <is>
          <t>IF(OR(F341="",COUNT(AI341:AV341)=0),"",TODAY()-LOOKUP(2,1/(AI341:AV341&lt;&gt;""),AI341:AV341))</t>
        </is>
      </c>
      <c r="AE341" s="39" t="inlineStr">
        <is>
          <t>IF(OR(F341="",COUNT(AI341:AV341)&lt;2),"",LOOKUP(2,1/(AI341:AV341&lt;&gt;""),AI341:AV341)-MIN(AI341:AV341))</t>
        </is>
      </c>
      <c r="AF341" s="39" t="inlineStr">
        <is>
          <t>IF(OR(AD341="",AC341="Not started",AC341=""),"",IFERROR(AD341-IF(VLOOKUP(AC341,'06_Status_Pipeline'!$B$3:$E$20,4,FALSE)="",0,VLOOKUP(AC341,'06_Status_Pipeline'!$B$3:$E$20,4,FALSE)),""))</t>
        </is>
      </c>
      <c r="AG341" s="3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39" t="inlineStr">
        <is>
          <t>IF(OR(F341="",AC341="Completed / Handover",AC341="Cancelled"),"",IF(O341="Not awarded",IF(U341&lt;&gt;"",U341-TODAY(),IF(X341="","",X341-TODAY())),IF(X341="","",X341-TODAY())))</t>
        </is>
      </c>
      <c r="AI341" s="66" t="n"/>
      <c r="AJ341" s="66" t="n"/>
      <c r="AK341" s="66" t="n"/>
      <c r="AL341" s="66" t="n"/>
      <c r="AM341" s="66" t="n"/>
      <c r="AN341" s="66" t="n"/>
      <c r="AO341" s="66" t="n"/>
      <c r="AP341" s="66" t="n"/>
      <c r="AQ341" s="66" t="n">
        <v>46154</v>
      </c>
      <c r="AR341" s="66" t="n">
        <v>46154</v>
      </c>
      <c r="AS341" s="66" t="n">
        <v>46306</v>
      </c>
      <c r="AT341" s="40" t="n"/>
      <c r="AU341" s="40" t="n"/>
      <c r="AV341" s="40" t="n"/>
      <c r="AW341" s="39" t="inlineStr">
        <is>
          <t>IF(OR(F341="",AJ341=""),"",IF(COUNT(AI341:AI341)=0,"",AJ341-LOOKUP(2,1/(AI341:AI341&lt;&gt;""),AI341:AI341)))</t>
        </is>
      </c>
      <c r="AX341" s="39" t="inlineStr">
        <is>
          <t>IF(OR(F341="",AK341=""),"",IF(COUNT(AI341:AJ341)=0,"",AK341-LOOKUP(2,1/(AI341:AJ341&lt;&gt;""),AI341:AJ341)))</t>
        </is>
      </c>
      <c r="AY341" s="39" t="inlineStr">
        <is>
          <t>IF(OR(F341="",AL341=""),"",IF(COUNT(AI341:AK341)=0,"",AL341-LOOKUP(2,1/(AI341:AK341&lt;&gt;""),AI341:AK341)))</t>
        </is>
      </c>
      <c r="AZ341" s="39" t="inlineStr">
        <is>
          <t>IF(OR(F341="",AM341=""),"",IF(COUNT(AI341:AL341)=0,"",AM341-LOOKUP(2,1/(AI341:AL341&lt;&gt;""),AI341:AL341)))</t>
        </is>
      </c>
      <c r="BA341" s="39" t="inlineStr">
        <is>
          <t>IF(OR(F341="",AN341=""),"",IF(COUNT(AI341:AM341)=0,"",AN341-LOOKUP(2,1/(AI341:AM341&lt;&gt;""),AI341:AM341)))</t>
        </is>
      </c>
      <c r="BB341" s="39" t="inlineStr">
        <is>
          <t>IF(OR(F341="",AO341=""),"",IF(COUNT(AI341:AN341)=0,"",AO341-LOOKUP(2,1/(AI341:AN341&lt;&gt;""),AI341:AN341)))</t>
        </is>
      </c>
      <c r="BC341" s="39" t="inlineStr">
        <is>
          <t>IF(OR(F341="",AP341=""),"",IF(COUNT(AI341:AO341)=0,"",AP341-LOOKUP(2,1/(AI341:AO341&lt;&gt;""),AI341:AO341)))</t>
        </is>
      </c>
      <c r="BD341" s="39" t="inlineStr">
        <is>
          <t>IF(OR(F341="",AQ341=""),"",IF(COUNT(AI341:AP341)=0,"",AQ341-LOOKUP(2,1/(AI341:AP341&lt;&gt;""),AI341:AP341)))</t>
        </is>
      </c>
      <c r="BE341" s="39" t="inlineStr">
        <is>
          <t>IF(OR(F341="",AR341=""),"",IF(COUNT(AI341:AQ341)=0,"",AR341-LOOKUP(2,1/(AI341:AQ341&lt;&gt;""),AI341:AQ341)))</t>
        </is>
      </c>
      <c r="BF341" s="39" t="inlineStr">
        <is>
          <t>IF(OR(F341="",AS341=""),"",IF(COUNT(AI341:AR341)=0,"",AS341-LOOKUP(2,1/(AI341:AR341&lt;&gt;""),AI341:AR341)))</t>
        </is>
      </c>
      <c r="BG341" s="39" t="inlineStr">
        <is>
          <t>IF(OR(F341="",AT341=""),"",IF(COUNT(AI341:AS341)=0,"",AT341-LOOKUP(2,1/(AI341:AS341&lt;&gt;""),AI341:AS341)))</t>
        </is>
      </c>
      <c r="BH341" s="39" t="inlineStr">
        <is>
          <t>IF(OR(F341="",AU341=""),"",IF(COUNT(AI341:AT341)=0,"",AU341-LOOKUP(2,1/(AI341:AT341&lt;&gt;""),AI341:AT341)))</t>
        </is>
      </c>
      <c r="BI341" s="39" t="inlineStr">
        <is>
          <t>IF(OR(F341="",AV341=""),"",IF(COUNT(AI341:AU341)=0,"",AV341-LOOKUP(2,1/(AI341:AU341&lt;&gt;""),AI341:AU341)))</t>
        </is>
      </c>
      <c r="BJ341" s="41" t="inlineStr">
        <is>
          <t>IF(J341="","All_Provinces",IFERROR(VLOOKUP(J341,'09_Lookups'!$A$4:$B$20,2,FALSE),"All_Provinces"))</t>
        </is>
      </c>
      <c r="BK341" s="41" t="inlineStr">
        <is>
          <t>IF(K341="","All_Districts",IFERROR(VLOOKUP(K341,'09_Lookups'!$E$4:$F$42,2,FALSE),"All_Districts"))</t>
        </is>
      </c>
    </row>
    <row r="342" outlineLevel="1" ht="18" customHeight="1">
      <c r="A342" s="42" t="inlineStr">
        <is>
          <t>IF(F342="","",ROW()-3)</t>
        </is>
      </c>
      <c r="B342" s="43" t="inlineStr">
        <is>
          <t>AF2-WSM-29</t>
        </is>
      </c>
      <c r="C342" s="43" t="inlineStr">
        <is>
          <t>Package # 29-AF2 WSM: Construction 1. Alburs and 2. Marmul Check dams, located in Marmul and Alburs districts of Balkh province</t>
        </is>
      </c>
      <c r="D342" s="43" t="inlineStr">
        <is>
          <t>2 of 2</t>
        </is>
      </c>
      <c r="E342" s="52" t="inlineStr">
        <is>
          <t>AF2-WSM-A-064</t>
        </is>
      </c>
      <c r="F342" s="52" t="inlineStr">
        <is>
          <t>Marmul Check dam</t>
        </is>
      </c>
      <c r="G342" s="52" t="inlineStr">
        <is>
          <t>Watershed Management</t>
        </is>
      </c>
      <c r="H342" s="52" t="inlineStr">
        <is>
          <t>Check Dam</t>
        </is>
      </c>
      <c r="I342" s="52" t="inlineStr">
        <is>
          <t>Emergency Food Security Project (EFSP) – WBK/AF-2</t>
        </is>
      </c>
      <c r="J342" s="52" t="inlineStr">
        <is>
          <t>North / Mazar</t>
        </is>
      </c>
      <c r="K342" s="52" t="inlineStr">
        <is>
          <t>Balkh</t>
        </is>
      </c>
      <c r="L342" s="52" t="inlineStr">
        <is>
          <t>Marmul</t>
        </is>
      </c>
      <c r="M342" s="52" t="inlineStr">
        <is>
          <t>Pusht-e-Baghcha and Charmaghz Say</t>
        </is>
      </c>
      <c r="N342" s="52" t="inlineStr">
        <is>
          <t>World Bank (WBK/AF-2)</t>
        </is>
      </c>
      <c r="O342" s="52" t="inlineStr">
        <is>
          <t>Awarded</t>
        </is>
      </c>
      <c r="P342" s="52" t="inlineStr">
        <is>
          <t>3.WSM awarded contracts</t>
        </is>
      </c>
      <c r="Q342" s="52" t="inlineStr">
        <is>
          <t>Omar Mortaza Construction &amp; Road Building JV Karwan Seraji Construction and Road Building Company (OMCC&amp;KSCC)</t>
        </is>
      </c>
      <c r="R342" s="52" t="inlineStr">
        <is>
          <t>034/2026</t>
        </is>
      </c>
      <c r="S342" s="53" t="n">
        <v>45083.74</v>
      </c>
      <c r="T342" s="46" t="inlineStr">
        <is>
          <t>IF(AQ342="","",AQ342)</t>
        </is>
      </c>
      <c r="U342" s="54" t="n"/>
      <c r="V342" s="55" t="n">
        <v>5</v>
      </c>
      <c r="W342" s="54" t="n">
        <v>46306</v>
      </c>
      <c r="X342" s="46" t="inlineStr">
        <is>
          <t>IF(W342&lt;&gt;"",W342,IF(OR(T342="",V342=""),"",EDATE(T342,V342)))</t>
        </is>
      </c>
      <c r="Y342" s="54" t="n"/>
      <c r="Z342" s="55" t="n">
        <v>98</v>
      </c>
      <c r="AA342" s="52" t="inlineStr">
        <is>
          <t>Under Construction</t>
        </is>
      </c>
      <c r="AB342" s="52" t="inlineStr">
        <is>
          <t>Completed on Sep, 2026</t>
        </is>
      </c>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67" t="n"/>
      <c r="AJ342" s="67" t="n"/>
      <c r="AK342" s="67" t="n"/>
      <c r="AL342" s="67" t="n"/>
      <c r="AM342" s="67" t="n"/>
      <c r="AN342" s="67" t="n"/>
      <c r="AO342" s="67" t="n"/>
      <c r="AP342" s="67" t="n"/>
      <c r="AQ342" s="67" t="n">
        <v>46154</v>
      </c>
      <c r="AR342" s="67" t="n">
        <v>46154</v>
      </c>
      <c r="AS342" s="67"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32" t="inlineStr">
        <is>
          <t>IF(F343="","",ROW()-3)</t>
        </is>
      </c>
      <c r="B343" s="56" t="inlineStr">
        <is>
          <t>AF2-WSM-30</t>
        </is>
      </c>
      <c r="C343" s="56" t="inlineStr">
        <is>
          <t>Package #30-AF2 WSM: Construction of 5 Check Damas of A. Majar site # 1 and site # 2; B.Elyasgar site # 3, site 4 and site # 5, located in Aljahad district of Sar-e-Pul province.</t>
        </is>
      </c>
      <c r="D343" s="56" t="inlineStr">
        <is>
          <t>1 of 2</t>
        </is>
      </c>
      <c r="E343" s="57" t="inlineStr">
        <is>
          <t>AF2-WSM-A-065</t>
        </is>
      </c>
      <c r="F343" s="57" t="inlineStr">
        <is>
          <t>Elyasgar Check dam</t>
        </is>
      </c>
      <c r="G343" s="57" t="inlineStr">
        <is>
          <t>Watershed Management</t>
        </is>
      </c>
      <c r="H343" s="57" t="inlineStr">
        <is>
          <t>Check Dam</t>
        </is>
      </c>
      <c r="I343" s="57" t="inlineStr">
        <is>
          <t>Emergency Food Security Project (EFSP) – WBK/AF-2</t>
        </is>
      </c>
      <c r="J343" s="57" t="inlineStr">
        <is>
          <t>North / Mazar</t>
        </is>
      </c>
      <c r="K343" s="57" t="inlineStr">
        <is>
          <t>Sar-e-Pul</t>
        </is>
      </c>
      <c r="L343" s="57" t="inlineStr">
        <is>
          <t>Aljahad</t>
        </is>
      </c>
      <c r="M343" s="57" t="inlineStr">
        <is>
          <t>Ayob, Jar Abdara, Mula Salam, Haji Talib, Hajib Pirak</t>
        </is>
      </c>
      <c r="N343" s="57" t="inlineStr">
        <is>
          <t>World Bank (WBK/AF-2)</t>
        </is>
      </c>
      <c r="O343" s="57" t="inlineStr">
        <is>
          <t>Awarded</t>
        </is>
      </c>
      <c r="P343" s="57" t="inlineStr">
        <is>
          <t>3.WSM awarded contracts</t>
        </is>
      </c>
      <c r="Q343" s="57" t="inlineStr">
        <is>
          <t>Waheed Wahaj Construction Company (WWCC)</t>
        </is>
      </c>
      <c r="R343" s="57" t="inlineStr">
        <is>
          <t>050/2026</t>
        </is>
      </c>
      <c r="S343" s="58" t="n">
        <v>48085.97</v>
      </c>
      <c r="T343" s="36" t="inlineStr">
        <is>
          <t>IF(AQ343="","",AQ343)</t>
        </is>
      </c>
      <c r="U343" s="59" t="n"/>
      <c r="V343" s="60" t="n">
        <v>4</v>
      </c>
      <c r="W343" s="59" t="n">
        <v>46348</v>
      </c>
      <c r="X343" s="36" t="inlineStr">
        <is>
          <t>IF(W343&lt;&gt;"",W343,IF(OR(T343="",V343=""),"",EDATE(T343,V343)))</t>
        </is>
      </c>
      <c r="Y343" s="59" t="n"/>
      <c r="Z343" s="60" t="n">
        <v>6</v>
      </c>
      <c r="AA343" s="57" t="inlineStr">
        <is>
          <t>Under Construction</t>
        </is>
      </c>
      <c r="AB343" s="57" t="inlineStr">
        <is>
          <t>The contract has recently been awarded. Mobilization is being carried out by the contractor.</t>
        </is>
      </c>
      <c r="AC343" s="32" t="inlineStr">
        <is>
          <t>IF(F343="","",IF(COUNT(AI343:AV343)=0,IF(AA343="","Not started",AA343),SUBSTITUTE(LOOKUP(2,1/(AI343:AV343&lt;&gt;""),$AI$3:$AV$3),"Date: ","")))</t>
        </is>
      </c>
      <c r="AD343" s="39" t="inlineStr">
        <is>
          <t>IF(OR(F343="",COUNT(AI343:AV343)=0),"",TODAY()-LOOKUP(2,1/(AI343:AV343&lt;&gt;""),AI343:AV343))</t>
        </is>
      </c>
      <c r="AE343" s="39" t="inlineStr">
        <is>
          <t>IF(OR(F343="",COUNT(AI343:AV343)&lt;2),"",LOOKUP(2,1/(AI343:AV343&lt;&gt;""),AI343:AV343)-MIN(AI343:AV343))</t>
        </is>
      </c>
      <c r="AF343" s="39" t="inlineStr">
        <is>
          <t>IF(OR(AD343="",AC343="Not started",AC343=""),"",IFERROR(AD343-IF(VLOOKUP(AC343,'06_Status_Pipeline'!$B$3:$E$20,4,FALSE)="",0,VLOOKUP(AC343,'06_Status_Pipeline'!$B$3:$E$20,4,FALSE)),""))</t>
        </is>
      </c>
      <c r="AG343" s="3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39" t="inlineStr">
        <is>
          <t>IF(OR(F343="",AC343="Completed / Handover",AC343="Cancelled"),"",IF(O343="Not awarded",IF(U343&lt;&gt;"",U343-TODAY(),IF(X343="","",X343-TODAY())),IF(X343="","",X343-TODAY())))</t>
        </is>
      </c>
      <c r="AI343" s="66" t="n"/>
      <c r="AJ343" s="66" t="n"/>
      <c r="AK343" s="66" t="n"/>
      <c r="AL343" s="66" t="n"/>
      <c r="AM343" s="66" t="n"/>
      <c r="AN343" s="66" t="n"/>
      <c r="AO343" s="66" t="n"/>
      <c r="AP343" s="66" t="n"/>
      <c r="AQ343" s="66" t="n">
        <v>46226</v>
      </c>
      <c r="AR343" s="66" t="n">
        <v>46226</v>
      </c>
      <c r="AS343" s="66" t="n"/>
      <c r="AT343" s="40" t="n"/>
      <c r="AU343" s="40" t="n"/>
      <c r="AV343" s="40" t="n"/>
      <c r="AW343" s="39" t="inlineStr">
        <is>
          <t>IF(OR(F343="",AJ343=""),"",IF(COUNT(AI343:AI343)=0,"",AJ343-LOOKUP(2,1/(AI343:AI343&lt;&gt;""),AI343:AI343)))</t>
        </is>
      </c>
      <c r="AX343" s="39" t="inlineStr">
        <is>
          <t>IF(OR(F343="",AK343=""),"",IF(COUNT(AI343:AJ343)=0,"",AK343-LOOKUP(2,1/(AI343:AJ343&lt;&gt;""),AI343:AJ343)))</t>
        </is>
      </c>
      <c r="AY343" s="39" t="inlineStr">
        <is>
          <t>IF(OR(F343="",AL343=""),"",IF(COUNT(AI343:AK343)=0,"",AL343-LOOKUP(2,1/(AI343:AK343&lt;&gt;""),AI343:AK343)))</t>
        </is>
      </c>
      <c r="AZ343" s="39" t="inlineStr">
        <is>
          <t>IF(OR(F343="",AM343=""),"",IF(COUNT(AI343:AL343)=0,"",AM343-LOOKUP(2,1/(AI343:AL343&lt;&gt;""),AI343:AL343)))</t>
        </is>
      </c>
      <c r="BA343" s="39" t="inlineStr">
        <is>
          <t>IF(OR(F343="",AN343=""),"",IF(COUNT(AI343:AM343)=0,"",AN343-LOOKUP(2,1/(AI343:AM343&lt;&gt;""),AI343:AM343)))</t>
        </is>
      </c>
      <c r="BB343" s="39" t="inlineStr">
        <is>
          <t>IF(OR(F343="",AO343=""),"",IF(COUNT(AI343:AN343)=0,"",AO343-LOOKUP(2,1/(AI343:AN343&lt;&gt;""),AI343:AN343)))</t>
        </is>
      </c>
      <c r="BC343" s="39" t="inlineStr">
        <is>
          <t>IF(OR(F343="",AP343=""),"",IF(COUNT(AI343:AO343)=0,"",AP343-LOOKUP(2,1/(AI343:AO343&lt;&gt;""),AI343:AO343)))</t>
        </is>
      </c>
      <c r="BD343" s="39" t="inlineStr">
        <is>
          <t>IF(OR(F343="",AQ343=""),"",IF(COUNT(AI343:AP343)=0,"",AQ343-LOOKUP(2,1/(AI343:AP343&lt;&gt;""),AI343:AP343)))</t>
        </is>
      </c>
      <c r="BE343" s="39" t="inlineStr">
        <is>
          <t>IF(OR(F343="",AR343=""),"",IF(COUNT(AI343:AQ343)=0,"",AR343-LOOKUP(2,1/(AI343:AQ343&lt;&gt;""),AI343:AQ343)))</t>
        </is>
      </c>
      <c r="BF343" s="39" t="inlineStr">
        <is>
          <t>IF(OR(F343="",AS343=""),"",IF(COUNT(AI343:AR343)=0,"",AS343-LOOKUP(2,1/(AI343:AR343&lt;&gt;""),AI343:AR343)))</t>
        </is>
      </c>
      <c r="BG343" s="39" t="inlineStr">
        <is>
          <t>IF(OR(F343="",AT343=""),"",IF(COUNT(AI343:AS343)=0,"",AT343-LOOKUP(2,1/(AI343:AS343&lt;&gt;""),AI343:AS343)))</t>
        </is>
      </c>
      <c r="BH343" s="39" t="inlineStr">
        <is>
          <t>IF(OR(F343="",AU343=""),"",IF(COUNT(AI343:AT343)=0,"",AU343-LOOKUP(2,1/(AI343:AT343&lt;&gt;""),AI343:AT343)))</t>
        </is>
      </c>
      <c r="BI343" s="39" t="inlineStr">
        <is>
          <t>IF(OR(F343="",AV343=""),"",IF(COUNT(AI343:AU343)=0,"",AV343-LOOKUP(2,1/(AI343:AU343&lt;&gt;""),AI343:AU343)))</t>
        </is>
      </c>
      <c r="BJ343" s="41" t="inlineStr">
        <is>
          <t>IF(J343="","All_Provinces",IFERROR(VLOOKUP(J343,'09_Lookups'!$A$4:$B$20,2,FALSE),"All_Provinces"))</t>
        </is>
      </c>
      <c r="BK343" s="41" t="inlineStr">
        <is>
          <t>IF(K343="","All_Districts",IFERROR(VLOOKUP(K343,'09_Lookups'!$E$4:$F$42,2,FALSE),"All_Districts"))</t>
        </is>
      </c>
    </row>
    <row r="344" outlineLevel="1" ht="18" customHeight="1">
      <c r="A344" s="42" t="inlineStr">
        <is>
          <t>IF(F344="","",ROW()-3)</t>
        </is>
      </c>
      <c r="B344" s="61" t="inlineStr">
        <is>
          <t>AF2-WSM-30</t>
        </is>
      </c>
      <c r="C344" s="61" t="inlineStr">
        <is>
          <t>Package #30-AF2 WSM: Construction of 5 Check Damas of A. Majar site # 1 and site # 2; B.Elyasgar site # 3, site 4 and site # 5, located in Aljahad district of Sar-e-Pul province.</t>
        </is>
      </c>
      <c r="D344" s="61" t="inlineStr">
        <is>
          <t>2 of 2</t>
        </is>
      </c>
      <c r="E344" s="52" t="inlineStr">
        <is>
          <t>AF2-WSM-A-066</t>
        </is>
      </c>
      <c r="F344" s="52" t="inlineStr">
        <is>
          <t>Majar Check dam</t>
        </is>
      </c>
      <c r="G344" s="52" t="inlineStr">
        <is>
          <t>Watershed Management</t>
        </is>
      </c>
      <c r="H344" s="52" t="inlineStr">
        <is>
          <t>Check Dam</t>
        </is>
      </c>
      <c r="I344" s="52" t="inlineStr">
        <is>
          <t>Emergency Food Security Project (EFSP) – WBK/AF-2</t>
        </is>
      </c>
      <c r="J344" s="52" t="inlineStr">
        <is>
          <t>North / Mazar</t>
        </is>
      </c>
      <c r="K344" s="52" t="inlineStr">
        <is>
          <t>Sar-e-Pul</t>
        </is>
      </c>
      <c r="L344" s="52" t="inlineStr">
        <is>
          <t>Aljahad</t>
        </is>
      </c>
      <c r="M344" s="52" t="inlineStr">
        <is>
          <t>Mullah Baba, Bahauden, Katlo Soy, Majar Ulia, Majar Aji</t>
        </is>
      </c>
      <c r="N344" s="52" t="inlineStr">
        <is>
          <t>World Bank (WBK/AF-2)</t>
        </is>
      </c>
      <c r="O344" s="52" t="inlineStr">
        <is>
          <t>Awarded</t>
        </is>
      </c>
      <c r="P344" s="52" t="inlineStr">
        <is>
          <t>3.WSM awarded contracts</t>
        </is>
      </c>
      <c r="Q344" s="52" t="inlineStr">
        <is>
          <t>Waheed Wahaj Construction Company (WWCC)</t>
        </is>
      </c>
      <c r="R344" s="52" t="inlineStr">
        <is>
          <t>050/2026</t>
        </is>
      </c>
      <c r="S344" s="53" t="n">
        <v>22485.14</v>
      </c>
      <c r="T344" s="46" t="inlineStr">
        <is>
          <t>IF(AQ344="","",AQ344)</t>
        </is>
      </c>
      <c r="U344" s="54" t="n"/>
      <c r="V344" s="55" t="n">
        <v>4</v>
      </c>
      <c r="W344" s="54" t="n">
        <v>46348</v>
      </c>
      <c r="X344" s="46" t="inlineStr">
        <is>
          <t>IF(W344&lt;&gt;"",W344,IF(OR(T344="",V344=""),"",EDATE(T344,V344)))</t>
        </is>
      </c>
      <c r="Y344" s="54" t="n"/>
      <c r="Z344" s="55" t="n">
        <v>6</v>
      </c>
      <c r="AA344" s="52" t="inlineStr">
        <is>
          <t>Under Construction</t>
        </is>
      </c>
      <c r="AB344" s="52" t="inlineStr">
        <is>
          <t>The contract has recently been awarded. Mobilization is being carried out by the contractor.</t>
        </is>
      </c>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67" t="n"/>
      <c r="AJ344" s="67" t="n"/>
      <c r="AK344" s="67" t="n"/>
      <c r="AL344" s="67" t="n"/>
      <c r="AM344" s="67" t="n"/>
      <c r="AN344" s="67" t="n"/>
      <c r="AO344" s="67" t="n"/>
      <c r="AP344" s="67" t="n"/>
      <c r="AQ344" s="67" t="n">
        <v>46226</v>
      </c>
      <c r="AR344" s="67" t="n">
        <v>46226</v>
      </c>
      <c r="AS344" s="67"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32" t="inlineStr">
        <is>
          <t>IF(F345="","",ROW()-3)</t>
        </is>
      </c>
      <c r="B345" s="62" t="inlineStr">
        <is>
          <t>AF2-WSM-31</t>
        </is>
      </c>
      <c r="C345" s="62" t="inlineStr">
        <is>
          <t>Package # 31-AF2 WSM: Construction of 1. Khaibar and 2. Chelgazi Check dams, located in Khaibar and Chelgazi districts of Faryab province.</t>
        </is>
      </c>
      <c r="D345" s="62" t="inlineStr">
        <is>
          <t>1 of 2</t>
        </is>
      </c>
      <c r="E345" s="57" t="inlineStr">
        <is>
          <t>AF2-WSM-A-067</t>
        </is>
      </c>
      <c r="F345" s="57" t="inlineStr">
        <is>
          <t>Chelgazi Check dam</t>
        </is>
      </c>
      <c r="G345" s="57" t="inlineStr">
        <is>
          <t>Watershed Management</t>
        </is>
      </c>
      <c r="H345" s="57" t="inlineStr">
        <is>
          <t>Check Dam</t>
        </is>
      </c>
      <c r="I345" s="57" t="inlineStr">
        <is>
          <t>Emergency Food Security Project (EFSP) – WBK/AF-2</t>
        </is>
      </c>
      <c r="J345" s="57" t="inlineStr">
        <is>
          <t>North / Mazar</t>
        </is>
      </c>
      <c r="K345" s="57" t="inlineStr">
        <is>
          <t>Faryab</t>
        </is>
      </c>
      <c r="L345" s="57" t="inlineStr">
        <is>
          <t>Chelgazi</t>
        </is>
      </c>
      <c r="M345" s="57" t="inlineStr">
        <is>
          <t>Hazar qala and Aq Mazar</t>
        </is>
      </c>
      <c r="N345" s="57" t="inlineStr">
        <is>
          <t>World Bank (WBK/AF-2)</t>
        </is>
      </c>
      <c r="O345" s="57" t="inlineStr">
        <is>
          <t>Awarded</t>
        </is>
      </c>
      <c r="P345" s="57" t="inlineStr">
        <is>
          <t>3.WSM awarded contracts</t>
        </is>
      </c>
      <c r="Q345" s="57" t="inlineStr">
        <is>
          <t>Malik Hajdar Construction and Road Company (MHCC)</t>
        </is>
      </c>
      <c r="R345" s="57" t="inlineStr">
        <is>
          <t>033/2026</t>
        </is>
      </c>
      <c r="S345" s="58" t="n">
        <v>36101.03</v>
      </c>
      <c r="T345" s="36" t="inlineStr">
        <is>
          <t>IF(AQ345="","",AQ345)</t>
        </is>
      </c>
      <c r="U345" s="59" t="n"/>
      <c r="V345" s="60" t="n">
        <v>4</v>
      </c>
      <c r="W345" s="59" t="n">
        <v>46271</v>
      </c>
      <c r="X345" s="36" t="inlineStr">
        <is>
          <t>IF(W345&lt;&gt;"",W345,IF(OR(T345="",V345=""),"",EDATE(T345,V345)))</t>
        </is>
      </c>
      <c r="Y345" s="59" t="n"/>
      <c r="Z345" s="60" t="n">
        <v>100</v>
      </c>
      <c r="AA345" s="57" t="inlineStr">
        <is>
          <t>Completed / Handover</t>
        </is>
      </c>
      <c r="AB345" s="57" t="inlineStr">
        <is>
          <t>Completed on Aug, 2026</t>
        </is>
      </c>
      <c r="AC345" s="32" t="inlineStr">
        <is>
          <t>IF(F345="","",IF(COUNT(AI345:AV345)=0,IF(AA345="","Not started",AA345),SUBSTITUTE(LOOKUP(2,1/(AI345:AV345&lt;&gt;""),$AI$3:$AV$3),"Date: ","")))</t>
        </is>
      </c>
      <c r="AD345" s="39" t="inlineStr">
        <is>
          <t>IF(OR(F345="",COUNT(AI345:AV345)=0),"",TODAY()-LOOKUP(2,1/(AI345:AV345&lt;&gt;""),AI345:AV345))</t>
        </is>
      </c>
      <c r="AE345" s="39" t="inlineStr">
        <is>
          <t>IF(OR(F345="",COUNT(AI345:AV345)&lt;2),"",LOOKUP(2,1/(AI345:AV345&lt;&gt;""),AI345:AV345)-MIN(AI345:AV345))</t>
        </is>
      </c>
      <c r="AF345" s="39" t="inlineStr">
        <is>
          <t>IF(OR(AD345="",AC345="Not started",AC345=""),"",IFERROR(AD345-IF(VLOOKUP(AC345,'06_Status_Pipeline'!$B$3:$E$20,4,FALSE)="",0,VLOOKUP(AC345,'06_Status_Pipeline'!$B$3:$E$20,4,FALSE)),""))</t>
        </is>
      </c>
      <c r="AG345" s="3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39" t="inlineStr">
        <is>
          <t>IF(OR(F345="",AC345="Completed / Handover",AC345="Cancelled"),"",IF(O345="Not awarded",IF(U345&lt;&gt;"",U345-TODAY(),IF(X345="","",X345-TODAY())),IF(X345="","",X345-TODAY())))</t>
        </is>
      </c>
      <c r="AI345" s="66" t="n"/>
      <c r="AJ345" s="66" t="n"/>
      <c r="AK345" s="66" t="n"/>
      <c r="AL345" s="66" t="n"/>
      <c r="AM345" s="66" t="n"/>
      <c r="AN345" s="66" t="n"/>
      <c r="AO345" s="66" t="n"/>
      <c r="AP345" s="66" t="n"/>
      <c r="AQ345" s="66" t="n">
        <v>46149</v>
      </c>
      <c r="AR345" s="66" t="n">
        <v>46149</v>
      </c>
      <c r="AS345" s="66" t="n">
        <v>46271</v>
      </c>
      <c r="AT345" s="40" t="n"/>
      <c r="AU345" s="40" t="n"/>
      <c r="AV345" s="40" t="n"/>
      <c r="AW345" s="39" t="inlineStr">
        <is>
          <t>IF(OR(F345="",AJ345=""),"",IF(COUNT(AI345:AI345)=0,"",AJ345-LOOKUP(2,1/(AI345:AI345&lt;&gt;""),AI345:AI345)))</t>
        </is>
      </c>
      <c r="AX345" s="39" t="inlineStr">
        <is>
          <t>IF(OR(F345="",AK345=""),"",IF(COUNT(AI345:AJ345)=0,"",AK345-LOOKUP(2,1/(AI345:AJ345&lt;&gt;""),AI345:AJ345)))</t>
        </is>
      </c>
      <c r="AY345" s="39" t="inlineStr">
        <is>
          <t>IF(OR(F345="",AL345=""),"",IF(COUNT(AI345:AK345)=0,"",AL345-LOOKUP(2,1/(AI345:AK345&lt;&gt;""),AI345:AK345)))</t>
        </is>
      </c>
      <c r="AZ345" s="39" t="inlineStr">
        <is>
          <t>IF(OR(F345="",AM345=""),"",IF(COUNT(AI345:AL345)=0,"",AM345-LOOKUP(2,1/(AI345:AL345&lt;&gt;""),AI345:AL345)))</t>
        </is>
      </c>
      <c r="BA345" s="39" t="inlineStr">
        <is>
          <t>IF(OR(F345="",AN345=""),"",IF(COUNT(AI345:AM345)=0,"",AN345-LOOKUP(2,1/(AI345:AM345&lt;&gt;""),AI345:AM345)))</t>
        </is>
      </c>
      <c r="BB345" s="39" t="inlineStr">
        <is>
          <t>IF(OR(F345="",AO345=""),"",IF(COUNT(AI345:AN345)=0,"",AO345-LOOKUP(2,1/(AI345:AN345&lt;&gt;""),AI345:AN345)))</t>
        </is>
      </c>
      <c r="BC345" s="39" t="inlineStr">
        <is>
          <t>IF(OR(F345="",AP345=""),"",IF(COUNT(AI345:AO345)=0,"",AP345-LOOKUP(2,1/(AI345:AO345&lt;&gt;""),AI345:AO345)))</t>
        </is>
      </c>
      <c r="BD345" s="39" t="inlineStr">
        <is>
          <t>IF(OR(F345="",AQ345=""),"",IF(COUNT(AI345:AP345)=0,"",AQ345-LOOKUP(2,1/(AI345:AP345&lt;&gt;""),AI345:AP345)))</t>
        </is>
      </c>
      <c r="BE345" s="39" t="inlineStr">
        <is>
          <t>IF(OR(F345="",AR345=""),"",IF(COUNT(AI345:AQ345)=0,"",AR345-LOOKUP(2,1/(AI345:AQ345&lt;&gt;""),AI345:AQ345)))</t>
        </is>
      </c>
      <c r="BF345" s="39" t="inlineStr">
        <is>
          <t>IF(OR(F345="",AS345=""),"",IF(COUNT(AI345:AR345)=0,"",AS345-LOOKUP(2,1/(AI345:AR345&lt;&gt;""),AI345:AR345)))</t>
        </is>
      </c>
      <c r="BG345" s="39" t="inlineStr">
        <is>
          <t>IF(OR(F345="",AT345=""),"",IF(COUNT(AI345:AS345)=0,"",AT345-LOOKUP(2,1/(AI345:AS345&lt;&gt;""),AI345:AS345)))</t>
        </is>
      </c>
      <c r="BH345" s="39" t="inlineStr">
        <is>
          <t>IF(OR(F345="",AU345=""),"",IF(COUNT(AI345:AT345)=0,"",AU345-LOOKUP(2,1/(AI345:AT345&lt;&gt;""),AI345:AT345)))</t>
        </is>
      </c>
      <c r="BI345" s="39" t="inlineStr">
        <is>
          <t>IF(OR(F345="",AV345=""),"",IF(COUNT(AI345:AU345)=0,"",AV345-LOOKUP(2,1/(AI345:AU345&lt;&gt;""),AI345:AU345)))</t>
        </is>
      </c>
      <c r="BJ345" s="41" t="inlineStr">
        <is>
          <t>IF(J345="","All_Provinces",IFERROR(VLOOKUP(J345,'09_Lookups'!$A$4:$B$20,2,FALSE),"All_Provinces"))</t>
        </is>
      </c>
      <c r="BK345" s="41" t="inlineStr">
        <is>
          <t>IF(K345="","All_Districts",IFERROR(VLOOKUP(K345,'09_Lookups'!$E$4:$F$42,2,FALSE),"All_Districts"))</t>
        </is>
      </c>
    </row>
    <row r="346" outlineLevel="1" ht="18" customHeight="1">
      <c r="A346" s="42" t="inlineStr">
        <is>
          <t>IF(F346="","",ROW()-3)</t>
        </is>
      </c>
      <c r="B346" s="63" t="inlineStr">
        <is>
          <t>AF2-WSM-31</t>
        </is>
      </c>
      <c r="C346" s="63" t="inlineStr">
        <is>
          <t>Package # 31-AF2 WSM: Construction of 1. Khaibar and 2. Chelgazi Check dams, located in Khaibar and Chelgazi districts of Faryab province.</t>
        </is>
      </c>
      <c r="D346" s="63" t="inlineStr">
        <is>
          <t>2 of 2</t>
        </is>
      </c>
      <c r="E346" s="52" t="inlineStr">
        <is>
          <t>AF2-WSM-A-068</t>
        </is>
      </c>
      <c r="F346" s="52" t="inlineStr">
        <is>
          <t>Khaibar Check dam</t>
        </is>
      </c>
      <c r="G346" s="52" t="inlineStr">
        <is>
          <t>Watershed Management</t>
        </is>
      </c>
      <c r="H346" s="52" t="inlineStr">
        <is>
          <t>Check Dam</t>
        </is>
      </c>
      <c r="I346" s="52" t="inlineStr">
        <is>
          <t>Emergency Food Security Project (EFSP) – WBK/AF-2</t>
        </is>
      </c>
      <c r="J346" s="52" t="inlineStr">
        <is>
          <t>North / Mazar</t>
        </is>
      </c>
      <c r="K346" s="52" t="inlineStr">
        <is>
          <t>Faryab</t>
        </is>
      </c>
      <c r="L346" s="52" t="inlineStr">
        <is>
          <t>Khaibar</t>
        </is>
      </c>
      <c r="M346" s="52" t="inlineStr">
        <is>
          <t>Mesh mast and Pasha Khan Abdal</t>
        </is>
      </c>
      <c r="N346" s="52" t="inlineStr">
        <is>
          <t>World Bank (WBK/AF-2)</t>
        </is>
      </c>
      <c r="O346" s="52" t="inlineStr">
        <is>
          <t>Awarded</t>
        </is>
      </c>
      <c r="P346" s="52" t="inlineStr">
        <is>
          <t>3.WSM awarded contracts</t>
        </is>
      </c>
      <c r="Q346" s="52" t="inlineStr">
        <is>
          <t>Malik Hajdar Construction and Road Company (MHCC)</t>
        </is>
      </c>
      <c r="R346" s="52" t="inlineStr">
        <is>
          <t>033/2026</t>
        </is>
      </c>
      <c r="S346" s="53" t="n">
        <v>44507.76</v>
      </c>
      <c r="T346" s="46" t="inlineStr">
        <is>
          <t>IF(AQ346="","",AQ346)</t>
        </is>
      </c>
      <c r="U346" s="54" t="n"/>
      <c r="V346" s="55" t="n">
        <v>4</v>
      </c>
      <c r="W346" s="54" t="n">
        <v>46271</v>
      </c>
      <c r="X346" s="46" t="inlineStr">
        <is>
          <t>IF(W346&lt;&gt;"",W346,IF(OR(T346="",V346=""),"",EDATE(T346,V346)))</t>
        </is>
      </c>
      <c r="Y346" s="54" t="n"/>
      <c r="Z346" s="55" t="n">
        <v>100</v>
      </c>
      <c r="AA346" s="52" t="inlineStr">
        <is>
          <t>Completed / Handover</t>
        </is>
      </c>
      <c r="AB346" s="52" t="inlineStr">
        <is>
          <t>Completed on Aug, 2026</t>
        </is>
      </c>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67" t="n"/>
      <c r="AJ346" s="67" t="n"/>
      <c r="AK346" s="67" t="n"/>
      <c r="AL346" s="67" t="n"/>
      <c r="AM346" s="67" t="n"/>
      <c r="AN346" s="67" t="n"/>
      <c r="AO346" s="67" t="n"/>
      <c r="AP346" s="67" t="n"/>
      <c r="AQ346" s="67" t="n">
        <v>46149</v>
      </c>
      <c r="AR346" s="67" t="n">
        <v>46149</v>
      </c>
      <c r="AS346" s="67" t="n">
        <v>46271</v>
      </c>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32" t="inlineStr">
        <is>
          <t>IF(F347="","",ROW()-3)</t>
        </is>
      </c>
      <c r="B347" s="64" t="inlineStr">
        <is>
          <t>AF2-WSM-32</t>
        </is>
      </c>
      <c r="C347" s="64" t="inlineStr">
        <is>
          <t>Package #32-AF2 WSM: Construction of Tai Khunak 4 Check dams of A. Khoja Momin site # 1 and site # 2, B. Sari Shor site # 3 and site #4, located in Aybak district of Samangan province.</t>
        </is>
      </c>
      <c r="D347" s="64" t="inlineStr">
        <is>
          <t>1 of 2</t>
        </is>
      </c>
      <c r="E347" s="57" t="inlineStr">
        <is>
          <t>AF2-WSM-A-069</t>
        </is>
      </c>
      <c r="F347" s="57" t="inlineStr">
        <is>
          <t>Taikhunak (Khoja Momen) Check dams site # 1 and #2</t>
        </is>
      </c>
      <c r="G347" s="57" t="inlineStr">
        <is>
          <t>Watershed Management</t>
        </is>
      </c>
      <c r="H347" s="57" t="inlineStr">
        <is>
          <t>Check Dam</t>
        </is>
      </c>
      <c r="I347" s="57" t="inlineStr">
        <is>
          <t>Emergency Food Security Project (EFSP) – WBK/AF-2</t>
        </is>
      </c>
      <c r="J347" s="57" t="inlineStr">
        <is>
          <t>North / Mazar</t>
        </is>
      </c>
      <c r="K347" s="57" t="inlineStr">
        <is>
          <t>Samangan</t>
        </is>
      </c>
      <c r="L347" s="57" t="inlineStr">
        <is>
          <t>Aybak</t>
        </is>
      </c>
      <c r="M347" s="57" t="inlineStr">
        <is>
          <t>Shorabak, Khoja Momen.</t>
        </is>
      </c>
      <c r="N347" s="57" t="inlineStr">
        <is>
          <t>World Bank (WBK/AF-2)</t>
        </is>
      </c>
      <c r="O347" s="57" t="inlineStr">
        <is>
          <t>Awarded</t>
        </is>
      </c>
      <c r="P347" s="57" t="inlineStr">
        <is>
          <t>3.WSM awarded contracts</t>
        </is>
      </c>
      <c r="Q347" s="57" t="inlineStr">
        <is>
          <t>Mudeser Bigmurad Construction Company (MBCC)</t>
        </is>
      </c>
      <c r="R347" s="57" t="inlineStr">
        <is>
          <t>045/2026</t>
        </is>
      </c>
      <c r="S347" s="58" t="n">
        <v>61755.98</v>
      </c>
      <c r="T347" s="36" t="inlineStr">
        <is>
          <t>IF(AQ347="","",AQ347)</t>
        </is>
      </c>
      <c r="U347" s="59" t="n"/>
      <c r="V347" s="60" t="n">
        <v>4</v>
      </c>
      <c r="W347" s="59" t="n">
        <v>46347</v>
      </c>
      <c r="X347" s="36" t="inlineStr">
        <is>
          <t>IF(W347&lt;&gt;"",W347,IF(OR(T347="",V347=""),"",EDATE(T347,V347)))</t>
        </is>
      </c>
      <c r="Y347" s="59" t="n"/>
      <c r="Z347" s="60" t="n">
        <v>30</v>
      </c>
      <c r="AA347" s="57" t="inlineStr">
        <is>
          <t>Under Construction</t>
        </is>
      </c>
      <c r="AB347" s="57" t="inlineStr">
        <is>
          <t>The contract has recently been awarded; Mobilzation has started.</t>
        </is>
      </c>
      <c r="AC347" s="32" t="inlineStr">
        <is>
          <t>IF(F347="","",IF(COUNT(AI347:AV347)=0,IF(AA347="","Not started",AA347),SUBSTITUTE(LOOKUP(2,1/(AI347:AV347&lt;&gt;""),$AI$3:$AV$3),"Date: ","")))</t>
        </is>
      </c>
      <c r="AD347" s="39" t="inlineStr">
        <is>
          <t>IF(OR(F347="",COUNT(AI347:AV347)=0),"",TODAY()-LOOKUP(2,1/(AI347:AV347&lt;&gt;""),AI347:AV347))</t>
        </is>
      </c>
      <c r="AE347" s="39" t="inlineStr">
        <is>
          <t>IF(OR(F347="",COUNT(AI347:AV347)&lt;2),"",LOOKUP(2,1/(AI347:AV347&lt;&gt;""),AI347:AV347)-MIN(AI347:AV347))</t>
        </is>
      </c>
      <c r="AF347" s="39" t="inlineStr">
        <is>
          <t>IF(OR(AD347="",AC347="Not started",AC347=""),"",IFERROR(AD347-IF(VLOOKUP(AC347,'06_Status_Pipeline'!$B$3:$E$20,4,FALSE)="",0,VLOOKUP(AC347,'06_Status_Pipeline'!$B$3:$E$20,4,FALSE)),""))</t>
        </is>
      </c>
      <c r="AG347" s="3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39" t="inlineStr">
        <is>
          <t>IF(OR(F347="",AC347="Completed / Handover",AC347="Cancelled"),"",IF(O347="Not awarded",IF(U347&lt;&gt;"",U347-TODAY(),IF(X347="","",X347-TODAY())),IF(X347="","",X347-TODAY())))</t>
        </is>
      </c>
      <c r="AI347" s="66" t="n"/>
      <c r="AJ347" s="66" t="n"/>
      <c r="AK347" s="66" t="n"/>
      <c r="AL347" s="66" t="n"/>
      <c r="AM347" s="66" t="n"/>
      <c r="AN347" s="66" t="n"/>
      <c r="AO347" s="66" t="n"/>
      <c r="AP347" s="66" t="n"/>
      <c r="AQ347" s="66" t="n">
        <v>46225</v>
      </c>
      <c r="AR347" s="66" t="n">
        <v>46225</v>
      </c>
      <c r="AS347" s="66" t="n"/>
      <c r="AT347" s="40" t="n"/>
      <c r="AU347" s="40" t="n"/>
      <c r="AV347" s="40" t="n"/>
      <c r="AW347" s="39" t="inlineStr">
        <is>
          <t>IF(OR(F347="",AJ347=""),"",IF(COUNT(AI347:AI347)=0,"",AJ347-LOOKUP(2,1/(AI347:AI347&lt;&gt;""),AI347:AI347)))</t>
        </is>
      </c>
      <c r="AX347" s="39" t="inlineStr">
        <is>
          <t>IF(OR(F347="",AK347=""),"",IF(COUNT(AI347:AJ347)=0,"",AK347-LOOKUP(2,1/(AI347:AJ347&lt;&gt;""),AI347:AJ347)))</t>
        </is>
      </c>
      <c r="AY347" s="39" t="inlineStr">
        <is>
          <t>IF(OR(F347="",AL347=""),"",IF(COUNT(AI347:AK347)=0,"",AL347-LOOKUP(2,1/(AI347:AK347&lt;&gt;""),AI347:AK347)))</t>
        </is>
      </c>
      <c r="AZ347" s="39" t="inlineStr">
        <is>
          <t>IF(OR(F347="",AM347=""),"",IF(COUNT(AI347:AL347)=0,"",AM347-LOOKUP(2,1/(AI347:AL347&lt;&gt;""),AI347:AL347)))</t>
        </is>
      </c>
      <c r="BA347" s="39" t="inlineStr">
        <is>
          <t>IF(OR(F347="",AN347=""),"",IF(COUNT(AI347:AM347)=0,"",AN347-LOOKUP(2,1/(AI347:AM347&lt;&gt;""),AI347:AM347)))</t>
        </is>
      </c>
      <c r="BB347" s="39" t="inlineStr">
        <is>
          <t>IF(OR(F347="",AO347=""),"",IF(COUNT(AI347:AN347)=0,"",AO347-LOOKUP(2,1/(AI347:AN347&lt;&gt;""),AI347:AN347)))</t>
        </is>
      </c>
      <c r="BC347" s="39" t="inlineStr">
        <is>
          <t>IF(OR(F347="",AP347=""),"",IF(COUNT(AI347:AO347)=0,"",AP347-LOOKUP(2,1/(AI347:AO347&lt;&gt;""),AI347:AO347)))</t>
        </is>
      </c>
      <c r="BD347" s="39" t="inlineStr">
        <is>
          <t>IF(OR(F347="",AQ347=""),"",IF(COUNT(AI347:AP347)=0,"",AQ347-LOOKUP(2,1/(AI347:AP347&lt;&gt;""),AI347:AP347)))</t>
        </is>
      </c>
      <c r="BE347" s="39" t="inlineStr">
        <is>
          <t>IF(OR(F347="",AR347=""),"",IF(COUNT(AI347:AQ347)=0,"",AR347-LOOKUP(2,1/(AI347:AQ347&lt;&gt;""),AI347:AQ347)))</t>
        </is>
      </c>
      <c r="BF347" s="39" t="inlineStr">
        <is>
          <t>IF(OR(F347="",AS347=""),"",IF(COUNT(AI347:AR347)=0,"",AS347-LOOKUP(2,1/(AI347:AR347&lt;&gt;""),AI347:AR347)))</t>
        </is>
      </c>
      <c r="BG347" s="39" t="inlineStr">
        <is>
          <t>IF(OR(F347="",AT347=""),"",IF(COUNT(AI347:AS347)=0,"",AT347-LOOKUP(2,1/(AI347:AS347&lt;&gt;""),AI347:AS347)))</t>
        </is>
      </c>
      <c r="BH347" s="39" t="inlineStr">
        <is>
          <t>IF(OR(F347="",AU347=""),"",IF(COUNT(AI347:AT347)=0,"",AU347-LOOKUP(2,1/(AI347:AT347&lt;&gt;""),AI347:AT347)))</t>
        </is>
      </c>
      <c r="BI347" s="39" t="inlineStr">
        <is>
          <t>IF(OR(F347="",AV347=""),"",IF(COUNT(AI347:AU347)=0,"",AV347-LOOKUP(2,1/(AI347:AU347&lt;&gt;""),AI347:AU347)))</t>
        </is>
      </c>
      <c r="BJ347" s="41" t="inlineStr">
        <is>
          <t>IF(J347="","All_Provinces",IFERROR(VLOOKUP(J347,'09_Lookups'!$A$4:$B$20,2,FALSE),"All_Provinces"))</t>
        </is>
      </c>
      <c r="BK347" s="41" t="inlineStr">
        <is>
          <t>IF(K347="","All_Districts",IFERROR(VLOOKUP(K347,'09_Lookups'!$E$4:$F$42,2,FALSE),"All_Districts"))</t>
        </is>
      </c>
    </row>
    <row r="348" outlineLevel="1" ht="18" customHeight="1">
      <c r="A348" s="42" t="inlineStr">
        <is>
          <t>IF(F348="","",ROW()-3)</t>
        </is>
      </c>
      <c r="B348" s="65" t="inlineStr">
        <is>
          <t>AF2-WSM-32</t>
        </is>
      </c>
      <c r="C348" s="65" t="inlineStr">
        <is>
          <t>Package #32-AF2 WSM: Construction of Tai Khunak 4 Check dams of A. Khoja Momin site # 1 and site # 2, B. Sari Shor site # 3 and site #4, located in Aybak district of Samangan province.</t>
        </is>
      </c>
      <c r="D348" s="65" t="inlineStr">
        <is>
          <t>2 of 2</t>
        </is>
      </c>
      <c r="E348" s="52" t="inlineStr">
        <is>
          <t>AF2-WSM-A-070</t>
        </is>
      </c>
      <c r="F348" s="52" t="inlineStr">
        <is>
          <t>Taikhunak (Sari Shor) 2 Check dams site # 3 and # 4</t>
        </is>
      </c>
      <c r="G348" s="52" t="inlineStr">
        <is>
          <t>Watershed Management</t>
        </is>
      </c>
      <c r="H348" s="52" t="inlineStr">
        <is>
          <t>Check Dam</t>
        </is>
      </c>
      <c r="I348" s="52" t="inlineStr">
        <is>
          <t>Emergency Food Security Project (EFSP) – WBK/AF-2</t>
        </is>
      </c>
      <c r="J348" s="52" t="inlineStr">
        <is>
          <t>North / Mazar</t>
        </is>
      </c>
      <c r="K348" s="52" t="inlineStr">
        <is>
          <t>Samangan</t>
        </is>
      </c>
      <c r="L348" s="52" t="inlineStr">
        <is>
          <t>Aybak</t>
        </is>
      </c>
      <c r="M348" s="52" t="inlineStr">
        <is>
          <t>Sar-i-Shor, Ozon Say</t>
        </is>
      </c>
      <c r="N348" s="52" t="inlineStr">
        <is>
          <t>World Bank (WBK/AF-2)</t>
        </is>
      </c>
      <c r="O348" s="52" t="inlineStr">
        <is>
          <t>Awarded</t>
        </is>
      </c>
      <c r="P348" s="52" t="inlineStr">
        <is>
          <t>3.WSM awarded contracts</t>
        </is>
      </c>
      <c r="Q348" s="52" t="inlineStr">
        <is>
          <t>Mudeser Bigmurad Construction Company (MBCC)</t>
        </is>
      </c>
      <c r="R348" s="52" t="inlineStr">
        <is>
          <t>045/2026</t>
        </is>
      </c>
      <c r="S348" s="53" t="n">
        <v>53185.5</v>
      </c>
      <c r="T348" s="46" t="inlineStr">
        <is>
          <t>IF(AQ348="","",AQ348)</t>
        </is>
      </c>
      <c r="U348" s="54" t="n"/>
      <c r="V348" s="55" t="n">
        <v>4</v>
      </c>
      <c r="W348" s="54" t="n">
        <v>46347</v>
      </c>
      <c r="X348" s="46" t="inlineStr">
        <is>
          <t>IF(W348&lt;&gt;"",W348,IF(OR(T348="",V348=""),"",EDATE(T348,V348)))</t>
        </is>
      </c>
      <c r="Y348" s="54" t="n"/>
      <c r="Z348" s="55" t="n">
        <v>19.5</v>
      </c>
      <c r="AA348" s="52" t="inlineStr">
        <is>
          <t>Under Construction</t>
        </is>
      </c>
      <c r="AB348" s="52" t="inlineStr">
        <is>
          <t>The contract has recently been awarded; Mobilzation has started.</t>
        </is>
      </c>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67" t="n"/>
      <c r="AJ348" s="67" t="n"/>
      <c r="AK348" s="67" t="n"/>
      <c r="AL348" s="67" t="n"/>
      <c r="AM348" s="67" t="n"/>
      <c r="AN348" s="67" t="n"/>
      <c r="AO348" s="67" t="n"/>
      <c r="AP348" s="67" t="n"/>
      <c r="AQ348" s="67" t="n">
        <v>46225</v>
      </c>
      <c r="AR348" s="67" t="n">
        <v>46225</v>
      </c>
      <c r="AS348" s="67"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32" t="inlineStr">
        <is>
          <t>IF(F349="","",ROW()-3)</t>
        </is>
      </c>
      <c r="B349" s="33" t="inlineStr">
        <is>
          <t>AF2-WSM-33</t>
        </is>
      </c>
      <c r="C349" s="33" t="inlineStr">
        <is>
          <t>Package #33-AF2 WSM: Construction of 2 Check dams of Ala Taba-1 and Ala Taba-2 in Ablurz district of Balkh province.</t>
        </is>
      </c>
      <c r="D349" s="33" t="inlineStr">
        <is>
          <t>1 of 2</t>
        </is>
      </c>
      <c r="E349" s="57" t="inlineStr">
        <is>
          <t>AF2-WSM-N-021</t>
        </is>
      </c>
      <c r="F349" s="57" t="inlineStr">
        <is>
          <t>Ala Taba-1</t>
        </is>
      </c>
      <c r="G349" s="57" t="inlineStr">
        <is>
          <t>Watershed Management</t>
        </is>
      </c>
      <c r="H349" s="57" t="inlineStr">
        <is>
          <t>Check Dam</t>
        </is>
      </c>
      <c r="I349" s="57" t="inlineStr">
        <is>
          <t>Emergency Food Security Project (EFSP) – WBK/AF-2</t>
        </is>
      </c>
      <c r="J349" s="57" t="inlineStr">
        <is>
          <t>North / Mazar</t>
        </is>
      </c>
      <c r="K349" s="57" t="inlineStr">
        <is>
          <t>Balkh</t>
        </is>
      </c>
      <c r="L349" s="57" t="inlineStr">
        <is>
          <t>Alburz</t>
        </is>
      </c>
      <c r="M349" s="57" t="inlineStr">
        <is>
          <t>Chashma Gudar and Ala Tawa</t>
        </is>
      </c>
      <c r="N349" s="57" t="inlineStr">
        <is>
          <t>World Bank (WBK/AF-2)</t>
        </is>
      </c>
      <c r="O349" s="57" t="inlineStr">
        <is>
          <t>Not awarded</t>
        </is>
      </c>
      <c r="P349" s="57" t="inlineStr">
        <is>
          <t>4.WSM remaining contracts</t>
        </is>
      </c>
      <c r="Q349" s="57" t="inlineStr"/>
      <c r="R349" s="57" t="inlineStr"/>
      <c r="S349" s="58" t="n">
        <v>55029</v>
      </c>
      <c r="T349" s="36" t="inlineStr">
        <is>
          <t>IF(AQ349="","",AQ349)</t>
        </is>
      </c>
      <c r="U349" s="59" t="n">
        <v>46351</v>
      </c>
      <c r="V349" s="60" t="n">
        <v>5.9</v>
      </c>
      <c r="W349" s="59" t="n">
        <v>46531</v>
      </c>
      <c r="X349" s="36" t="inlineStr">
        <is>
          <t>IF(W349&lt;&gt;"",W349,IF(OR(T349="",V349=""),"",EDATE(T349,V349)))</t>
        </is>
      </c>
      <c r="Y349" s="59" t="n"/>
      <c r="Z349" s="60" t="n"/>
      <c r="AA349" s="57" t="inlineStr">
        <is>
          <t>PR to be Raised</t>
        </is>
      </c>
      <c r="AB349" s="57" t="inlineStr">
        <is>
          <t>Construction period six months including slack period (Dec-Jan).</t>
        </is>
      </c>
      <c r="AC349" s="32" t="inlineStr">
        <is>
          <t>IF(F349="","",IF(COUNT(AI349:AV349)=0,IF(AA349="","Not started",AA349),SUBSTITUTE(LOOKUP(2,1/(AI349:AV349&lt;&gt;""),$AI$3:$AV$3),"Date: ","")))</t>
        </is>
      </c>
      <c r="AD349" s="39" t="inlineStr">
        <is>
          <t>IF(OR(F349="",COUNT(AI349:AV349)=0),"",TODAY()-LOOKUP(2,1/(AI349:AV349&lt;&gt;""),AI349:AV349))</t>
        </is>
      </c>
      <c r="AE349" s="39" t="inlineStr">
        <is>
          <t>IF(OR(F349="",COUNT(AI349:AV349)&lt;2),"",LOOKUP(2,1/(AI349:AV349&lt;&gt;""),AI349:AV349)-MIN(AI349:AV349))</t>
        </is>
      </c>
      <c r="AF349" s="39" t="inlineStr">
        <is>
          <t>IF(OR(AD349="",AC349="Not started",AC349=""),"",IFERROR(AD349-IF(VLOOKUP(AC349,'06_Status_Pipeline'!$B$3:$E$20,4,FALSE)="",0,VLOOKUP(AC349,'06_Status_Pipeline'!$B$3:$E$20,4,FALSE)),""))</t>
        </is>
      </c>
      <c r="AG349" s="3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39" t="inlineStr">
        <is>
          <t>IF(OR(F349="",AC349="Completed / Handover",AC349="Cancelled"),"",IF(O349="Not awarded",IF(U349&lt;&gt;"",U349-TODAY(),IF(X349="","",X349-TODAY())),IF(X349="","",X349-TODAY())))</t>
        </is>
      </c>
      <c r="AI349" s="59" t="n"/>
      <c r="AJ349" s="59" t="n"/>
      <c r="AK349" s="59" t="n"/>
      <c r="AL349" s="59" t="n"/>
      <c r="AM349" s="59" t="n"/>
      <c r="AN349" s="59" t="n"/>
      <c r="AO349" s="59" t="n"/>
      <c r="AP349" s="59" t="n"/>
      <c r="AQ349" s="59" t="n"/>
      <c r="AR349" s="59" t="n"/>
      <c r="AS349" s="59" t="n"/>
      <c r="AT349" s="40" t="n"/>
      <c r="AU349" s="40" t="n"/>
      <c r="AV349" s="40" t="n"/>
      <c r="AW349" s="39" t="inlineStr">
        <is>
          <t>IF(OR(F349="",AJ349=""),"",IF(COUNT(AI349:AI349)=0,"",AJ349-LOOKUP(2,1/(AI349:AI349&lt;&gt;""),AI349:AI349)))</t>
        </is>
      </c>
      <c r="AX349" s="39" t="inlineStr">
        <is>
          <t>IF(OR(F349="",AK349=""),"",IF(COUNT(AI349:AJ349)=0,"",AK349-LOOKUP(2,1/(AI349:AJ349&lt;&gt;""),AI349:AJ349)))</t>
        </is>
      </c>
      <c r="AY349" s="39" t="inlineStr">
        <is>
          <t>IF(OR(F349="",AL349=""),"",IF(COUNT(AI349:AK349)=0,"",AL349-LOOKUP(2,1/(AI349:AK349&lt;&gt;""),AI349:AK349)))</t>
        </is>
      </c>
      <c r="AZ349" s="39" t="inlineStr">
        <is>
          <t>IF(OR(F349="",AM349=""),"",IF(COUNT(AI349:AL349)=0,"",AM349-LOOKUP(2,1/(AI349:AL349&lt;&gt;""),AI349:AL349)))</t>
        </is>
      </c>
      <c r="BA349" s="39" t="inlineStr">
        <is>
          <t>IF(OR(F349="",AN349=""),"",IF(COUNT(AI349:AM349)=0,"",AN349-LOOKUP(2,1/(AI349:AM349&lt;&gt;""),AI349:AM349)))</t>
        </is>
      </c>
      <c r="BB349" s="39" t="inlineStr">
        <is>
          <t>IF(OR(F349="",AO349=""),"",IF(COUNT(AI349:AN349)=0,"",AO349-LOOKUP(2,1/(AI349:AN349&lt;&gt;""),AI349:AN349)))</t>
        </is>
      </c>
      <c r="BC349" s="39" t="inlineStr">
        <is>
          <t>IF(OR(F349="",AP349=""),"",IF(COUNT(AI349:AO349)=0,"",AP349-LOOKUP(2,1/(AI349:AO349&lt;&gt;""),AI349:AO349)))</t>
        </is>
      </c>
      <c r="BD349" s="39" t="inlineStr">
        <is>
          <t>IF(OR(F349="",AQ349=""),"",IF(COUNT(AI349:AP349)=0,"",AQ349-LOOKUP(2,1/(AI349:AP349&lt;&gt;""),AI349:AP349)))</t>
        </is>
      </c>
      <c r="BE349" s="39" t="inlineStr">
        <is>
          <t>IF(OR(F349="",AR349=""),"",IF(COUNT(AI349:AQ349)=0,"",AR349-LOOKUP(2,1/(AI349:AQ349&lt;&gt;""),AI349:AQ349)))</t>
        </is>
      </c>
      <c r="BF349" s="39" t="inlineStr">
        <is>
          <t>IF(OR(F349="",AS349=""),"",IF(COUNT(AI349:AR349)=0,"",AS349-LOOKUP(2,1/(AI349:AR349&lt;&gt;""),AI349:AR349)))</t>
        </is>
      </c>
      <c r="BG349" s="39" t="inlineStr">
        <is>
          <t>IF(OR(F349="",AT349=""),"",IF(COUNT(AI349:AS349)=0,"",AT349-LOOKUP(2,1/(AI349:AS349&lt;&gt;""),AI349:AS349)))</t>
        </is>
      </c>
      <c r="BH349" s="39" t="inlineStr">
        <is>
          <t>IF(OR(F349="",AU349=""),"",IF(COUNT(AI349:AT349)=0,"",AU349-LOOKUP(2,1/(AI349:AT349&lt;&gt;""),AI349:AT349)))</t>
        </is>
      </c>
      <c r="BI349" s="39" t="inlineStr">
        <is>
          <t>IF(OR(F349="",AV349=""),"",IF(COUNT(AI349:AU349)=0,"",AV349-LOOKUP(2,1/(AI349:AU349&lt;&gt;""),AI349:AU349)))</t>
        </is>
      </c>
      <c r="BJ349" s="41" t="inlineStr">
        <is>
          <t>IF(J349="","All_Provinces",IFERROR(VLOOKUP(J349,'09_Lookups'!$A$4:$B$20,2,FALSE),"All_Provinces"))</t>
        </is>
      </c>
      <c r="BK349" s="41" t="inlineStr">
        <is>
          <t>IF(K349="","All_Districts",IFERROR(VLOOKUP(K349,'09_Lookups'!$E$4:$F$42,2,FALSE),"All_Districts"))</t>
        </is>
      </c>
    </row>
    <row r="350" outlineLevel="1" ht="18" customHeight="1">
      <c r="A350" s="42" t="inlineStr">
        <is>
          <t>IF(F350="","",ROW()-3)</t>
        </is>
      </c>
      <c r="B350" s="43" t="inlineStr">
        <is>
          <t>AF2-WSM-33</t>
        </is>
      </c>
      <c r="C350" s="43" t="inlineStr">
        <is>
          <t>Package #33-AF2 WSM: Construction of 2 Check dams of Ala Taba-1 and Ala Taba-2 in Ablurz district of Balkh province.</t>
        </is>
      </c>
      <c r="D350" s="43" t="inlineStr">
        <is>
          <t>2 of 2</t>
        </is>
      </c>
      <c r="E350" s="52" t="inlineStr">
        <is>
          <t>AF2-WSM-N-022</t>
        </is>
      </c>
      <c r="F350" s="52" t="inlineStr">
        <is>
          <t>Ala Taba-2</t>
        </is>
      </c>
      <c r="G350" s="52" t="inlineStr">
        <is>
          <t>Watershed Management</t>
        </is>
      </c>
      <c r="H350" s="52" t="inlineStr">
        <is>
          <t>Check Dam</t>
        </is>
      </c>
      <c r="I350" s="52" t="inlineStr">
        <is>
          <t>Emergency Food Security Project (EFSP) – WBK/AF-2</t>
        </is>
      </c>
      <c r="J350" s="52" t="inlineStr">
        <is>
          <t>North / Mazar</t>
        </is>
      </c>
      <c r="K350" s="52" t="inlineStr">
        <is>
          <t>Balkh</t>
        </is>
      </c>
      <c r="L350" s="52" t="inlineStr">
        <is>
          <t>Alburz</t>
        </is>
      </c>
      <c r="M350" s="52" t="inlineStr">
        <is>
          <t>Sang Toda and Charso</t>
        </is>
      </c>
      <c r="N350" s="52" t="inlineStr">
        <is>
          <t>World Bank (WBK/AF-2)</t>
        </is>
      </c>
      <c r="O350" s="52" t="inlineStr">
        <is>
          <t>Not awarded</t>
        </is>
      </c>
      <c r="P350" s="52" t="inlineStr">
        <is>
          <t>4.WSM remaining contracts</t>
        </is>
      </c>
      <c r="Q350" s="52" t="inlineStr"/>
      <c r="R350" s="52" t="inlineStr"/>
      <c r="S350" s="53" t="n">
        <v>55029</v>
      </c>
      <c r="T350" s="46" t="inlineStr">
        <is>
          <t>IF(AQ350="","",AQ350)</t>
        </is>
      </c>
      <c r="U350" s="54" t="n">
        <v>46351</v>
      </c>
      <c r="V350" s="55" t="n">
        <v>5.9</v>
      </c>
      <c r="W350" s="54" t="n">
        <v>46531</v>
      </c>
      <c r="X350" s="46" t="inlineStr">
        <is>
          <t>IF(W350&lt;&gt;"",W350,IF(OR(T350="",V350=""),"",EDATE(T350,V350)))</t>
        </is>
      </c>
      <c r="Y350" s="54" t="n"/>
      <c r="Z350" s="55" t="n"/>
      <c r="AA350" s="52" t="inlineStr">
        <is>
          <t>PR to be Raised</t>
        </is>
      </c>
      <c r="AB350" s="52" t="inlineStr">
        <is>
          <t>Construction period six months including slack period (Dec-Jan).</t>
        </is>
      </c>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32" t="inlineStr">
        <is>
          <t>IF(F351="","",ROW()-3)</t>
        </is>
      </c>
      <c r="B351" s="56" t="inlineStr">
        <is>
          <t>AF2-WSM-34</t>
        </is>
      </c>
      <c r="C351" s="56" t="inlineStr">
        <is>
          <t>Package #34-AF2 WSM: Construction of two Check dams, 1.Tawqus Sangaw and 2. Khalkoma in Kalbad and Ali Abad district of Kunduz province.</t>
        </is>
      </c>
      <c r="D351" s="56" t="inlineStr">
        <is>
          <t>1 of 2</t>
        </is>
      </c>
      <c r="E351" s="57" t="inlineStr">
        <is>
          <t>AF2-WSM-N-023</t>
        </is>
      </c>
      <c r="F351" s="57" t="inlineStr">
        <is>
          <t>Khalkoma Check Dam</t>
        </is>
      </c>
      <c r="G351" s="57" t="inlineStr">
        <is>
          <t>Watershed Management</t>
        </is>
      </c>
      <c r="H351" s="57" t="inlineStr">
        <is>
          <t>Check Dam</t>
        </is>
      </c>
      <c r="I351" s="57" t="inlineStr">
        <is>
          <t>Emergency Food Security Project (EFSP) – WBK/AF-2</t>
        </is>
      </c>
      <c r="J351" s="57" t="inlineStr">
        <is>
          <t>South / Kandahar</t>
        </is>
      </c>
      <c r="K351" s="57" t="inlineStr">
        <is>
          <t>Kunduz</t>
        </is>
      </c>
      <c r="L351" s="57" t="inlineStr">
        <is>
          <t>Ali Abad</t>
        </is>
      </c>
      <c r="M351" s="57" t="inlineStr">
        <is>
          <t>Khalkoma</t>
        </is>
      </c>
      <c r="N351" s="57" t="inlineStr">
        <is>
          <t>World Bank (WBK/AF-2)</t>
        </is>
      </c>
      <c r="O351" s="57" t="inlineStr">
        <is>
          <t>Not awarded</t>
        </is>
      </c>
      <c r="P351" s="57" t="inlineStr">
        <is>
          <t>4.WSM remaining contracts</t>
        </is>
      </c>
      <c r="Q351" s="57" t="inlineStr"/>
      <c r="R351" s="57" t="inlineStr"/>
      <c r="S351" s="58" t="n">
        <v>66984.58</v>
      </c>
      <c r="T351" s="36" t="inlineStr">
        <is>
          <t>IF(AQ351="","",AQ351)</t>
        </is>
      </c>
      <c r="U351" s="59" t="n">
        <v>46326</v>
      </c>
      <c r="V351" s="60" t="n">
        <v>5.9</v>
      </c>
      <c r="W351" s="59" t="n">
        <v>46506</v>
      </c>
      <c r="X351" s="36" t="inlineStr">
        <is>
          <t>IF(W351&lt;&gt;"",W351,IF(OR(T351="",V351=""),"",EDATE(T351,V351)))</t>
        </is>
      </c>
      <c r="Y351" s="59" t="n"/>
      <c r="Z351" s="60" t="n"/>
      <c r="AA351" s="57" t="inlineStr">
        <is>
          <t>ITB Launched</t>
        </is>
      </c>
      <c r="AB351" s="57" t="inlineStr">
        <is>
          <t>Construction period six months including slack period (Dec-Jan).</t>
        </is>
      </c>
      <c r="AC351" s="32" t="inlineStr">
        <is>
          <t>IF(F351="","",IF(COUNT(AI351:AV351)=0,IF(AA351="","Not started",AA351),SUBSTITUTE(LOOKUP(2,1/(AI351:AV351&lt;&gt;""),$AI$3:$AV$3),"Date: ","")))</t>
        </is>
      </c>
      <c r="AD351" s="39" t="inlineStr">
        <is>
          <t>IF(OR(F351="",COUNT(AI351:AV351)=0),"",TODAY()-LOOKUP(2,1/(AI351:AV351&lt;&gt;""),AI351:AV351))</t>
        </is>
      </c>
      <c r="AE351" s="39" t="inlineStr">
        <is>
          <t>IF(OR(F351="",COUNT(AI351:AV351)&lt;2),"",LOOKUP(2,1/(AI351:AV351&lt;&gt;""),AI351:AV351)-MIN(AI351:AV351))</t>
        </is>
      </c>
      <c r="AF351" s="39" t="inlineStr">
        <is>
          <t>IF(OR(AD351="",AC351="Not started",AC351=""),"",IFERROR(AD351-IF(VLOOKUP(AC351,'06_Status_Pipeline'!$B$3:$E$20,4,FALSE)="",0,VLOOKUP(AC351,'06_Status_Pipeline'!$B$3:$E$20,4,FALSE)),""))</t>
        </is>
      </c>
      <c r="AG351" s="3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39" t="inlineStr">
        <is>
          <t>IF(OR(F351="",AC351="Completed / Handover",AC351="Cancelled"),"",IF(O351="Not awarded",IF(U351&lt;&gt;"",U351-TODAY(),IF(X351="","",X351-TODAY())),IF(X351="","",X351-TODAY())))</t>
        </is>
      </c>
      <c r="AI351" s="59" t="n"/>
      <c r="AJ351" s="59" t="n"/>
      <c r="AK351" s="59" t="n"/>
      <c r="AL351" s="59" t="n"/>
      <c r="AM351" s="59" t="n"/>
      <c r="AN351" s="59" t="n"/>
      <c r="AO351" s="59" t="n"/>
      <c r="AP351" s="59" t="n"/>
      <c r="AQ351" s="59" t="n"/>
      <c r="AR351" s="59" t="n"/>
      <c r="AS351" s="59" t="n"/>
      <c r="AT351" s="40" t="n"/>
      <c r="AU351" s="40" t="n"/>
      <c r="AV351" s="40" t="n"/>
      <c r="AW351" s="39" t="inlineStr">
        <is>
          <t>IF(OR(F351="",AJ351=""),"",IF(COUNT(AI351:AI351)=0,"",AJ351-LOOKUP(2,1/(AI351:AI351&lt;&gt;""),AI351:AI351)))</t>
        </is>
      </c>
      <c r="AX351" s="39" t="inlineStr">
        <is>
          <t>IF(OR(F351="",AK351=""),"",IF(COUNT(AI351:AJ351)=0,"",AK351-LOOKUP(2,1/(AI351:AJ351&lt;&gt;""),AI351:AJ351)))</t>
        </is>
      </c>
      <c r="AY351" s="39" t="inlineStr">
        <is>
          <t>IF(OR(F351="",AL351=""),"",IF(COUNT(AI351:AK351)=0,"",AL351-LOOKUP(2,1/(AI351:AK351&lt;&gt;""),AI351:AK351)))</t>
        </is>
      </c>
      <c r="AZ351" s="39" t="inlineStr">
        <is>
          <t>IF(OR(F351="",AM351=""),"",IF(COUNT(AI351:AL351)=0,"",AM351-LOOKUP(2,1/(AI351:AL351&lt;&gt;""),AI351:AL351)))</t>
        </is>
      </c>
      <c r="BA351" s="39" t="inlineStr">
        <is>
          <t>IF(OR(F351="",AN351=""),"",IF(COUNT(AI351:AM351)=0,"",AN351-LOOKUP(2,1/(AI351:AM351&lt;&gt;""),AI351:AM351)))</t>
        </is>
      </c>
      <c r="BB351" s="39" t="inlineStr">
        <is>
          <t>IF(OR(F351="",AO351=""),"",IF(COUNT(AI351:AN351)=0,"",AO351-LOOKUP(2,1/(AI351:AN351&lt;&gt;""),AI351:AN351)))</t>
        </is>
      </c>
      <c r="BC351" s="39" t="inlineStr">
        <is>
          <t>IF(OR(F351="",AP351=""),"",IF(COUNT(AI351:AO351)=0,"",AP351-LOOKUP(2,1/(AI351:AO351&lt;&gt;""),AI351:AO351)))</t>
        </is>
      </c>
      <c r="BD351" s="39" t="inlineStr">
        <is>
          <t>IF(OR(F351="",AQ351=""),"",IF(COUNT(AI351:AP351)=0,"",AQ351-LOOKUP(2,1/(AI351:AP351&lt;&gt;""),AI351:AP351)))</t>
        </is>
      </c>
      <c r="BE351" s="39" t="inlineStr">
        <is>
          <t>IF(OR(F351="",AR351=""),"",IF(COUNT(AI351:AQ351)=0,"",AR351-LOOKUP(2,1/(AI351:AQ351&lt;&gt;""),AI351:AQ351)))</t>
        </is>
      </c>
      <c r="BF351" s="39" t="inlineStr">
        <is>
          <t>IF(OR(F351="",AS351=""),"",IF(COUNT(AI351:AR351)=0,"",AS351-LOOKUP(2,1/(AI351:AR351&lt;&gt;""),AI351:AR351)))</t>
        </is>
      </c>
      <c r="BG351" s="39" t="inlineStr">
        <is>
          <t>IF(OR(F351="",AT351=""),"",IF(COUNT(AI351:AS351)=0,"",AT351-LOOKUP(2,1/(AI351:AS351&lt;&gt;""),AI351:AS351)))</t>
        </is>
      </c>
      <c r="BH351" s="39" t="inlineStr">
        <is>
          <t>IF(OR(F351="",AU351=""),"",IF(COUNT(AI351:AT351)=0,"",AU351-LOOKUP(2,1/(AI351:AT351&lt;&gt;""),AI351:AT351)))</t>
        </is>
      </c>
      <c r="BI351" s="39" t="inlineStr">
        <is>
          <t>IF(OR(F351="",AV351=""),"",IF(COUNT(AI351:AU351)=0,"",AV351-LOOKUP(2,1/(AI351:AU351&lt;&gt;""),AI351:AU351)))</t>
        </is>
      </c>
      <c r="BJ351" s="41" t="inlineStr">
        <is>
          <t>IF(J351="","All_Provinces",IFERROR(VLOOKUP(J351,'09_Lookups'!$A$4:$B$20,2,FALSE),"All_Provinces"))</t>
        </is>
      </c>
      <c r="BK351" s="41" t="inlineStr">
        <is>
          <t>IF(K351="","All_Districts",IFERROR(VLOOKUP(K351,'09_Lookups'!$E$4:$F$42,2,FALSE),"All_Districts"))</t>
        </is>
      </c>
    </row>
    <row r="352" outlineLevel="1" ht="18" customHeight="1">
      <c r="A352" s="42" t="inlineStr">
        <is>
          <t>IF(F352="","",ROW()-3)</t>
        </is>
      </c>
      <c r="B352" s="61" t="inlineStr">
        <is>
          <t>AF2-WSM-34</t>
        </is>
      </c>
      <c r="C352" s="61" t="inlineStr">
        <is>
          <t>Package #34-AF2 WSM: Construction of two Check dams, 1.Tawqus Sangaw and 2. Khalkoma in Kalbad and Ali Abad district of Kunduz province.</t>
        </is>
      </c>
      <c r="D352" s="61" t="inlineStr">
        <is>
          <t>2 of 2</t>
        </is>
      </c>
      <c r="E352" s="52" t="inlineStr">
        <is>
          <t>AF2-WSM-N-024</t>
        </is>
      </c>
      <c r="F352" s="52" t="inlineStr">
        <is>
          <t>Tawqus Sangaw Check Dam</t>
        </is>
      </c>
      <c r="G352" s="52" t="inlineStr">
        <is>
          <t>Watershed Management</t>
        </is>
      </c>
      <c r="H352" s="52" t="inlineStr">
        <is>
          <t>Check Dam</t>
        </is>
      </c>
      <c r="I352" s="52" t="inlineStr">
        <is>
          <t>Emergency Food Security Project (EFSP) – WBK/AF-2</t>
        </is>
      </c>
      <c r="J352" s="52" t="inlineStr">
        <is>
          <t>South / Kandahar</t>
        </is>
      </c>
      <c r="K352" s="52" t="inlineStr">
        <is>
          <t>Kunduz</t>
        </is>
      </c>
      <c r="L352" s="52" t="inlineStr">
        <is>
          <t>Kalbad</t>
        </is>
      </c>
      <c r="M352" s="52" t="inlineStr">
        <is>
          <t>Tawqus Sangaw</t>
        </is>
      </c>
      <c r="N352" s="52" t="inlineStr">
        <is>
          <t>World Bank (WBK/AF-2)</t>
        </is>
      </c>
      <c r="O352" s="52" t="inlineStr">
        <is>
          <t>Not awarded</t>
        </is>
      </c>
      <c r="P352" s="52" t="inlineStr">
        <is>
          <t>4.WSM remaining contracts</t>
        </is>
      </c>
      <c r="Q352" s="52" t="inlineStr"/>
      <c r="R352" s="52" t="inlineStr"/>
      <c r="S352" s="53" t="n">
        <v>66984.58</v>
      </c>
      <c r="T352" s="46" t="inlineStr">
        <is>
          <t>IF(AQ352="","",AQ352)</t>
        </is>
      </c>
      <c r="U352" s="54" t="n">
        <v>46326</v>
      </c>
      <c r="V352" s="55" t="n">
        <v>5.9</v>
      </c>
      <c r="W352" s="54" t="n">
        <v>46506</v>
      </c>
      <c r="X352" s="46" t="inlineStr">
        <is>
          <t>IF(W352&lt;&gt;"",W352,IF(OR(T352="",V352=""),"",EDATE(T352,V352)))</t>
        </is>
      </c>
      <c r="Y352" s="54" t="n"/>
      <c r="Z352" s="55" t="n"/>
      <c r="AA352" s="52" t="inlineStr">
        <is>
          <t>ITB Launched</t>
        </is>
      </c>
      <c r="AB352" s="52" t="inlineStr">
        <is>
          <t>Construction period six months including slack period (Dec-Jan).</t>
        </is>
      </c>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3">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Q4:Q453" showDropDown="0" showInputMessage="0" showErrorMessage="1" allowBlank="1" errorTitle="Not in list" error="Choose a value from the list, or add it on the Domains / Geography sheet first." type="list">
      <formula1>=Contractors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50"/>
  <sheetViews>
    <sheetView showGridLines="0" workbookViewId="0">
      <selection activeCell="A1" sqref="A1"/>
    </sheetView>
  </sheetViews>
  <sheetFormatPr baseColWidth="8" defaultRowHeight="15"/>
  <cols>
    <col width="28" customWidth="1" min="1" max="1"/>
    <col width="14" customWidth="1" min="2" max="2"/>
    <col width="14" customWidth="1" min="3" max="3"/>
    <col width="12"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1" t="inlineStr">
        <is>
          <t>Dashboard — scheme counts and time spent in each step</t>
        </is>
      </c>
      <c r="B1" s="22" t="n"/>
      <c r="C1" s="22" t="n"/>
      <c r="D1" s="22" t="n"/>
      <c r="E1" s="22" t="n"/>
      <c r="F1" s="22" t="n"/>
      <c r="G1" s="22" t="n"/>
      <c r="H1" s="22" t="n"/>
      <c r="I1" s="22" t="n"/>
      <c r="J1" s="22" t="n"/>
      <c r="K1" s="22" t="n"/>
      <c r="L1" s="22" t="n"/>
    </row>
    <row r="2">
      <c r="A2" s="68"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69" t="n"/>
      <c r="C4" s="69" t="n"/>
      <c r="D4" s="9" t="inlineStr">
        <is>
          <t>On track / completed</t>
        </is>
      </c>
      <c r="E4" s="69" t="n"/>
      <c r="F4" s="69" t="n"/>
      <c r="G4" s="9" t="inlineStr">
        <is>
          <t>At risk — close to off track</t>
        </is>
      </c>
      <c r="H4" s="69" t="n"/>
      <c r="I4" s="69" t="n"/>
      <c r="J4" s="9" t="inlineStr">
        <is>
          <t>Behind planned date</t>
        </is>
      </c>
      <c r="K4" s="69" t="n"/>
      <c r="L4" s="69" t="n"/>
    </row>
    <row r="5" ht="28" customHeight="1">
      <c r="A5" s="70">
        <f>COUNTA('01_Scheme_Tracker'!$F$4:$F$453)</f>
        <v/>
      </c>
      <c r="B5" s="71" t="n"/>
      <c r="C5" s="71" t="n"/>
      <c r="D5" s="70">
        <f>COUNTIF('01_Scheme_Tracker'!$AG$4:$AG$453,"On track")+COUNTIF('01_Scheme_Tracker'!$AG$4:$AG$453,"Completed — on track")</f>
        <v/>
      </c>
      <c r="E5" s="71" t="n"/>
      <c r="F5" s="71" t="n"/>
      <c r="G5" s="70">
        <f>COUNTIF('01_Scheme_Tracker'!$AG$4:$AG$453,"At risk — close to off track")</f>
        <v/>
      </c>
      <c r="H5" s="71" t="n"/>
      <c r="I5" s="71" t="n"/>
      <c r="J5" s="70">
        <f>COUNTIF('01_Scheme_Tracker'!$AG$4:$AG$453,"Behind*")</f>
        <v/>
      </c>
      <c r="K5" s="71" t="n"/>
      <c r="L5" s="71" t="n"/>
    </row>
    <row r="7">
      <c r="A7" s="7" t="inlineStr">
        <is>
          <t>Schemes by current status  ·  Packages = unique contracts (see 11_Package_Status)</t>
        </is>
      </c>
      <c r="E7" s="72" t="inlineStr">
        <is>
          <t>Schemes by region</t>
        </is>
      </c>
      <c r="I7" s="73" t="inlineStr">
        <is>
          <t>Average days between steps</t>
        </is>
      </c>
    </row>
    <row r="8">
      <c r="A8" s="23" t="inlineStr">
        <is>
          <t>Status</t>
        </is>
      </c>
      <c r="B8" s="23" t="inlineStr">
        <is>
          <t>Sub-projects</t>
        </is>
      </c>
      <c r="C8" s="23" t="inlineStr">
        <is>
          <t>Share of rows</t>
        </is>
      </c>
      <c r="D8" s="23" t="inlineStr">
        <is>
          <t>Packages</t>
        </is>
      </c>
      <c r="E8" s="24" t="inlineStr">
        <is>
          <t>Region</t>
        </is>
      </c>
      <c r="F8" s="24" t="inlineStr">
        <is>
          <t>Count</t>
        </is>
      </c>
      <c r="G8" s="24" t="inlineStr">
        <is>
          <t>Share</t>
        </is>
      </c>
      <c r="I8" s="26" t="inlineStr">
        <is>
          <t>Step</t>
        </is>
      </c>
      <c r="J8" s="26" t="inlineStr">
        <is>
          <t>Average days</t>
        </is>
      </c>
      <c r="K8" s="26" t="inlineStr">
        <is>
          <t>Schemes with this step dated</t>
        </is>
      </c>
      <c r="L8" s="26" t="inlineStr">
        <is>
          <t>Target days</t>
        </is>
      </c>
    </row>
    <row r="9">
      <c r="A9" s="11" t="inlineStr">
        <is>
          <t>Under Design</t>
        </is>
      </c>
      <c r="B9" s="49">
        <f>COUNTIF('01_Scheme_Tracker'!$AC$4:$AC$453,A9)</f>
        <v/>
      </c>
      <c r="C9" s="74">
        <f>IF($A$5=0,"",B9/$A$5)</f>
        <v/>
      </c>
      <c r="D9" s="49">
        <f>COUNTIF('03_Package_Summary'!$E$4:$E$85,A9)</f>
        <v/>
      </c>
      <c r="E9" s="5" t="inlineStr">
        <is>
          <t>West / Herat</t>
        </is>
      </c>
      <c r="F9" s="49">
        <f>COUNTIF('01_Scheme_Tracker'!$J$4:$J$453,E9)</f>
        <v/>
      </c>
      <c r="G9" s="74">
        <f>IF($A$5=0,"",F9/$A$5)</f>
        <v/>
      </c>
      <c r="I9" s="5">
        <f>'01_Scheme_Tracker'!AW3</f>
        <v/>
      </c>
      <c r="J9" s="75">
        <f>IFERROR(AVERAGE('01_Scheme_Tracker'!$AW$4:$AW$453),"")</f>
        <v/>
      </c>
      <c r="K9" s="49">
        <f>COUNT('01_Scheme_Tracker'!$AJ$4:$AJ$453)</f>
        <v/>
      </c>
      <c r="L9" s="49">
        <f>IFERROR('06_Status_Pipeline'!E4,"")</f>
        <v/>
      </c>
    </row>
    <row r="10">
      <c r="A10" s="12" t="inlineStr">
        <is>
          <t>Under Review of WRI</t>
        </is>
      </c>
      <c r="B10" s="49">
        <f>COUNTIF('01_Scheme_Tracker'!$AC$4:$AC$453,A10)</f>
        <v/>
      </c>
      <c r="C10" s="74">
        <f>IF($A$5=0,"",B10/$A$5)</f>
        <v/>
      </c>
      <c r="D10" s="49">
        <f>COUNTIF('03_Package_Summary'!$E$4:$E$85,A10)</f>
        <v/>
      </c>
      <c r="E10" s="5" t="inlineStr">
        <is>
          <t>East / Jalalabad</t>
        </is>
      </c>
      <c r="F10" s="49">
        <f>COUNTIF('01_Scheme_Tracker'!$J$4:$J$453,E10)</f>
        <v/>
      </c>
      <c r="G10" s="74">
        <f>IF($A$5=0,"",F10/$A$5)</f>
        <v/>
      </c>
      <c r="I10" s="5">
        <f>'01_Scheme_Tracker'!AX3</f>
        <v/>
      </c>
      <c r="J10" s="75">
        <f>IFERROR(AVERAGE('01_Scheme_Tracker'!$AX$4:$AX$453),"")</f>
        <v/>
      </c>
      <c r="K10" s="49">
        <f>COUNT('01_Scheme_Tracker'!$AK$4:$AK$453)</f>
        <v/>
      </c>
      <c r="L10" s="49">
        <f>IFERROR('06_Status_Pipeline'!E5,"")</f>
        <v/>
      </c>
    </row>
    <row r="11">
      <c r="A11" s="13" t="inlineStr">
        <is>
          <t>Under LTO Review</t>
        </is>
      </c>
      <c r="B11" s="49">
        <f>COUNTIF('01_Scheme_Tracker'!$AC$4:$AC$453,A11)</f>
        <v/>
      </c>
      <c r="C11" s="74">
        <f>IF($A$5=0,"",B11/$A$5)</f>
        <v/>
      </c>
      <c r="D11" s="49">
        <f>COUNTIF('03_Package_Summary'!$E$4:$E$85,A11)</f>
        <v/>
      </c>
      <c r="E11" s="5" t="inlineStr">
        <is>
          <t>Central / Kabul</t>
        </is>
      </c>
      <c r="F11" s="49">
        <f>COUNTIF('01_Scheme_Tracker'!$J$4:$J$453,E11)</f>
        <v/>
      </c>
      <c r="G11" s="74">
        <f>IF($A$5=0,"",F11/$A$5)</f>
        <v/>
      </c>
      <c r="I11" s="5">
        <f>'01_Scheme_Tracker'!AY3</f>
        <v/>
      </c>
      <c r="J11" s="75">
        <f>IFERROR(AVERAGE('01_Scheme_Tracker'!$AY$4:$AY$453),"")</f>
        <v/>
      </c>
      <c r="K11" s="49">
        <f>COUNT('01_Scheme_Tracker'!$AL$4:$AL$453)</f>
        <v/>
      </c>
      <c r="L11" s="49">
        <f>IFERROR('06_Status_Pipeline'!E6,"")</f>
        <v/>
      </c>
    </row>
    <row r="12">
      <c r="A12" s="14" t="inlineStr">
        <is>
          <t>PR to be Raised</t>
        </is>
      </c>
      <c r="B12" s="49">
        <f>COUNTIF('01_Scheme_Tracker'!$AC$4:$AC$453,A12)</f>
        <v/>
      </c>
      <c r="C12" s="74">
        <f>IF($A$5=0,"",B12/$A$5)</f>
        <v/>
      </c>
      <c r="D12" s="49">
        <f>COUNTIF('03_Package_Summary'!$E$4:$E$85,A12)</f>
        <v/>
      </c>
      <c r="E12" s="5" t="inlineStr">
        <is>
          <t>Central Highland / Bamyan</t>
        </is>
      </c>
      <c r="F12" s="49">
        <f>COUNTIF('01_Scheme_Tracker'!$J$4:$J$453,E12)</f>
        <v/>
      </c>
      <c r="G12" s="74">
        <f>IF($A$5=0,"",F12/$A$5)</f>
        <v/>
      </c>
      <c r="I12" s="5">
        <f>'01_Scheme_Tracker'!AZ3</f>
        <v/>
      </c>
      <c r="J12" s="75">
        <f>IFERROR(AVERAGE('01_Scheme_Tracker'!$AZ$4:$AZ$453),"")</f>
        <v/>
      </c>
      <c r="K12" s="49">
        <f>COUNT('01_Scheme_Tracker'!$AM$4:$AM$453)</f>
        <v/>
      </c>
      <c r="L12" s="49">
        <f>IFERROR('06_Status_Pipeline'!E7,"")</f>
        <v/>
      </c>
    </row>
    <row r="13">
      <c r="A13" s="15" t="inlineStr">
        <is>
          <t>ITB Launched</t>
        </is>
      </c>
      <c r="B13" s="49">
        <f>COUNTIF('01_Scheme_Tracker'!$AC$4:$AC$453,A13)</f>
        <v/>
      </c>
      <c r="C13" s="74">
        <f>IF($A$5=0,"",B13/$A$5)</f>
        <v/>
      </c>
      <c r="D13" s="49">
        <f>COUNTIF('03_Package_Summary'!$E$4:$E$85,A13)</f>
        <v/>
      </c>
      <c r="E13" s="5" t="inlineStr">
        <is>
          <t>Southeast / Gardez</t>
        </is>
      </c>
      <c r="F13" s="49">
        <f>COUNTIF('01_Scheme_Tracker'!$J$4:$J$453,E13)</f>
        <v/>
      </c>
      <c r="G13" s="74">
        <f>IF($A$5=0,"",F13/$A$5)</f>
        <v/>
      </c>
      <c r="I13" s="5">
        <f>'01_Scheme_Tracker'!BA3</f>
        <v/>
      </c>
      <c r="J13" s="75">
        <f>IFERROR(AVERAGE('01_Scheme_Tracker'!$BA$4:$BA$453),"")</f>
        <v/>
      </c>
      <c r="K13" s="49">
        <f>COUNT('01_Scheme_Tracker'!$AN$4:$AN$453)</f>
        <v/>
      </c>
      <c r="L13" s="49">
        <f>IFERROR('06_Status_Pipeline'!E8,"")</f>
        <v/>
      </c>
    </row>
    <row r="14">
      <c r="A14" s="15" t="inlineStr">
        <is>
          <t>Retendered (Re-ITB)</t>
        </is>
      </c>
      <c r="B14" s="49">
        <f>COUNTIF('01_Scheme_Tracker'!$AC$4:$AC$453,A14)</f>
        <v/>
      </c>
      <c r="C14" s="74">
        <f>IF($A$5=0,"",B14/$A$5)</f>
        <v/>
      </c>
      <c r="D14" s="49">
        <f>COUNTIF('03_Package_Summary'!$E$4:$E$85,A14)</f>
        <v/>
      </c>
      <c r="E14" s="5" t="inlineStr">
        <is>
          <t>South / Kandahar</t>
        </is>
      </c>
      <c r="F14" s="49">
        <f>COUNTIF('01_Scheme_Tracker'!$J$4:$J$453,E14)</f>
        <v/>
      </c>
      <c r="G14" s="74">
        <f>IF($A$5=0,"",F14/$A$5)</f>
        <v/>
      </c>
      <c r="I14" s="5">
        <f>'01_Scheme_Tracker'!BB3</f>
        <v/>
      </c>
      <c r="J14" s="75">
        <f>IFERROR(AVERAGE('01_Scheme_Tracker'!$BB$4:$BB$453),"")</f>
        <v/>
      </c>
      <c r="K14" s="49">
        <f>COUNT('01_Scheme_Tracker'!$AO$4:$AO$453)</f>
        <v/>
      </c>
      <c r="L14" s="49">
        <f>IFERROR('06_Status_Pipeline'!E9,"")</f>
        <v/>
      </c>
    </row>
    <row r="15">
      <c r="A15" s="16" t="inlineStr">
        <is>
          <t>Under Technical Evaluation</t>
        </is>
      </c>
      <c r="B15" s="49">
        <f>COUNTIF('01_Scheme_Tracker'!$AC$4:$AC$453,A15)</f>
        <v/>
      </c>
      <c r="C15" s="74">
        <f>IF($A$5=0,"",B15/$A$5)</f>
        <v/>
      </c>
      <c r="D15" s="49">
        <f>COUNTIF('03_Package_Summary'!$E$4:$E$85,A15)</f>
        <v/>
      </c>
      <c r="E15" s="5" t="inlineStr">
        <is>
          <t>North / Mazar</t>
        </is>
      </c>
      <c r="F15" s="49">
        <f>COUNTIF('01_Scheme_Tracker'!$J$4:$J$453,E15)</f>
        <v/>
      </c>
      <c r="G15" s="74">
        <f>IF($A$5=0,"",F15/$A$5)</f>
        <v/>
      </c>
      <c r="I15" s="5">
        <f>'01_Scheme_Tracker'!BC3</f>
        <v/>
      </c>
      <c r="J15" s="75">
        <f>IFERROR(AVERAGE('01_Scheme_Tracker'!$BC$4:$BC$453),"")</f>
        <v/>
      </c>
      <c r="K15" s="49">
        <f>COUNT('01_Scheme_Tracker'!$AP$4:$AP$453)</f>
        <v/>
      </c>
      <c r="L15" s="49">
        <f>IFERROR('06_Status_Pipeline'!E10,"")</f>
        <v/>
      </c>
    </row>
    <row r="16">
      <c r="A16" s="17" t="inlineStr">
        <is>
          <t>Under Awarding</t>
        </is>
      </c>
      <c r="B16" s="49">
        <f>COUNTIF('01_Scheme_Tracker'!$AC$4:$AC$453,A16)</f>
        <v/>
      </c>
      <c r="C16" s="74">
        <f>IF($A$5=0,"",B16/$A$5)</f>
        <v/>
      </c>
      <c r="D16" s="49">
        <f>COUNTIF('03_Package_Summary'!$E$4:$E$85,A16)</f>
        <v/>
      </c>
      <c r="E16" s="5" t="inlineStr">
        <is>
          <t>Northeast / Kunduz</t>
        </is>
      </c>
      <c r="F16" s="49">
        <f>COUNTIF('01_Scheme_Tracker'!$J$4:$J$453,E16)</f>
        <v/>
      </c>
      <c r="G16" s="74">
        <f>IF($A$5=0,"",F16/$A$5)</f>
        <v/>
      </c>
      <c r="I16" s="5">
        <f>'01_Scheme_Tracker'!BD3</f>
        <v/>
      </c>
      <c r="J16" s="75">
        <f>IFERROR(AVERAGE('01_Scheme_Tracker'!$BD$4:$BD$453),"")</f>
        <v/>
      </c>
      <c r="K16" s="49">
        <f>COUNT('01_Scheme_Tracker'!$AQ$4:$AQ$453)</f>
        <v/>
      </c>
      <c r="L16" s="49">
        <f>IFERROR('06_Status_Pipeline'!E11,"")</f>
        <v/>
      </c>
    </row>
    <row r="17">
      <c r="A17" s="18" t="inlineStr">
        <is>
          <t>Awarded</t>
        </is>
      </c>
      <c r="B17" s="49">
        <f>COUNTIF('01_Scheme_Tracker'!$AC$4:$AC$453,A17)</f>
        <v/>
      </c>
      <c r="C17" s="74">
        <f>IF($A$5=0,"",B17/$A$5)</f>
        <v/>
      </c>
      <c r="D17" s="49">
        <f>COUNTIF('03_Package_Summary'!$E$4:$E$85,A17)</f>
        <v/>
      </c>
      <c r="I17" s="5">
        <f>'01_Scheme_Tracker'!BE3</f>
        <v/>
      </c>
      <c r="J17" s="75">
        <f>IFERROR(AVERAGE('01_Scheme_Tracker'!$BE$4:$BE$453),"")</f>
        <v/>
      </c>
      <c r="K17" s="49">
        <f>COUNT('01_Scheme_Tracker'!$AR$4:$AR$453)</f>
        <v/>
      </c>
      <c r="L17" s="49">
        <f>IFERROR('06_Status_Pipeline'!E12,"")</f>
        <v/>
      </c>
    </row>
    <row r="18">
      <c r="A18" s="19" t="inlineStr">
        <is>
          <t>Under Construction</t>
        </is>
      </c>
      <c r="B18" s="49">
        <f>COUNTIF('01_Scheme_Tracker'!$AC$4:$AC$453,A18)</f>
        <v/>
      </c>
      <c r="C18" s="74">
        <f>IF($A$5=0,"",B18/$A$5)</f>
        <v/>
      </c>
      <c r="D18" s="49">
        <f>COUNTIF('03_Package_Summary'!$E$4:$E$85,A18)</f>
        <v/>
      </c>
      <c r="I18" s="5">
        <f>'01_Scheme_Tracker'!BF3</f>
        <v/>
      </c>
      <c r="J18" s="75">
        <f>IFERROR(AVERAGE('01_Scheme_Tracker'!$BF$4:$BF$453),"")</f>
        <v/>
      </c>
      <c r="K18" s="49">
        <f>COUNT('01_Scheme_Tracker'!$AS$4:$AS$453)</f>
        <v/>
      </c>
      <c r="L18" s="49">
        <f>IFERROR('06_Status_Pipeline'!E13,"")</f>
        <v/>
      </c>
    </row>
    <row r="19">
      <c r="A19" s="20" t="inlineStr">
        <is>
          <t>Completed / Handover</t>
        </is>
      </c>
      <c r="B19" s="49">
        <f>COUNTIF('01_Scheme_Tracker'!$AC$4:$AC$453,A19)</f>
        <v/>
      </c>
      <c r="C19" s="74">
        <f>IF($A$5=0,"",B19/$A$5)</f>
        <v/>
      </c>
      <c r="D19" s="49">
        <f>COUNTIF('03_Package_Summary'!$E$4:$E$85,A19)</f>
        <v/>
      </c>
      <c r="I19" s="5">
        <f>'01_Scheme_Tracker'!BG3</f>
        <v/>
      </c>
      <c r="J19" s="75">
        <f>IFERROR(AVERAGE('01_Scheme_Tracker'!$BG$4:$BG$453),"")</f>
        <v/>
      </c>
      <c r="K19" s="49">
        <f>COUNT('01_Scheme_Tracker'!$AT$4:$AT$453)</f>
        <v/>
      </c>
      <c r="L19" s="49">
        <f>IFERROR('06_Status_Pipeline'!E14,"")</f>
        <v/>
      </c>
    </row>
    <row r="20">
      <c r="A20" s="52" t="inlineStr">
        <is>
          <t>Not started</t>
        </is>
      </c>
      <c r="B20" s="49">
        <f>COUNTIF('01_Scheme_Tracker'!$AC$4:$AC$453,A20)</f>
        <v/>
      </c>
      <c r="C20" s="74">
        <f>IF($A$5=0,"",B20/$A$5)</f>
        <v/>
      </c>
      <c r="D20" s="49">
        <f>COUNTIF('03_Package_Summary'!$E$4:$E$85,A20)</f>
        <v/>
      </c>
      <c r="I20" s="5">
        <f>'01_Scheme_Tracker'!BH3</f>
        <v/>
      </c>
      <c r="J20" s="75">
        <f>IFERROR(AVERAGE('01_Scheme_Tracker'!$BH$4:$BH$453),"")</f>
        <v/>
      </c>
      <c r="K20" s="49">
        <f>COUNT('01_Scheme_Tracker'!$AU$4:$AU$453)</f>
        <v/>
      </c>
      <c r="L20" s="49">
        <f>IFERROR('06_Status_Pipeline'!E15,"")</f>
        <v/>
      </c>
    </row>
    <row r="21">
      <c r="I21" s="5">
        <f>'01_Scheme_Tracker'!BI3</f>
        <v/>
      </c>
      <c r="J21" s="75">
        <f>IFERROR(AVERAGE('01_Scheme_Tracker'!$BI$4:$BI$453),"")</f>
        <v/>
      </c>
      <c r="K21" s="49">
        <f>COUNT('01_Scheme_Tracker'!$AV$4:$AV$453)</f>
        <v/>
      </c>
      <c r="L21" s="49">
        <f>IFERROR('06_Status_Pipeline'!E16,"")</f>
        <v/>
      </c>
    </row>
    <row r="22">
      <c r="A22" s="7" t="inlineStr">
        <is>
          <t>Schemes by major intervention</t>
        </is>
      </c>
      <c r="E22" s="76" t="inlineStr">
        <is>
          <t>Average total pipeline days (first → last dated step)</t>
        </is>
      </c>
    </row>
    <row r="23">
      <c r="A23" s="23" t="inlineStr">
        <is>
          <t>Major intervention</t>
        </is>
      </c>
      <c r="B23" s="23" t="inlineStr">
        <is>
          <t>Count</t>
        </is>
      </c>
      <c r="E23" s="77">
        <f>IFERROR(AVERAGE('01_Scheme_Tracker'!$AE$4:$AE$453),"")</f>
        <v/>
      </c>
      <c r="F23" s="78" t="n"/>
      <c r="G23" s="79" t="n"/>
    </row>
    <row r="24">
      <c r="A24" s="5" t="inlineStr">
        <is>
          <t>Irrigation Scheme</t>
        </is>
      </c>
      <c r="B24" s="49">
        <f>COUNTIF('01_Scheme_Tracker'!$G$4:$G$453,A24)</f>
        <v/>
      </c>
    </row>
    <row r="25">
      <c r="A25" s="5" t="inlineStr">
        <is>
          <t>Watershed Management</t>
        </is>
      </c>
      <c r="B25" s="49">
        <f>COUNTIF('01_Scheme_Tracker'!$G$4:$G$453,A25)</f>
        <v/>
      </c>
      <c r="E25" s="80" t="inlineStr">
        <is>
          <t>How to read this dashboard</t>
        </is>
      </c>
    </row>
    <row r="26">
      <c r="A26" s="5" t="inlineStr">
        <is>
          <t>Drip Irrigation</t>
        </is>
      </c>
      <c r="B26" s="49">
        <f>COUNTIF('01_Scheme_Tracker'!$G$4:$G$453,A26)</f>
        <v/>
      </c>
      <c r="E26" s="81" t="inlineStr">
        <is>
          <t>Current Status follows the latest date typed on 01_Scheme_Tracker. Until dates are entered, schemes sit under whatever you chose as Reported Status (or Not started). Average days between steps populate only after both ends of a step have dates — see 05_Example_Filled for a complete worked pipeline. Add or rename a status on 06_Status_Pipeline; this average-days table uses the tracker headers, so it follows. Awarded / Not awarded and major intervention counts are on this sheet; one row per contract is on 03_Package_Summary.</t>
        </is>
      </c>
    </row>
    <row r="27">
      <c r="A27" s="5" t="inlineStr">
        <is>
          <t>Laser Land Leveler (LLL)</t>
        </is>
      </c>
      <c r="B27" s="49">
        <f>COUNTIF('01_Scheme_Tracker'!$G$4:$G$453,A27)</f>
        <v/>
      </c>
    </row>
    <row r="28">
      <c r="A28" s="5" t="inlineStr">
        <is>
          <t>Agroforestry saplings / seeds</t>
        </is>
      </c>
      <c r="B28" s="49">
        <f>COUNTIF('01_Scheme_Tracker'!$G$4:$G$453,A28)</f>
        <v/>
      </c>
    </row>
    <row r="29"/>
    <row r="30">
      <c r="A30" s="73" t="inlineStr">
        <is>
          <t>Awarded / Not awarded</t>
        </is>
      </c>
    </row>
    <row r="31">
      <c r="A31" s="26" t="inlineStr">
        <is>
          <t>Group</t>
        </is>
      </c>
      <c r="B31" s="26" t="inlineStr">
        <is>
          <t>Count</t>
        </is>
      </c>
    </row>
    <row r="32">
      <c r="A32" s="5" t="inlineStr">
        <is>
          <t>Awarded</t>
        </is>
      </c>
      <c r="B32" s="49">
        <f>COUNTIF('01_Scheme_Tracker'!$O$4:$O$453,A32)</f>
        <v/>
      </c>
    </row>
    <row r="33">
      <c r="A33" s="5" t="inlineStr">
        <is>
          <t>Not awarded</t>
        </is>
      </c>
      <c r="B33" s="49">
        <f>COUNTIF('01_Scheme_Tracker'!$O$4:$O$453,A33)</f>
        <v/>
      </c>
    </row>
    <row r="35">
      <c r="A35" s="7" t="inlineStr">
        <is>
          <t>Schemes by intervention sub-type</t>
        </is>
      </c>
    </row>
    <row r="36">
      <c r="A36" s="23" t="inlineStr">
        <is>
          <t>Intervention sub-type</t>
        </is>
      </c>
      <c r="B36" s="23" t="inlineStr">
        <is>
          <t>Count</t>
        </is>
      </c>
    </row>
    <row r="37">
      <c r="A37" s="5" t="inlineStr">
        <is>
          <t>Irrigation Canal</t>
        </is>
      </c>
      <c r="B37" s="49">
        <f>COUNTIF('01_Scheme_Tracker'!$H$4:$H$453,A37)</f>
        <v/>
      </c>
    </row>
    <row r="38">
      <c r="A38" s="5" t="inlineStr">
        <is>
          <t>Protection Wall</t>
        </is>
      </c>
      <c r="B38" s="49">
        <f>COUNTIF('01_Scheme_Tracker'!$H$4:$H$453,A38)</f>
        <v/>
      </c>
    </row>
    <row r="39">
      <c r="A39" s="5" t="inlineStr">
        <is>
          <t>Karez Rehabilitation</t>
        </is>
      </c>
      <c r="B39" s="49">
        <f>COUNTIF('01_Scheme_Tracker'!$H$4:$H$453,A39)</f>
        <v/>
      </c>
    </row>
    <row r="40">
      <c r="A40" s="5" t="inlineStr">
        <is>
          <t>Intake / Diversion</t>
        </is>
      </c>
      <c r="B40" s="49">
        <f>COUNTIF('01_Scheme_Tracker'!$H$4:$H$453,A40)</f>
        <v/>
      </c>
    </row>
    <row r="41">
      <c r="A41" s="5" t="inlineStr">
        <is>
          <t>Check Dam</t>
        </is>
      </c>
      <c r="B41" s="49">
        <f>COUNTIF('01_Scheme_Tracker'!$H$4:$H$453,A41)</f>
        <v/>
      </c>
    </row>
    <row r="42">
      <c r="A42" s="5" t="inlineStr">
        <is>
          <t>Boulder Check Dam</t>
        </is>
      </c>
      <c r="B42" s="49">
        <f>COUNTIF('01_Scheme_Tracker'!$H$4:$H$453,A42)</f>
        <v/>
      </c>
    </row>
    <row r="43">
      <c r="A43" s="5" t="inlineStr">
        <is>
          <t>Check Dam and Water Pond</t>
        </is>
      </c>
      <c r="B43" s="49">
        <f>COUNTIF('01_Scheme_Tracker'!$H$4:$H$453,A43)</f>
        <v/>
      </c>
    </row>
    <row r="44">
      <c r="A44" s="5" t="inlineStr">
        <is>
          <t>Gabion Structure</t>
        </is>
      </c>
      <c r="B44" s="49">
        <f>COUNTIF('01_Scheme_Tracker'!$H$4:$H$453,A44)</f>
        <v/>
      </c>
    </row>
    <row r="45">
      <c r="A45" s="5" t="inlineStr">
        <is>
          <t>Flood Protection</t>
        </is>
      </c>
      <c r="B45" s="49">
        <f>COUNTIF('01_Scheme_Tracker'!$H$4:$H$453,A45)</f>
        <v/>
      </c>
    </row>
    <row r="46">
      <c r="A46" s="5" t="inlineStr">
        <is>
          <t>Drip Irrigation Plot</t>
        </is>
      </c>
      <c r="B46" s="49">
        <f>COUNTIF('01_Scheme_Tracker'!$H$4:$H$453,A46)</f>
        <v/>
      </c>
    </row>
    <row r="47">
      <c r="A47" s="5" t="inlineStr">
        <is>
          <t>LLL unit</t>
        </is>
      </c>
      <c r="B47" s="49">
        <f>COUNTIF('01_Scheme_Tracker'!$H$4:$H$453,A47)</f>
        <v/>
      </c>
    </row>
    <row r="48">
      <c r="A48" s="5" t="inlineStr">
        <is>
          <t>Saplings and seeds</t>
        </is>
      </c>
      <c r="B48" s="49">
        <f>COUNTIF('01_Scheme_Tracker'!$H$4:$H$453,A48)</f>
        <v/>
      </c>
    </row>
    <row r="49">
      <c r="A49" s="5" t="inlineStr">
        <is>
          <t>Water Supply Scheme</t>
        </is>
      </c>
      <c r="B49" s="49">
        <f>COUNTIF('01_Scheme_Tracker'!$H$4:$H$453,A49)</f>
        <v/>
      </c>
    </row>
    <row r="50">
      <c r="A50" s="5" t="inlineStr">
        <is>
          <t>Other</t>
        </is>
      </c>
      <c r="B50" s="49">
        <f>COUNTIF('01_Scheme_Tracker'!$H$4:$H$453,A50)</f>
        <v/>
      </c>
    </row>
  </sheetData>
  <mergeCells count="19">
    <mergeCell ref="J4:L4"/>
    <mergeCell ref="A2:L2"/>
    <mergeCell ref="A5:C5"/>
    <mergeCell ref="G5:I5"/>
    <mergeCell ref="D4:F4"/>
    <mergeCell ref="A22:C22"/>
    <mergeCell ref="G4:I4"/>
    <mergeCell ref="A35:C35"/>
    <mergeCell ref="A4:C4"/>
    <mergeCell ref="E26:L29"/>
    <mergeCell ref="E7:G7"/>
    <mergeCell ref="E22:G22"/>
    <mergeCell ref="D5:F5"/>
    <mergeCell ref="A7:D7"/>
    <mergeCell ref="A30:C30"/>
    <mergeCell ref="I7:L7"/>
    <mergeCell ref="J5:L5"/>
    <mergeCell ref="E23:G23"/>
    <mergeCell ref="A1:L1"/>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3D5A3D"/>
    <outlinePr summaryBelow="1" summaryRight="1"/>
    <pageSetUpPr fitToPage="1"/>
  </sheetPr>
  <dimension ref="A1:P85"/>
  <sheetViews>
    <sheetView showGridLines="0" workbookViewId="0">
      <pane ySplit="3" topLeftCell="A4" activePane="bottomLeft" state="frozen"/>
      <selection pane="bottomLeft" activeCell="A1" sqref="A1"/>
    </sheetView>
  </sheetViews>
  <sheetFormatPr baseColWidth="8" defaultRowHeight="15"/>
  <cols>
    <col width="16" customWidth="1" min="1" max="1"/>
    <col width="56" customWidth="1" min="2" max="2"/>
    <col width="26" customWidth="1" min="3" max="3"/>
    <col width="18" customWidth="1" min="4" max="4"/>
    <col width="24" customWidth="1" min="5" max="5"/>
    <col width="12" customWidth="1" min="6" max="6"/>
    <col width="12" customWidth="1" min="7" max="7"/>
    <col width="16" customWidth="1" min="8" max="8"/>
    <col width="22" customWidth="1" min="9" max="9"/>
    <col width="28" customWidth="1" min="10" max="10"/>
    <col width="28" customWidth="1" min="11" max="11"/>
    <col width="18" customWidth="1" min="12" max="12"/>
    <col width="18" customWidth="1" min="13" max="13"/>
    <col width="36" customWidth="1" min="14" max="14"/>
    <col width="16" customWidth="1" min="15" max="15"/>
    <col width="28" customWidth="1" min="16" max="16"/>
  </cols>
  <sheetData>
    <row r="1" ht="26" customHeight="1">
      <c r="A1" s="21" t="inlineStr">
        <is>
          <t>Package summary — one row per contract. Filter Contractor Name to see unique contracts awarded to a company (Zahid Saeed / ZSCC is one package, not four).</t>
        </is>
      </c>
      <c r="B1" s="22" t="n"/>
      <c r="C1" s="22" t="n"/>
      <c r="D1" s="22" t="n"/>
      <c r="E1" s="22" t="n"/>
      <c r="F1" s="22" t="n"/>
      <c r="G1" s="22" t="n"/>
      <c r="H1" s="22" t="n"/>
      <c r="I1" s="22" t="n"/>
      <c r="J1" s="22" t="n"/>
      <c r="K1" s="22" t="n"/>
      <c r="L1" s="22" t="n"/>
      <c r="M1" s="22" t="n"/>
      <c r="N1" s="22" t="n"/>
      <c r="O1" s="22" t="n"/>
      <c r="P1" s="22" t="n"/>
    </row>
    <row r="2" ht="36" customHeight="1">
      <c r="A2" s="68" t="inlineStr">
        <is>
          <t>Example: Package #8-AF2 IS (Khas Kunar Lower canal + Bahrabad canal) is one package / two sub-projects. Package #10-AF2 IS (Baraki, Darbal, Nawikhar, Mangali) is one package / four sub-projects. Open 01_Scheme_Tracker and filter Package ID, or collapse the outline +/- on the left of that sheet. To list a company's contracts, filter this Contractor Name column or use 10_By_Contractor. Package status is the contract-level step (least-advanced unfinished site). Filter it, or use 11_Package_Status, to count packages under review / awarding / construction. Sub-project count and total cost are live formulas.</t>
        </is>
      </c>
      <c r="B2" s="8" t="n"/>
      <c r="C2" s="8" t="n"/>
      <c r="D2" s="8" t="n"/>
      <c r="E2" s="8" t="n"/>
      <c r="F2" s="8" t="n"/>
      <c r="G2" s="8" t="n"/>
      <c r="H2" s="8" t="n"/>
      <c r="I2" s="8" t="n"/>
      <c r="J2" s="8" t="n"/>
      <c r="K2" s="8" t="n"/>
      <c r="L2" s="8" t="n"/>
      <c r="M2" s="8" t="n"/>
      <c r="N2" s="8" t="n"/>
      <c r="O2" s="8" t="n"/>
      <c r="P2" s="8" t="n"/>
    </row>
    <row r="3">
      <c r="A3" s="24" t="inlineStr">
        <is>
          <t>Package ID</t>
        </is>
      </c>
      <c r="B3" s="24" t="inlineStr">
        <is>
          <t>Package / Contract Name</t>
        </is>
      </c>
      <c r="C3" s="24" t="inlineStr">
        <is>
          <t>Major intervention</t>
        </is>
      </c>
      <c r="D3" s="24" t="inlineStr">
        <is>
          <t>Awarded / Not awarded</t>
        </is>
      </c>
      <c r="E3" s="24" t="inlineStr">
        <is>
          <t>Package status</t>
        </is>
      </c>
      <c r="F3" s="24" t="inlineStr">
        <is>
          <t>Mixed sites?</t>
        </is>
      </c>
      <c r="G3" s="24" t="inlineStr">
        <is>
          <t>Sub-projects</t>
        </is>
      </c>
      <c r="H3" s="24" t="inlineStr">
        <is>
          <t>Total cost (USD)</t>
        </is>
      </c>
      <c r="I3" s="24" t="inlineStr">
        <is>
          <t>Provinces</t>
        </is>
      </c>
      <c r="J3" s="24" t="inlineStr">
        <is>
          <t>Districts</t>
        </is>
      </c>
      <c r="K3" s="24" t="inlineStr">
        <is>
          <t>Statuses on sites</t>
        </is>
      </c>
      <c r="L3" s="24" t="inlineStr">
        <is>
          <t>Awarded / expected award</t>
        </is>
      </c>
      <c r="M3" s="24" t="inlineStr">
        <is>
          <t>Contract / expected end</t>
        </is>
      </c>
      <c r="N3" s="24" t="inlineStr">
        <is>
          <t>Contractor Name</t>
        </is>
      </c>
      <c r="O3" s="24" t="inlineStr">
        <is>
          <t>Contract Number</t>
        </is>
      </c>
      <c r="P3" s="24" t="inlineStr">
        <is>
          <t>Source sheet</t>
        </is>
      </c>
    </row>
    <row r="4" ht="28" customHeight="1">
      <c r="A4" s="82" t="inlineStr">
        <is>
          <t>AF2-AGF-ALL</t>
        </is>
      </c>
      <c r="B4" s="52" t="inlineStr">
        <is>
          <t>Agroforestry saplings and seeds 2026/27</t>
        </is>
      </c>
      <c r="C4" s="52" t="inlineStr">
        <is>
          <t>Agroforestry saplings / seeds</t>
        </is>
      </c>
      <c r="D4" s="83" t="inlineStr">
        <is>
          <t>Not awarded</t>
        </is>
      </c>
      <c r="E4" s="84" t="inlineStr">
        <is>
          <t>Under Awarding</t>
        </is>
      </c>
      <c r="F4" s="83" t="inlineStr">
        <is>
          <t>No</t>
        </is>
      </c>
      <c r="G4" s="49">
        <f>COUNTIF('01_Scheme_Tracker'!$B$4:$B$453,A4)</f>
        <v/>
      </c>
      <c r="H4" s="85">
        <f>SUMIF('01_Scheme_Tracker'!$B$4:$B$453,A4,'01_Scheme_Tracker'!$S$4:$S$453)</f>
        <v/>
      </c>
      <c r="I4" s="52" t="inlineStr">
        <is>
          <t>Badakhshan, Badghis, Baghlan, Balkh, Daikundi, Faryab, Ghor, Helmand, Herat, Jawzgan, Kabul, Khost, Laghman, Logar, Nangarhar, Nuristan, Oruzgan, Paktia, Paktika, Panjsher, Samangan, Sari Pul, Takhar</t>
        </is>
      </c>
      <c r="J4" s="52" t="inlineStr">
        <is>
          <t>Wardoj, Sang Atish, Banu, Charkent, Dehdadi, Kishendeh, Marmul, Nahre Shahi, Khedir, Meramour, Sharistan, Almar, Khoja Sabz Posh, Allahyar, Shahrak, Nawzad, Koshk-e-kohna, Rabat Sangi, Sheberghan, Surubi, Musa Khil, Qalander, Alishing, Azra, Pachiragam, Kamdish, Tarinkot, Zazi Aryoub, Zurmat, Surobi, Khinj, Paryan, Unaba, Aybak, Hazrat-e-Sultan, Balkhab, Center, Kohistanat, Bangi</t>
        </is>
      </c>
      <c r="K4" s="52" t="inlineStr">
        <is>
          <t>Under Awarding</t>
        </is>
      </c>
      <c r="L4" s="54" t="n">
        <v>46142</v>
      </c>
      <c r="M4" s="54" t="n">
        <v>46478</v>
      </c>
      <c r="N4" s="52" t="inlineStr"/>
      <c r="O4" s="83" t="inlineStr"/>
      <c r="P4" s="86" t="inlineStr">
        <is>
          <t>7. Agroforestry Saplings-seeds</t>
        </is>
      </c>
    </row>
    <row r="5" ht="28" customHeight="1">
      <c r="A5" s="87" t="inlineStr">
        <is>
          <t>AF2-DIS-01</t>
        </is>
      </c>
      <c r="B5" s="44" t="inlineStr">
        <is>
          <t>Package #1.B-WBK/AF2 DIS: Demonstration 7 Drip irrigation schemes of 1. Doormishi, 2. Khodrawan, 3. Karez Naw, 4.Koklam Olia, 5. Koklam Sofla, 6 Joi Sultani and 7. Kushk Kohna in Kushk Rabat Sangi and Kushk e Kohna Districts of Herat Province.</t>
        </is>
      </c>
      <c r="C5" s="44" t="inlineStr">
        <is>
          <t>Drip Irrigation</t>
        </is>
      </c>
      <c r="D5" s="88" t="inlineStr">
        <is>
          <t>Not awarded</t>
        </is>
      </c>
      <c r="E5" s="89" t="inlineStr">
        <is>
          <t>Retendered (Re-ITB)</t>
        </is>
      </c>
      <c r="F5" s="88" t="inlineStr">
        <is>
          <t>No</t>
        </is>
      </c>
      <c r="G5" s="49">
        <f>COUNTIF('01_Scheme_Tracker'!$B$4:$B$453,A5)</f>
        <v/>
      </c>
      <c r="H5" s="85">
        <f>SUMIF('01_Scheme_Tracker'!$B$4:$B$453,A5,'01_Scheme_Tracker'!$S$4:$S$453)</f>
        <v/>
      </c>
      <c r="I5" s="44" t="inlineStr">
        <is>
          <t>Herat</t>
        </is>
      </c>
      <c r="J5" s="44" t="inlineStr">
        <is>
          <t>Kushk e Rabat Sangi, Kushk e Kohna</t>
        </is>
      </c>
      <c r="K5" s="44" t="inlineStr">
        <is>
          <t>Retendered (Re-ITB)</t>
        </is>
      </c>
      <c r="L5" s="47" t="n">
        <v>46371</v>
      </c>
      <c r="M5" s="47" t="n">
        <v>46506</v>
      </c>
      <c r="N5" s="44" t="inlineStr">
        <is>
          <t>Abdul Qayum, Habiburahman, Ghulam Mahboob, Sadullah, Fazl Ahmad, Nesar Ahmad, Koklam, Mohammad Ibrahim</t>
        </is>
      </c>
      <c r="O5" s="88" t="inlineStr"/>
      <c r="P5" s="90" t="inlineStr">
        <is>
          <t>5. Drip Irrigation systems</t>
        </is>
      </c>
    </row>
    <row r="6" ht="28" customHeight="1">
      <c r="A6" s="82" t="inlineStr">
        <is>
          <t>AF2-DIS-01A</t>
        </is>
      </c>
      <c r="B6" s="5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C6" s="52" t="inlineStr">
        <is>
          <t>Drip Irrigation</t>
        </is>
      </c>
      <c r="D6" s="83" t="inlineStr">
        <is>
          <t>Not awarded</t>
        </is>
      </c>
      <c r="E6" s="89" t="inlineStr">
        <is>
          <t>Retendered (Re-ITB)</t>
        </is>
      </c>
      <c r="F6" s="83" t="inlineStr">
        <is>
          <t>No</t>
        </is>
      </c>
      <c r="G6" s="49">
        <f>COUNTIF('01_Scheme_Tracker'!$B$4:$B$453,A6)</f>
        <v/>
      </c>
      <c r="H6" s="85">
        <f>SUMIF('01_Scheme_Tracker'!$B$4:$B$453,A6,'01_Scheme_Tracker'!$S$4:$S$453)</f>
        <v/>
      </c>
      <c r="I6" s="52" t="inlineStr">
        <is>
          <t>Ghor, Badghis, Herat</t>
        </is>
      </c>
      <c r="J6" s="52" t="inlineStr">
        <is>
          <t>Firozkoh, Qala-e-Naw, Dawlatyar, Moqur, Zinda Jan</t>
        </is>
      </c>
      <c r="K6" s="52" t="inlineStr">
        <is>
          <t>Retendered (Re-ITB)</t>
        </is>
      </c>
      <c r="L6" s="54" t="n">
        <v>46361</v>
      </c>
      <c r="M6" s="54" t="n">
        <v>46537</v>
      </c>
      <c r="N6" s="52" t="inlineStr">
        <is>
          <t>Haji Yaqoub, Edi Mohammad, Haji Abdul Qaiyom, Sobhan, Saifuddin, Abdul Ghafour, Ahmad Zia</t>
        </is>
      </c>
      <c r="O6" s="83" t="inlineStr"/>
      <c r="P6" s="86" t="inlineStr">
        <is>
          <t>5. Drip Irrigation systems</t>
        </is>
      </c>
    </row>
    <row r="7" ht="28" customHeight="1">
      <c r="A7" s="87" t="inlineStr">
        <is>
          <t>AF2-DIS-02A</t>
        </is>
      </c>
      <c r="B7" s="4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C7" s="44" t="inlineStr">
        <is>
          <t>Drip Irrigation</t>
        </is>
      </c>
      <c r="D7" s="88" t="inlineStr">
        <is>
          <t>Not awarded</t>
        </is>
      </c>
      <c r="E7" s="89" t="inlineStr">
        <is>
          <t>Retendered (Re-ITB)</t>
        </is>
      </c>
      <c r="F7" s="88" t="inlineStr">
        <is>
          <t>No</t>
        </is>
      </c>
      <c r="G7" s="49">
        <f>COUNTIF('01_Scheme_Tracker'!$B$4:$B$453,A7)</f>
        <v/>
      </c>
      <c r="H7" s="85">
        <f>SUMIF('01_Scheme_Tracker'!$B$4:$B$453,A7,'01_Scheme_Tracker'!$S$4:$S$453)</f>
        <v/>
      </c>
      <c r="I7" s="44" t="inlineStr">
        <is>
          <t>Laghman, Nuristan, Nangarhar, Kunar</t>
        </is>
      </c>
      <c r="J7" s="44" t="inlineStr">
        <is>
          <t>Alishing, Barg-e-Matal, Sorkhrud, Khewa, Pacheragam, Batikot, Khas Kunar, Asmar, Manogai, Asadabad, Parun</t>
        </is>
      </c>
      <c r="K7" s="44" t="inlineStr">
        <is>
          <t>Retendered (Re-ITB)</t>
        </is>
      </c>
      <c r="L7" s="47" t="n">
        <v>46380</v>
      </c>
      <c r="M7" s="47" t="n">
        <v>46530</v>
      </c>
      <c r="N7" s="44" t="inlineStr">
        <is>
          <t>Abdul Qadeer, Habibullah, Ehsanullah, Ramin, Abdur Raqeeb, Nazar Khan, M. Nabi, Malik Rostam, M. Afzal, Kunar University, Mateeullah</t>
        </is>
      </c>
      <c r="O7" s="88" t="inlineStr"/>
      <c r="P7" s="90" t="inlineStr">
        <is>
          <t>5. Drip Irrigation systems</t>
        </is>
      </c>
    </row>
    <row r="8" ht="28" customHeight="1">
      <c r="A8" s="82" t="inlineStr">
        <is>
          <t>AF2-DIS-03</t>
        </is>
      </c>
      <c r="B8" s="52" t="inlineStr">
        <is>
          <t>Package #3-WBK/AF2 DIS: Demonstration of 14 Drip irrigation schemes at 13 district sites of 1. Parwan, 2. Kabul, 3. Wardak and 4. Kapisa provinces.</t>
        </is>
      </c>
      <c r="C8" s="52" t="inlineStr">
        <is>
          <t>Drip Irrigation</t>
        </is>
      </c>
      <c r="D8" s="83" t="inlineStr">
        <is>
          <t>Not awarded</t>
        </is>
      </c>
      <c r="E8" s="89" t="inlineStr">
        <is>
          <t>Retendered (Re-ITB)</t>
        </is>
      </c>
      <c r="F8" s="83" t="inlineStr">
        <is>
          <t>No</t>
        </is>
      </c>
      <c r="G8" s="49">
        <f>COUNTIF('01_Scheme_Tracker'!$B$4:$B$453,A8)</f>
        <v/>
      </c>
      <c r="H8" s="85">
        <f>SUMIF('01_Scheme_Tracker'!$B$4:$B$453,A8,'01_Scheme_Tracker'!$S$4:$S$453)</f>
        <v/>
      </c>
      <c r="I8" s="52" t="inlineStr">
        <is>
          <t>Kapisa, Kabul, Parwan, Wardak</t>
        </is>
      </c>
      <c r="J8" s="52" t="inlineStr">
        <is>
          <t>Hesa-e- Awal Kohistan, Paghman, Shikh Ali, Saydabad, Nirkh, Sarobi, Jaghatu, Surkh Parsa, Chack, Tagab, Khak-e-Jabar, Bagram, Mahmood Raqi</t>
        </is>
      </c>
      <c r="K8" s="52" t="inlineStr">
        <is>
          <t>Retendered (Re-ITB)</t>
        </is>
      </c>
      <c r="L8" s="54" t="n">
        <v>46376</v>
      </c>
      <c r="M8" s="54" t="n">
        <v>46573</v>
      </c>
      <c r="N8" s="52" t="inlineStr">
        <is>
          <t>Alberoni University, Mohammad Yousaf, Abdullah, Wardak University, Fazel Rahman, Hayatullah, Mohammad Akbar, Ghulam Haider Shah, Mohammad Qasim, Najeebullah, Jalal, Mohammad Waseem, Reg-e-Rawa park, Khairullah Zia</t>
        </is>
      </c>
      <c r="O8" s="83" t="inlineStr"/>
      <c r="P8" s="86" t="inlineStr">
        <is>
          <t>5. Drip Irrigation systems</t>
        </is>
      </c>
    </row>
    <row r="9" ht="28" customHeight="1">
      <c r="A9" s="87" t="inlineStr">
        <is>
          <t>AF2-DIS-04</t>
        </is>
      </c>
      <c r="B9" s="44" t="inlineStr">
        <is>
          <t>Package #4-WBK/AF2 DIS: Demonstration of 12 Drip irrigation schemes at 4 district sites of 1. Miramor, 2. Shahristan, 3.Nilli, and 4.Sayghan in Daykundi and Bamyan provinces</t>
        </is>
      </c>
      <c r="C9" s="44" t="inlineStr">
        <is>
          <t>Drip Irrigation</t>
        </is>
      </c>
      <c r="D9" s="88" t="inlineStr">
        <is>
          <t>Not awarded</t>
        </is>
      </c>
      <c r="E9" s="89" t="inlineStr">
        <is>
          <t>Retendered (Re-ITB)</t>
        </is>
      </c>
      <c r="F9" s="88" t="inlineStr">
        <is>
          <t>No</t>
        </is>
      </c>
      <c r="G9" s="49">
        <f>COUNTIF('01_Scheme_Tracker'!$B$4:$B$453,A9)</f>
        <v/>
      </c>
      <c r="H9" s="85">
        <f>SUMIF('01_Scheme_Tracker'!$B$4:$B$453,A9,'01_Scheme_Tracker'!$S$4:$S$453)</f>
        <v/>
      </c>
      <c r="I9" s="44" t="inlineStr">
        <is>
          <t>Daykundi, Bamyan</t>
        </is>
      </c>
      <c r="J9" s="44" t="inlineStr">
        <is>
          <t>Miramor, Shahristan, Sayghan, Nilli</t>
        </is>
      </c>
      <c r="K9" s="44" t="inlineStr">
        <is>
          <t>Retendered (Re-ITB)</t>
        </is>
      </c>
      <c r="L9" s="47" t="n">
        <v>46376</v>
      </c>
      <c r="M9" s="47" t="n">
        <v>46566</v>
      </c>
      <c r="N9" s="44" t="inlineStr">
        <is>
          <t>Ghulam, Mohammad Arif, Mohammad Ibrahim, Ahmad, Mohammad Ali, Ali Dost, Mohammad Hashim, Abdul Rahman, Sayed Mohammad, Ghulam Hussain, Sayed Hassan, Reza</t>
        </is>
      </c>
      <c r="O9" s="88" t="inlineStr"/>
      <c r="P9" s="90" t="inlineStr">
        <is>
          <t>5. Drip Irrigation systems</t>
        </is>
      </c>
    </row>
    <row r="10" ht="28" customHeight="1">
      <c r="A10" s="82" t="inlineStr">
        <is>
          <t>AF2-DIS-05</t>
        </is>
      </c>
      <c r="B10" s="5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C10" s="52" t="inlineStr">
        <is>
          <t>Drip Irrigation</t>
        </is>
      </c>
      <c r="D10" s="83" t="inlineStr">
        <is>
          <t>Not awarded</t>
        </is>
      </c>
      <c r="E10" s="89" t="inlineStr">
        <is>
          <t>Retendered (Re-ITB)</t>
        </is>
      </c>
      <c r="F10" s="83" t="inlineStr">
        <is>
          <t>No</t>
        </is>
      </c>
      <c r="G10" s="49">
        <f>COUNTIF('01_Scheme_Tracker'!$B$4:$B$453,A10)</f>
        <v/>
      </c>
      <c r="H10" s="85">
        <f>SUMIF('01_Scheme_Tracker'!$B$4:$B$453,A10,'01_Scheme_Tracker'!$S$4:$S$453)</f>
        <v/>
      </c>
      <c r="I10" s="52" t="inlineStr">
        <is>
          <t>Khost, Ghazni, Logar, Paktya, Pakteka</t>
        </is>
      </c>
      <c r="J10" s="52" t="inlineStr">
        <is>
          <t>Matoon, Andar, Charkh, Deyak, Center, Sharana, Ahmad Aba, Pole Alam, Gardez_center, Sarhawza</t>
        </is>
      </c>
      <c r="K10" s="52" t="inlineStr">
        <is>
          <t>Retendered (Re-ITB)</t>
        </is>
      </c>
      <c r="L10" s="54" t="n">
        <v>46381</v>
      </c>
      <c r="M10" s="54" t="n">
        <v>46571</v>
      </c>
      <c r="N10" s="52" t="inlineStr">
        <is>
          <t>Hazrat Wali, Mohammad Naim, Mohammad Akbar, Naser Khan, Salam Jan, Fazal Din, Zabihullah, Hasan Khil, Islam Gul, Saifullah, Ghazi Khan, Hakim Khan, Mohammad Rasool Gharani, Gafoor Jan, Akhtar Mohammad</t>
        </is>
      </c>
      <c r="O10" s="83" t="inlineStr"/>
      <c r="P10" s="86" t="inlineStr">
        <is>
          <t>5. Drip Irrigation systems</t>
        </is>
      </c>
    </row>
    <row r="11" ht="28" customHeight="1">
      <c r="A11" s="87" t="inlineStr">
        <is>
          <t>AF2-DIS-06</t>
        </is>
      </c>
      <c r="B11" s="4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C11" s="44" t="inlineStr">
        <is>
          <t>Drip Irrigation</t>
        </is>
      </c>
      <c r="D11" s="88" t="inlineStr">
        <is>
          <t>Not awarded</t>
        </is>
      </c>
      <c r="E11" s="91" t="inlineStr">
        <is>
          <t>Under Review of WRI</t>
        </is>
      </c>
      <c r="F11" s="88" t="inlineStr">
        <is>
          <t>No</t>
        </is>
      </c>
      <c r="G11" s="49">
        <f>COUNTIF('01_Scheme_Tracker'!$B$4:$B$453,A11)</f>
        <v/>
      </c>
      <c r="H11" s="85">
        <f>SUMIF('01_Scheme_Tracker'!$B$4:$B$453,A11,'01_Scheme_Tracker'!$S$4:$S$453)</f>
        <v/>
      </c>
      <c r="I11" s="44" t="inlineStr">
        <is>
          <t>Helmand, Zabul, Nemroz, Kandahar, Urozgan</t>
        </is>
      </c>
      <c r="J11" s="44" t="inlineStr">
        <is>
          <t>Nawzad, Seyure, Delaram, Panjwai, Shah Wali Kot, Terinkot, Khashrod, Daman, Tarnak- Jaldak, Naish</t>
        </is>
      </c>
      <c r="K11" s="44" t="inlineStr">
        <is>
          <t>Under Review of WRI</t>
        </is>
      </c>
      <c r="L11" s="47" t="n">
        <v>46412</v>
      </c>
      <c r="M11" s="47" t="n">
        <v>46562</v>
      </c>
      <c r="N11" s="44" t="inlineStr"/>
      <c r="O11" s="88" t="inlineStr"/>
      <c r="P11" s="90" t="inlineStr">
        <is>
          <t>5. Drip Irrigation systems</t>
        </is>
      </c>
    </row>
    <row r="12" ht="28" customHeight="1">
      <c r="A12" s="82" t="inlineStr">
        <is>
          <t>AF2-DIS-07</t>
        </is>
      </c>
      <c r="B12" s="5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C12" s="52" t="inlineStr">
        <is>
          <t>Drip Irrigation</t>
        </is>
      </c>
      <c r="D12" s="83" t="inlineStr">
        <is>
          <t>Not awarded</t>
        </is>
      </c>
      <c r="E12" s="91" t="inlineStr">
        <is>
          <t>Under Review of WRI</t>
        </is>
      </c>
      <c r="F12" s="83" t="inlineStr">
        <is>
          <t>No</t>
        </is>
      </c>
      <c r="G12" s="49">
        <f>COUNTIF('01_Scheme_Tracker'!$B$4:$B$453,A12)</f>
        <v/>
      </c>
      <c r="H12" s="85">
        <f>SUMIF('01_Scheme_Tracker'!$B$4:$B$453,A12,'01_Scheme_Tracker'!$S$4:$S$453)</f>
        <v/>
      </c>
      <c r="I12" s="52" t="inlineStr">
        <is>
          <t>Takhar, Kunduz, Baghlan, Kunudz, Badakhshan</t>
        </is>
      </c>
      <c r="J12" s="52" t="inlineStr">
        <is>
          <t>Baharak, Chahar Dara, Dand Ghori, Khan Abad, Dahna-e-Ghori, Kishem, Dashte Archi, Rustaq</t>
        </is>
      </c>
      <c r="K12" s="52" t="inlineStr">
        <is>
          <t>Under Review of WRI</t>
        </is>
      </c>
      <c r="L12" s="54" t="n">
        <v>46412</v>
      </c>
      <c r="M12" s="54" t="n">
        <v>46602</v>
      </c>
      <c r="N12" s="52" t="inlineStr">
        <is>
          <t>Nasratullah, Haji Hamayoon Salimi, Haji Amir Gul, Mohammad Qasim, Ziaurrahman Mohammadi, Haji Nazar Gul, Haji Jamal, Shamsurahman, Fida Mohammad</t>
        </is>
      </c>
      <c r="O12" s="83" t="inlineStr"/>
      <c r="P12" s="86" t="inlineStr">
        <is>
          <t>5. Drip Irrigation systems</t>
        </is>
      </c>
    </row>
    <row r="13" ht="28" customHeight="1">
      <c r="A13" s="87" t="inlineStr">
        <is>
          <t>AF2-DIS-08</t>
        </is>
      </c>
      <c r="B13" s="44"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C13" s="44" t="inlineStr">
        <is>
          <t>Drip Irrigation</t>
        </is>
      </c>
      <c r="D13" s="88" t="inlineStr">
        <is>
          <t>Not awarded</t>
        </is>
      </c>
      <c r="E13" s="91" t="inlineStr">
        <is>
          <t>Under Review of WRI</t>
        </is>
      </c>
      <c r="F13" s="88" t="inlineStr">
        <is>
          <t>No</t>
        </is>
      </c>
      <c r="G13" s="49">
        <f>COUNTIF('01_Scheme_Tracker'!$B$4:$B$453,A13)</f>
        <v/>
      </c>
      <c r="H13" s="85">
        <f>SUMIF('01_Scheme_Tracker'!$B$4:$B$453,A13,'01_Scheme_Tracker'!$S$4:$S$453)</f>
        <v/>
      </c>
      <c r="I13" s="44" t="inlineStr">
        <is>
          <t>Samangan, Balkh, Sari Pul, Jawzjan, Faryab</t>
        </is>
      </c>
      <c r="J13" s="44" t="inlineStr">
        <is>
          <t>Aybak, Mazar-e-Sharif, Charkent, Dehdadi, Sayed Abad, Sheberghan, Hazrat-e-Sultan, Khwaja Sabz Posh, Center</t>
        </is>
      </c>
      <c r="K13" s="44" t="inlineStr">
        <is>
          <t>Under Review of WRI</t>
        </is>
      </c>
      <c r="L13" s="47" t="n">
        <v>46042</v>
      </c>
      <c r="M13" s="47" t="n">
        <v>46232</v>
      </c>
      <c r="N13" s="44" t="inlineStr"/>
      <c r="O13" s="88" t="inlineStr"/>
      <c r="P13" s="90" t="inlineStr">
        <is>
          <t>5. Drip Irrigation systems</t>
        </is>
      </c>
    </row>
    <row r="14" ht="28" customHeight="1">
      <c r="A14" s="82" t="inlineStr">
        <is>
          <t>AF2-IS-01</t>
        </is>
      </c>
      <c r="B14" s="52" t="inlineStr">
        <is>
          <t>Package #1-AF2 IS: Rehabilitation of Joy Bazar irrigation scheme located in Obe district of Herat province.</t>
        </is>
      </c>
      <c r="C14" s="52" t="inlineStr">
        <is>
          <t>Irrigation Scheme</t>
        </is>
      </c>
      <c r="D14" s="83" t="inlineStr">
        <is>
          <t>Awarded</t>
        </is>
      </c>
      <c r="E14" s="92" t="inlineStr">
        <is>
          <t>Completed / Handover</t>
        </is>
      </c>
      <c r="F14" s="83" t="inlineStr">
        <is>
          <t>No</t>
        </is>
      </c>
      <c r="G14" s="49">
        <f>COUNTIF('01_Scheme_Tracker'!$B$4:$B$453,A14)</f>
        <v/>
      </c>
      <c r="H14" s="85">
        <f>SUMIF('01_Scheme_Tracker'!$B$4:$B$453,A14,'01_Scheme_Tracker'!$S$4:$S$453)</f>
        <v/>
      </c>
      <c r="I14" s="52" t="inlineStr">
        <is>
          <t>Herat</t>
        </is>
      </c>
      <c r="J14" s="52" t="inlineStr">
        <is>
          <t>Obeh</t>
        </is>
      </c>
      <c r="K14" s="52" t="inlineStr">
        <is>
          <t>Completed / Handover</t>
        </is>
      </c>
      <c r="L14" s="54" t="n">
        <v>45916</v>
      </c>
      <c r="M14" s="54" t="n">
        <v>46280</v>
      </c>
      <c r="N14" s="52" t="inlineStr">
        <is>
          <t>Afghan Aakam Construction and Road Company C. JV with D-Amini Mashwani Construction Road Juroni and Construction Materials Production Company (AACRC&amp;JV DAMCC)</t>
        </is>
      </c>
      <c r="O14" s="83" t="inlineStr">
        <is>
          <t>050/2025</t>
        </is>
      </c>
      <c r="P14" s="86" t="inlineStr">
        <is>
          <t>1.Awarded contracts_On&amp;off-farm</t>
        </is>
      </c>
    </row>
    <row r="15" ht="28" customHeight="1">
      <c r="A15" s="87" t="inlineStr">
        <is>
          <t>AF2-IS-02</t>
        </is>
      </c>
      <c r="B15" s="44" t="inlineStr">
        <is>
          <t>Package # 2-AF2 IS: Rehabilitation of irrigation schemes of 1.Ali Mansoor Canal in Karukh district, 2.Joy Sork and 3.Sar Kari canals in Farsi districts of Herat province.</t>
        </is>
      </c>
      <c r="C15" s="44" t="inlineStr">
        <is>
          <t>Irrigation Scheme</t>
        </is>
      </c>
      <c r="D15" s="88" t="inlineStr">
        <is>
          <t>Awarded</t>
        </is>
      </c>
      <c r="E15" s="93" t="inlineStr">
        <is>
          <t>Under Construction</t>
        </is>
      </c>
      <c r="F15" s="88" t="inlineStr">
        <is>
          <t>No</t>
        </is>
      </c>
      <c r="G15" s="49">
        <f>COUNTIF('01_Scheme_Tracker'!$B$4:$B$453,A15)</f>
        <v/>
      </c>
      <c r="H15" s="85">
        <f>SUMIF('01_Scheme_Tracker'!$B$4:$B$453,A15,'01_Scheme_Tracker'!$S$4:$S$453)</f>
        <v/>
      </c>
      <c r="I15" s="44" t="inlineStr">
        <is>
          <t>Herat</t>
        </is>
      </c>
      <c r="J15" s="44" t="inlineStr">
        <is>
          <t>Karukh, Farsi</t>
        </is>
      </c>
      <c r="K15" s="44" t="inlineStr">
        <is>
          <t>Under Construction</t>
        </is>
      </c>
      <c r="L15" s="47" t="n">
        <v>46225</v>
      </c>
      <c r="M15" s="47" t="n">
        <v>46589</v>
      </c>
      <c r="N15" s="44" t="inlineStr">
        <is>
          <t>Arman Millad Construction Company (AMCC)</t>
        </is>
      </c>
      <c r="O15" s="88" t="inlineStr">
        <is>
          <t>046/2026</t>
        </is>
      </c>
      <c r="P15" s="90" t="inlineStr">
        <is>
          <t>1.Awarded contracts_On&amp;off-farm</t>
        </is>
      </c>
    </row>
    <row r="16" ht="28" customHeight="1">
      <c r="A16" s="82" t="inlineStr">
        <is>
          <t>AF2-IS-03</t>
        </is>
      </c>
      <c r="B16" s="52" t="inlineStr">
        <is>
          <t>Package #3-AF2 IS: Rehabilitation of Yazdi, Todanak Payen irrigation schemes, located in Center and Farahrud Districts of Farah province.</t>
        </is>
      </c>
      <c r="C16" s="52" t="inlineStr">
        <is>
          <t>Irrigation Scheme</t>
        </is>
      </c>
      <c r="D16" s="83" t="inlineStr">
        <is>
          <t>Not awarded</t>
        </is>
      </c>
      <c r="E16" s="91" t="inlineStr">
        <is>
          <t>Under Review of WRI</t>
        </is>
      </c>
      <c r="F16" s="83" t="inlineStr">
        <is>
          <t>No</t>
        </is>
      </c>
      <c r="G16" s="49">
        <f>COUNTIF('01_Scheme_Tracker'!$B$4:$B$453,A16)</f>
        <v/>
      </c>
      <c r="H16" s="85">
        <f>SUMIF('01_Scheme_Tracker'!$B$4:$B$453,A16,'01_Scheme_Tracker'!$S$4:$S$453)</f>
        <v/>
      </c>
      <c r="I16" s="52" t="inlineStr">
        <is>
          <t>Farah</t>
        </is>
      </c>
      <c r="J16" s="52" t="inlineStr">
        <is>
          <t>Farahrud, Center</t>
        </is>
      </c>
      <c r="K16" s="52" t="inlineStr">
        <is>
          <t>Under Review of WRI</t>
        </is>
      </c>
      <c r="L16" s="54" t="n">
        <v>46371</v>
      </c>
      <c r="M16" s="54" t="n">
        <v>46644</v>
      </c>
      <c r="N16" s="52" t="inlineStr"/>
      <c r="O16" s="83" t="inlineStr"/>
      <c r="P16" s="86" t="inlineStr">
        <is>
          <t>2.Remain contracts_On&amp;off-farm</t>
        </is>
      </c>
    </row>
    <row r="17" ht="28" customHeight="1">
      <c r="A17" s="87" t="inlineStr">
        <is>
          <t>AF2-IS-04</t>
        </is>
      </c>
      <c r="B17" s="44" t="inlineStr">
        <is>
          <t>Package #4-AF2 IS: Rehabilitation of Joi Gang and Ludeenha baranch channel and Joi Kar irrigation schemes in Bala Murghab districts of Badghis provinec.</t>
        </is>
      </c>
      <c r="C17" s="44" t="inlineStr">
        <is>
          <t>Irrigation Scheme</t>
        </is>
      </c>
      <c r="D17" s="88" t="inlineStr">
        <is>
          <t>Not awarded</t>
        </is>
      </c>
      <c r="E17" s="94" t="inlineStr">
        <is>
          <t>PR to be Raised</t>
        </is>
      </c>
      <c r="F17" s="88" t="inlineStr">
        <is>
          <t>No</t>
        </is>
      </c>
      <c r="G17" s="49">
        <f>COUNTIF('01_Scheme_Tracker'!$B$4:$B$453,A17)</f>
        <v/>
      </c>
      <c r="H17" s="85">
        <f>SUMIF('01_Scheme_Tracker'!$B$4:$B$453,A17,'01_Scheme_Tracker'!$S$4:$S$453)</f>
        <v/>
      </c>
      <c r="I17" s="44" t="inlineStr">
        <is>
          <t>Badghis</t>
        </is>
      </c>
      <c r="J17" s="44" t="inlineStr">
        <is>
          <t>Bala Murghab</t>
        </is>
      </c>
      <c r="K17" s="44" t="inlineStr">
        <is>
          <t>PR to be Raised</t>
        </is>
      </c>
      <c r="L17" s="47" t="n">
        <v>46387</v>
      </c>
      <c r="M17" s="47" t="n">
        <v>46629</v>
      </c>
      <c r="N17" s="44" t="inlineStr"/>
      <c r="O17" s="88" t="inlineStr"/>
      <c r="P17" s="90" t="inlineStr">
        <is>
          <t>2.Remain contracts_On&amp;off-farm</t>
        </is>
      </c>
    </row>
    <row r="18" ht="28" customHeight="1">
      <c r="A18" s="82" t="inlineStr">
        <is>
          <t>AF2-IS-05</t>
        </is>
      </c>
      <c r="B18" s="52" t="inlineStr">
        <is>
          <t>Package #5-AF2 IS: Rehabilitation of Korakha and Loka Mazar irrigation schemes, located in Dawlatyar District of Ghor province.</t>
        </is>
      </c>
      <c r="C18" s="52" t="inlineStr">
        <is>
          <t>Irrigation Scheme</t>
        </is>
      </c>
      <c r="D18" s="83" t="inlineStr">
        <is>
          <t>Not awarded</t>
        </is>
      </c>
      <c r="E18" s="94" t="inlineStr">
        <is>
          <t>PR to be Raised</t>
        </is>
      </c>
      <c r="F18" s="83" t="inlineStr">
        <is>
          <t>No</t>
        </is>
      </c>
      <c r="G18" s="49">
        <f>COUNTIF('01_Scheme_Tracker'!$B$4:$B$453,A18)</f>
        <v/>
      </c>
      <c r="H18" s="85">
        <f>SUMIF('01_Scheme_Tracker'!$B$4:$B$453,A18,'01_Scheme_Tracker'!$S$4:$S$453)</f>
        <v/>
      </c>
      <c r="I18" s="52" t="inlineStr">
        <is>
          <t>Ghor</t>
        </is>
      </c>
      <c r="J18" s="52" t="inlineStr">
        <is>
          <t>Dawlatyar</t>
        </is>
      </c>
      <c r="K18" s="52" t="inlineStr">
        <is>
          <t>PR to be Raised</t>
        </is>
      </c>
      <c r="L18" s="54" t="n">
        <v>46387</v>
      </c>
      <c r="M18" s="54" t="n">
        <v>46657</v>
      </c>
      <c r="N18" s="52" t="inlineStr"/>
      <c r="O18" s="83" t="inlineStr"/>
      <c r="P18" s="86" t="inlineStr">
        <is>
          <t>2.Remain contracts_On&amp;off-farm</t>
        </is>
      </c>
    </row>
    <row r="19" ht="28" customHeight="1">
      <c r="A19" s="87" t="inlineStr">
        <is>
          <t>AF2-IS-06</t>
        </is>
      </c>
      <c r="B19" s="44" t="inlineStr">
        <is>
          <t>Package #6-AF2 IS: Rehabilitation of Kushtal Canal, Checknawar canal, and Patikhirrki canal irrigation schemes, located in Lalpora ,Spinghar and Khogyani districts of Nangarhar province.</t>
        </is>
      </c>
      <c r="C19" s="44" t="inlineStr">
        <is>
          <t>Irrigation Scheme</t>
        </is>
      </c>
      <c r="D19" s="88" t="inlineStr">
        <is>
          <t>Awarded</t>
        </is>
      </c>
      <c r="E19" s="93" t="inlineStr">
        <is>
          <t>Under Construction</t>
        </is>
      </c>
      <c r="F19" s="88" t="inlineStr">
        <is>
          <t>No</t>
        </is>
      </c>
      <c r="G19" s="49">
        <f>COUNTIF('01_Scheme_Tracker'!$B$4:$B$453,A19)</f>
        <v/>
      </c>
      <c r="H19" s="85">
        <f>SUMIF('01_Scheme_Tracker'!$B$4:$B$453,A19,'01_Scheme_Tracker'!$S$4:$S$453)</f>
        <v/>
      </c>
      <c r="I19" s="44" t="inlineStr">
        <is>
          <t>Nangarhar</t>
        </is>
      </c>
      <c r="J19" s="44" t="inlineStr">
        <is>
          <t>Spinghar, Lalpora, Khogyani</t>
        </is>
      </c>
      <c r="K19" s="44" t="inlineStr">
        <is>
          <t>Under Construction</t>
        </is>
      </c>
      <c r="L19" s="47" t="n">
        <v>45955</v>
      </c>
      <c r="M19" s="47" t="n">
        <v>46319</v>
      </c>
      <c r="N19" s="44" t="inlineStr">
        <is>
          <t>Shirali Khan Barakatzai Construction Company (SBCC)</t>
        </is>
      </c>
      <c r="O19" s="88" t="inlineStr">
        <is>
          <t>054/2025</t>
        </is>
      </c>
      <c r="P19" s="90" t="inlineStr">
        <is>
          <t>1.Awarded contracts_On&amp;off-farm</t>
        </is>
      </c>
    </row>
    <row r="20" ht="28" customHeight="1">
      <c r="A20" s="82" t="inlineStr">
        <is>
          <t>AF2-IS-07</t>
        </is>
      </c>
      <c r="B20" s="52" t="inlineStr">
        <is>
          <t>Package #7-AF2 IS: Rehabilitation of Kham Canal and Shandi Toot canal irrigation schemes, located in Dehbala and Sherzad districts of Nangarhar provinces.</t>
        </is>
      </c>
      <c r="C20" s="52" t="inlineStr">
        <is>
          <t>Irrigation Scheme</t>
        </is>
      </c>
      <c r="D20" s="83" t="inlineStr">
        <is>
          <t>Not awarded</t>
        </is>
      </c>
      <c r="E20" s="95" t="inlineStr">
        <is>
          <t>Under Technical Evaluation</t>
        </is>
      </c>
      <c r="F20" s="83" t="inlineStr">
        <is>
          <t>No</t>
        </is>
      </c>
      <c r="G20" s="49">
        <f>COUNTIF('01_Scheme_Tracker'!$B$4:$B$453,A20)</f>
        <v/>
      </c>
      <c r="H20" s="85">
        <f>SUMIF('01_Scheme_Tracker'!$B$4:$B$453,A20,'01_Scheme_Tracker'!$S$4:$S$453)</f>
        <v/>
      </c>
      <c r="I20" s="52" t="inlineStr">
        <is>
          <t>Nangarhar</t>
        </is>
      </c>
      <c r="J20" s="52" t="inlineStr">
        <is>
          <t>Dehbala, Sherzad</t>
        </is>
      </c>
      <c r="K20" s="52" t="inlineStr">
        <is>
          <t>Under Technical Evaluation</t>
        </is>
      </c>
      <c r="L20" s="54" t="n">
        <v>46325</v>
      </c>
      <c r="M20" s="54" t="n">
        <v>46535</v>
      </c>
      <c r="N20" s="52" t="inlineStr"/>
      <c r="O20" s="83" t="inlineStr"/>
      <c r="P20" s="86" t="inlineStr">
        <is>
          <t>2.Remain contracts_On&amp;off-farm</t>
        </is>
      </c>
    </row>
    <row r="21" ht="28" customHeight="1">
      <c r="A21" s="87" t="inlineStr">
        <is>
          <t>AF2-IS-08</t>
        </is>
      </c>
      <c r="B21" s="44" t="inlineStr">
        <is>
          <t>Package #8-AF2 IS: Rehabilitation of Khas Kunar Lower canal and Bahrabad canal irrigation schemes, located in Khas Kunar district of Kunar and Behsood district of Nangarhar provinces.</t>
        </is>
      </c>
      <c r="C21" s="44" t="inlineStr">
        <is>
          <t>Irrigation Scheme</t>
        </is>
      </c>
      <c r="D21" s="88" t="inlineStr">
        <is>
          <t>Awarded</t>
        </is>
      </c>
      <c r="E21" s="93" t="inlineStr">
        <is>
          <t>Under Construction</t>
        </is>
      </c>
      <c r="F21" s="88" t="inlineStr">
        <is>
          <t>No</t>
        </is>
      </c>
      <c r="G21" s="49">
        <f>COUNTIF('01_Scheme_Tracker'!$B$4:$B$453,A21)</f>
        <v/>
      </c>
      <c r="H21" s="85">
        <f>SUMIF('01_Scheme_Tracker'!$B$4:$B$453,A21,'01_Scheme_Tracker'!$S$4:$S$453)</f>
        <v/>
      </c>
      <c r="I21" s="44" t="inlineStr">
        <is>
          <t>Nangarhar, Kunar</t>
        </is>
      </c>
      <c r="J21" s="44" t="inlineStr">
        <is>
          <t>Behsood, Khas Kunar</t>
        </is>
      </c>
      <c r="K21" s="44" t="inlineStr">
        <is>
          <t>Under Construction</t>
        </is>
      </c>
      <c r="L21" s="47" t="n">
        <v>46254</v>
      </c>
      <c r="M21" s="47" t="n">
        <v>46618</v>
      </c>
      <c r="N21" s="44" t="inlineStr">
        <is>
          <t>Awrish builder construction company (ABCC)</t>
        </is>
      </c>
      <c r="O21" s="88" t="inlineStr">
        <is>
          <t>055/2026</t>
        </is>
      </c>
      <c r="P21" s="90" t="inlineStr">
        <is>
          <t>1.Awarded contracts_On&amp;off-farm</t>
        </is>
      </c>
    </row>
    <row r="22" ht="28" customHeight="1">
      <c r="A22" s="82" t="inlineStr">
        <is>
          <t>AF2-IS-09</t>
        </is>
      </c>
      <c r="B22" s="52" t="inlineStr">
        <is>
          <t>Package #9-AF2 IS: Rehabilitation of Akchori canal irrigation scheme, located in Waigal districts of Nuristan provinces.</t>
        </is>
      </c>
      <c r="C22" s="52" t="inlineStr">
        <is>
          <t>Irrigation Scheme</t>
        </is>
      </c>
      <c r="D22" s="83" t="inlineStr">
        <is>
          <t>Not awarded</t>
        </is>
      </c>
      <c r="E22" s="89" t="inlineStr">
        <is>
          <t>ITB Launched</t>
        </is>
      </c>
      <c r="F22" s="83" t="inlineStr">
        <is>
          <t>No</t>
        </is>
      </c>
      <c r="G22" s="49">
        <f>COUNTIF('01_Scheme_Tracker'!$B$4:$B$453,A22)</f>
        <v/>
      </c>
      <c r="H22" s="85">
        <f>SUMIF('01_Scheme_Tracker'!$B$4:$B$453,A22,'01_Scheme_Tracker'!$S$4:$S$453)</f>
        <v/>
      </c>
      <c r="I22" s="52" t="inlineStr">
        <is>
          <t>Nuristan</t>
        </is>
      </c>
      <c r="J22" s="52" t="inlineStr">
        <is>
          <t>Waigal</t>
        </is>
      </c>
      <c r="K22" s="52" t="inlineStr">
        <is>
          <t>ITB Launched</t>
        </is>
      </c>
      <c r="L22" s="54" t="n">
        <v>46353</v>
      </c>
      <c r="M22" s="54" t="n">
        <v>46656</v>
      </c>
      <c r="N22" s="52" t="inlineStr"/>
      <c r="O22" s="83" t="inlineStr"/>
      <c r="P22" s="86" t="inlineStr">
        <is>
          <t>2.Remain contracts_On&amp;off-farm</t>
        </is>
      </c>
    </row>
    <row r="23" ht="28" customHeight="1">
      <c r="A23" s="87" t="inlineStr">
        <is>
          <t>AF2-IS-10</t>
        </is>
      </c>
      <c r="B23" s="44" t="inlineStr">
        <is>
          <t>Package #10-AF2 IS: Rehabilitation of 1.Baraki canal, 2. Darbal canal, 3. Nawikhar canal and 4. Mangali canal irrigation schemes, located in Sayed Abad, Chak and Jaghato districts of Wardak province.</t>
        </is>
      </c>
      <c r="C23" s="44" t="inlineStr">
        <is>
          <t>Irrigation Scheme</t>
        </is>
      </c>
      <c r="D23" s="88" t="inlineStr">
        <is>
          <t>Awarded</t>
        </is>
      </c>
      <c r="E23" s="96" t="inlineStr">
        <is>
          <t>Awarded</t>
        </is>
      </c>
      <c r="F23" s="88" t="inlineStr">
        <is>
          <t>Yes</t>
        </is>
      </c>
      <c r="G23" s="49">
        <f>COUNTIF('01_Scheme_Tracker'!$B$4:$B$453,A23)</f>
        <v/>
      </c>
      <c r="H23" s="85">
        <f>SUMIF('01_Scheme_Tracker'!$B$4:$B$453,A23,'01_Scheme_Tracker'!$S$4:$S$453)</f>
        <v/>
      </c>
      <c r="I23" s="44" t="inlineStr">
        <is>
          <t>Wardak</t>
        </is>
      </c>
      <c r="J23" s="44" t="inlineStr">
        <is>
          <t>Sayed Abad, Chak, Jaghato</t>
        </is>
      </c>
      <c r="K23" s="44" t="inlineStr">
        <is>
          <t>Completed / Handover, Awarded, Under Construction</t>
        </is>
      </c>
      <c r="L23" s="47" t="n">
        <v>45979</v>
      </c>
      <c r="M23" s="47" t="n">
        <v>46343</v>
      </c>
      <c r="N23" s="44" t="inlineStr">
        <is>
          <t>Zahid Saeed Engineering and Construction Company (ZSCC)</t>
        </is>
      </c>
      <c r="O23" s="88" t="inlineStr">
        <is>
          <t>057/2025</t>
        </is>
      </c>
      <c r="P23" s="90" t="inlineStr">
        <is>
          <t>1.Awarded contracts_On&amp;off-farm</t>
        </is>
      </c>
    </row>
    <row r="24" ht="28" customHeight="1">
      <c r="A24" s="82" t="inlineStr">
        <is>
          <t>AF2-IS-11</t>
        </is>
      </c>
      <c r="B24" s="52" t="inlineStr">
        <is>
          <t>Package #11-AF2 IS: Rehabilitation of Musahi Sufla canal irrigation schemes, located in Musahi districts of Kabul province.</t>
        </is>
      </c>
      <c r="C24" s="52" t="inlineStr">
        <is>
          <t>Irrigation Scheme</t>
        </is>
      </c>
      <c r="D24" s="83" t="inlineStr">
        <is>
          <t>Awarded</t>
        </is>
      </c>
      <c r="E24" s="93" t="inlineStr">
        <is>
          <t>Under Construction</t>
        </is>
      </c>
      <c r="F24" s="83" t="inlineStr">
        <is>
          <t>No</t>
        </is>
      </c>
      <c r="G24" s="49">
        <f>COUNTIF('01_Scheme_Tracker'!$B$4:$B$453,A24)</f>
        <v/>
      </c>
      <c r="H24" s="85">
        <f>SUMIF('01_Scheme_Tracker'!$B$4:$B$453,A24,'01_Scheme_Tracker'!$S$4:$S$453)</f>
        <v/>
      </c>
      <c r="I24" s="52" t="inlineStr">
        <is>
          <t>Kabul</t>
        </is>
      </c>
      <c r="J24" s="52" t="inlineStr">
        <is>
          <t>Musahi</t>
        </is>
      </c>
      <c r="K24" s="52" t="inlineStr">
        <is>
          <t>Under Construction</t>
        </is>
      </c>
      <c r="L24" s="54" t="n">
        <v>45957</v>
      </c>
      <c r="M24" s="54" t="n">
        <v>46321</v>
      </c>
      <c r="N24" s="52" t="inlineStr">
        <is>
          <t>Seddiq Amini Construction and Logistic Services (SACC)</t>
        </is>
      </c>
      <c r="O24" s="83" t="inlineStr">
        <is>
          <t>056/2025</t>
        </is>
      </c>
      <c r="P24" s="86" t="inlineStr">
        <is>
          <t>1.Awarded contracts_On&amp;off-farm</t>
        </is>
      </c>
    </row>
    <row r="25" ht="28" customHeight="1">
      <c r="A25" s="87" t="inlineStr">
        <is>
          <t>AF2-IS-12</t>
        </is>
      </c>
      <c r="B25" s="44" t="inlineStr">
        <is>
          <t>Package #12-AF2 IS: Rehabilitation of Tapa-e-Ahmad Big canal and Shahre Beland canal irrigation schemes, located in Nijrab and Paryan districts of Kapisa and Panjsher provinces.</t>
        </is>
      </c>
      <c r="C25" s="44" t="inlineStr">
        <is>
          <t>Irrigation Scheme</t>
        </is>
      </c>
      <c r="D25" s="88" t="inlineStr">
        <is>
          <t>Not awarded</t>
        </is>
      </c>
      <c r="E25" s="95" t="inlineStr">
        <is>
          <t>Under Technical Evaluation</t>
        </is>
      </c>
      <c r="F25" s="88" t="inlineStr">
        <is>
          <t>No</t>
        </is>
      </c>
      <c r="G25" s="49">
        <f>COUNTIF('01_Scheme_Tracker'!$B$4:$B$453,A25)</f>
        <v/>
      </c>
      <c r="H25" s="85">
        <f>SUMIF('01_Scheme_Tracker'!$B$4:$B$453,A25,'01_Scheme_Tracker'!$S$4:$S$453)</f>
        <v/>
      </c>
      <c r="I25" s="44" t="inlineStr">
        <is>
          <t>Panjshir, Kapisa</t>
        </is>
      </c>
      <c r="J25" s="44" t="inlineStr">
        <is>
          <t>Paryan, Nijrab</t>
        </is>
      </c>
      <c r="K25" s="44" t="inlineStr">
        <is>
          <t>Under Technical Evaluation</t>
        </is>
      </c>
      <c r="L25" s="47" t="n">
        <v>46327</v>
      </c>
      <c r="M25" s="47" t="n">
        <v>46597</v>
      </c>
      <c r="N25" s="44" t="inlineStr"/>
      <c r="O25" s="88" t="inlineStr"/>
      <c r="P25" s="90" t="inlineStr">
        <is>
          <t>2.Remain contracts_On&amp;off-farm</t>
        </is>
      </c>
    </row>
    <row r="26" ht="28" customHeight="1">
      <c r="A26" s="82" t="inlineStr">
        <is>
          <t>AF2-IS-13</t>
        </is>
      </c>
      <c r="B26" s="52" t="inlineStr">
        <is>
          <t>Package #13-AF2 IS: Rehabilitation of Kamar China canal, Khenkot canal, and Zargara irrigation schemes, located in Sarobi, Chahar Asiab and Paghman districts of Kabul province.</t>
        </is>
      </c>
      <c r="C26" s="52" t="inlineStr">
        <is>
          <t>Irrigation Scheme</t>
        </is>
      </c>
      <c r="D26" s="83" t="inlineStr">
        <is>
          <t>Not awarded</t>
        </is>
      </c>
      <c r="E26" s="95" t="inlineStr">
        <is>
          <t>Under Technical Evaluation</t>
        </is>
      </c>
      <c r="F26" s="83" t="inlineStr">
        <is>
          <t>No</t>
        </is>
      </c>
      <c r="G26" s="49">
        <f>COUNTIF('01_Scheme_Tracker'!$B$4:$B$453,A26)</f>
        <v/>
      </c>
      <c r="H26" s="85">
        <f>SUMIF('01_Scheme_Tracker'!$B$4:$B$453,A26,'01_Scheme_Tracker'!$S$4:$S$453)</f>
        <v/>
      </c>
      <c r="I26" s="52" t="inlineStr">
        <is>
          <t>Kabul</t>
        </is>
      </c>
      <c r="J26" s="52" t="inlineStr">
        <is>
          <t>Sarobi, Chahar Asiab, Paghman</t>
        </is>
      </c>
      <c r="K26" s="52" t="inlineStr">
        <is>
          <t>Under Technical Evaluation</t>
        </is>
      </c>
      <c r="L26" s="54" t="n">
        <v>46336</v>
      </c>
      <c r="M26" s="54" t="n">
        <v>46576</v>
      </c>
      <c r="N26" s="52" t="inlineStr"/>
      <c r="O26" s="83" t="inlineStr"/>
      <c r="P26" s="86" t="inlineStr">
        <is>
          <t>2.Remain contracts_On&amp;off-farm</t>
        </is>
      </c>
    </row>
    <row r="27" ht="28" customHeight="1">
      <c r="A27" s="87" t="inlineStr">
        <is>
          <t>AF2-IS-14</t>
        </is>
      </c>
      <c r="B27" s="44" t="inlineStr">
        <is>
          <t>Package #14-AF2 IS: Rehabilitation of Zard Sang and Topchi Cluster Canal Irrigation scheme, located in Center district of Bamyan province.</t>
        </is>
      </c>
      <c r="C27" s="44" t="inlineStr">
        <is>
          <t>Irrigation Scheme</t>
        </is>
      </c>
      <c r="D27" s="88" t="inlineStr">
        <is>
          <t>Awarded</t>
        </is>
      </c>
      <c r="E27" s="93" t="inlineStr">
        <is>
          <t>Under Construction</t>
        </is>
      </c>
      <c r="F27" s="88" t="inlineStr">
        <is>
          <t>No</t>
        </is>
      </c>
      <c r="G27" s="49">
        <f>COUNTIF('01_Scheme_Tracker'!$B$4:$B$453,A27)</f>
        <v/>
      </c>
      <c r="H27" s="85">
        <f>SUMIF('01_Scheme_Tracker'!$B$4:$B$453,A27,'01_Scheme_Tracker'!$S$4:$S$453)</f>
        <v/>
      </c>
      <c r="I27" s="44" t="inlineStr">
        <is>
          <t>Bamyan</t>
        </is>
      </c>
      <c r="J27" s="44" t="inlineStr">
        <is>
          <t>Center</t>
        </is>
      </c>
      <c r="K27" s="44" t="inlineStr">
        <is>
          <t>Under Construction</t>
        </is>
      </c>
      <c r="L27" s="47" t="n">
        <v>46046</v>
      </c>
      <c r="M27" s="47" t="n">
        <v>46410</v>
      </c>
      <c r="N27" s="44" t="inlineStr">
        <is>
          <t>Nomae Shahr Construction Company (NSCC)</t>
        </is>
      </c>
      <c r="O27" s="88" t="inlineStr">
        <is>
          <t>002/2026</t>
        </is>
      </c>
      <c r="P27" s="90" t="inlineStr">
        <is>
          <t>1.Awarded contracts_On&amp;off-farm</t>
        </is>
      </c>
    </row>
    <row r="28" ht="28" customHeight="1">
      <c r="A28" s="82" t="inlineStr">
        <is>
          <t>AF2-IS-15</t>
        </is>
      </c>
      <c r="B28" s="52" t="inlineStr">
        <is>
          <t>Package #15-AF2 IS: Rehabilitation of Pitab joy and Sorkh Kawak Cluster Canal Irrigation scheme, located in Waras districts of Bamyan province.</t>
        </is>
      </c>
      <c r="C28" s="52" t="inlineStr">
        <is>
          <t>Irrigation Scheme</t>
        </is>
      </c>
      <c r="D28" s="83" t="inlineStr">
        <is>
          <t>Not awarded</t>
        </is>
      </c>
      <c r="E28" s="89" t="inlineStr">
        <is>
          <t>Retendered (Re-ITB)</t>
        </is>
      </c>
      <c r="F28" s="83" t="inlineStr">
        <is>
          <t>No</t>
        </is>
      </c>
      <c r="G28" s="49">
        <f>COUNTIF('01_Scheme_Tracker'!$B$4:$B$453,A28)</f>
        <v/>
      </c>
      <c r="H28" s="85">
        <f>SUMIF('01_Scheme_Tracker'!$B$4:$B$453,A28,'01_Scheme_Tracker'!$S$4:$S$453)</f>
        <v/>
      </c>
      <c r="I28" s="52" t="inlineStr">
        <is>
          <t>Bamyan</t>
        </is>
      </c>
      <c r="J28" s="52" t="inlineStr">
        <is>
          <t>Waras</t>
        </is>
      </c>
      <c r="K28" s="52" t="inlineStr">
        <is>
          <t>Retendered (Re-ITB)</t>
        </is>
      </c>
      <c r="L28" s="54" t="n">
        <v>46371</v>
      </c>
      <c r="M28" s="54" t="n">
        <v>46651</v>
      </c>
      <c r="N28" s="52" t="inlineStr"/>
      <c r="O28" s="83" t="inlineStr"/>
      <c r="P28" s="86" t="inlineStr">
        <is>
          <t>2.Remain contracts_On&amp;off-farm</t>
        </is>
      </c>
    </row>
    <row r="29" ht="28" customHeight="1">
      <c r="A29" s="87" t="inlineStr">
        <is>
          <t>AF2-IS-16</t>
        </is>
      </c>
      <c r="B29" s="44" t="inlineStr">
        <is>
          <t>Package #16-AF2 IS: Rehabilitation of Pato (Paye Raqul, Sangchal Takhomak and Kadalak) Cluster canal irrigation scheme in Pato district of Daykundi province</t>
        </is>
      </c>
      <c r="C29" s="44" t="inlineStr">
        <is>
          <t>Irrigation Scheme</t>
        </is>
      </c>
      <c r="D29" s="88" t="inlineStr">
        <is>
          <t>Awarded</t>
        </is>
      </c>
      <c r="E29" s="92" t="inlineStr">
        <is>
          <t>Completed / Handover</t>
        </is>
      </c>
      <c r="F29" s="88" t="inlineStr">
        <is>
          <t>No</t>
        </is>
      </c>
      <c r="G29" s="49">
        <f>COUNTIF('01_Scheme_Tracker'!$B$4:$B$453,A29)</f>
        <v/>
      </c>
      <c r="H29" s="85">
        <f>SUMIF('01_Scheme_Tracker'!$B$4:$B$453,A29,'01_Scheme_Tracker'!$S$4:$S$453)</f>
        <v/>
      </c>
      <c r="I29" s="44" t="inlineStr">
        <is>
          <t>Daykundi</t>
        </is>
      </c>
      <c r="J29" s="44" t="inlineStr">
        <is>
          <t>Pato</t>
        </is>
      </c>
      <c r="K29" s="44" t="inlineStr">
        <is>
          <t>Completed / Handover</t>
        </is>
      </c>
      <c r="L29" s="47" t="n">
        <v>46043</v>
      </c>
      <c r="M29" s="47" t="n">
        <v>46407</v>
      </c>
      <c r="N29" s="44" t="inlineStr">
        <is>
          <t>Estehkam Baba Construction Company JV Tamadon Bamik Construction Company (EBCC)</t>
        </is>
      </c>
      <c r="O29" s="88" t="inlineStr">
        <is>
          <t>007/2026</t>
        </is>
      </c>
      <c r="P29" s="90" t="inlineStr">
        <is>
          <t>1.Awarded contracts_On&amp;off-farm</t>
        </is>
      </c>
    </row>
    <row r="30" ht="28" customHeight="1">
      <c r="A30" s="82" t="inlineStr">
        <is>
          <t>AF2-IS-17</t>
        </is>
      </c>
      <c r="B30" s="52" t="inlineStr">
        <is>
          <t>Package #17-AF2 IS: Rehabilitation of Hezhdi- Nilli, Zard Nai Cluster Canal irrigation schemes, located in Sharrisatan and Nilli districts of Daykundi province.</t>
        </is>
      </c>
      <c r="C30" s="52" t="inlineStr">
        <is>
          <t>Irrigation Scheme</t>
        </is>
      </c>
      <c r="D30" s="83" t="inlineStr">
        <is>
          <t>Not awarded</t>
        </is>
      </c>
      <c r="E30" s="97" t="inlineStr">
        <is>
          <t>Under LTO Review</t>
        </is>
      </c>
      <c r="F30" s="83" t="inlineStr">
        <is>
          <t>No</t>
        </is>
      </c>
      <c r="G30" s="49">
        <f>COUNTIF('01_Scheme_Tracker'!$B$4:$B$453,A30)</f>
        <v/>
      </c>
      <c r="H30" s="85">
        <f>SUMIF('01_Scheme_Tracker'!$B$4:$B$453,A30,'01_Scheme_Tracker'!$S$4:$S$453)</f>
        <v/>
      </c>
      <c r="I30" s="52" t="inlineStr">
        <is>
          <t>Daykundi</t>
        </is>
      </c>
      <c r="J30" s="52" t="inlineStr">
        <is>
          <t>Shahristan and Nilli</t>
        </is>
      </c>
      <c r="K30" s="52" t="inlineStr">
        <is>
          <t>Under LTO Review</t>
        </is>
      </c>
      <c r="L30" s="54" t="n">
        <v>46371</v>
      </c>
      <c r="M30" s="54" t="n">
        <v>46656</v>
      </c>
      <c r="N30" s="52" t="inlineStr"/>
      <c r="O30" s="83" t="inlineStr"/>
      <c r="P30" s="86" t="inlineStr">
        <is>
          <t>2.Remain contracts_On&amp;off-farm</t>
        </is>
      </c>
    </row>
    <row r="31" ht="28" customHeight="1">
      <c r="A31" s="87" t="inlineStr">
        <is>
          <t>AF2-IS-18</t>
        </is>
      </c>
      <c r="B31" s="44" t="inlineStr">
        <is>
          <t>Package #18-AF2 IS: Rehabilitation of Drang canal irrigation schemes, located in Zurmat district of Paktya province.</t>
        </is>
      </c>
      <c r="C31" s="44" t="inlineStr">
        <is>
          <t>Irrigation Scheme</t>
        </is>
      </c>
      <c r="D31" s="88" t="inlineStr">
        <is>
          <t>Not awarded</t>
        </is>
      </c>
      <c r="E31" s="89" t="inlineStr">
        <is>
          <t>ITB Launched</t>
        </is>
      </c>
      <c r="F31" s="88" t="inlineStr">
        <is>
          <t>No</t>
        </is>
      </c>
      <c r="G31" s="49">
        <f>COUNTIF('01_Scheme_Tracker'!$B$4:$B$453,A31)</f>
        <v/>
      </c>
      <c r="H31" s="85">
        <f>SUMIF('01_Scheme_Tracker'!$B$4:$B$453,A31,'01_Scheme_Tracker'!$S$4:$S$453)</f>
        <v/>
      </c>
      <c r="I31" s="44" t="inlineStr">
        <is>
          <t>Paktya</t>
        </is>
      </c>
      <c r="J31" s="44" t="inlineStr">
        <is>
          <t>Zurmat</t>
        </is>
      </c>
      <c r="K31" s="44" t="inlineStr">
        <is>
          <t>ITB Launched</t>
        </is>
      </c>
      <c r="L31" s="47" t="n">
        <v>46356</v>
      </c>
      <c r="M31" s="47" t="n">
        <v>46689</v>
      </c>
      <c r="N31" s="44" t="inlineStr"/>
      <c r="O31" s="88" t="inlineStr"/>
      <c r="P31" s="90" t="inlineStr">
        <is>
          <t>2.Remain contracts_On&amp;off-farm</t>
        </is>
      </c>
    </row>
    <row r="32" ht="28" customHeight="1">
      <c r="A32" s="82" t="inlineStr">
        <is>
          <t>AF2-IS-19</t>
        </is>
      </c>
      <c r="B32" s="52" t="inlineStr">
        <is>
          <t>Package #19-AF2 IS: Rehabilitation of Khwaja Angor canal and Qalai Wazir canal irrigation schemes located in Kharwar and Pol-i-Alam districts of Logar province.</t>
        </is>
      </c>
      <c r="C32" s="52" t="inlineStr">
        <is>
          <t>Irrigation Scheme</t>
        </is>
      </c>
      <c r="D32" s="83" t="inlineStr">
        <is>
          <t>Awarded</t>
        </is>
      </c>
      <c r="E32" s="93" t="inlineStr">
        <is>
          <t>Under Construction</t>
        </is>
      </c>
      <c r="F32" s="83" t="inlineStr">
        <is>
          <t>Yes</t>
        </is>
      </c>
      <c r="G32" s="49">
        <f>COUNTIF('01_Scheme_Tracker'!$B$4:$B$453,A32)</f>
        <v/>
      </c>
      <c r="H32" s="85">
        <f>SUMIF('01_Scheme_Tracker'!$B$4:$B$453,A32,'01_Scheme_Tracker'!$S$4:$S$453)</f>
        <v/>
      </c>
      <c r="I32" s="52" t="inlineStr">
        <is>
          <t>Logar</t>
        </is>
      </c>
      <c r="J32" s="52" t="inlineStr">
        <is>
          <t>Kharwar, Pol-i-Alam</t>
        </is>
      </c>
      <c r="K32" s="52" t="inlineStr">
        <is>
          <t>Under Construction, Completed / Handover</t>
        </is>
      </c>
      <c r="L32" s="54" t="n">
        <v>46022</v>
      </c>
      <c r="M32" s="54" t="n">
        <v>46386</v>
      </c>
      <c r="N32" s="52" t="inlineStr">
        <is>
          <t>Unique Wahaj Construction Company (UWCC)</t>
        </is>
      </c>
      <c r="O32" s="83" t="inlineStr">
        <is>
          <t>074/2026</t>
        </is>
      </c>
      <c r="P32" s="86" t="inlineStr">
        <is>
          <t>1.Awarded contracts_On&amp;off-farm</t>
        </is>
      </c>
    </row>
    <row r="33" ht="28" customHeight="1">
      <c r="A33" s="87" t="inlineStr">
        <is>
          <t>AF2-IS-20</t>
        </is>
      </c>
      <c r="B33" s="44" t="inlineStr">
        <is>
          <t>Package #20-AF2 IS: Rehabilitation of Welgai irrigation system, located in Matoon district of Khost province.</t>
        </is>
      </c>
      <c r="C33" s="44" t="inlineStr">
        <is>
          <t>Irrigation Scheme</t>
        </is>
      </c>
      <c r="D33" s="88" t="inlineStr">
        <is>
          <t>Awarded</t>
        </is>
      </c>
      <c r="E33" s="92" t="inlineStr">
        <is>
          <t>Completed / Handover</t>
        </is>
      </c>
      <c r="F33" s="88" t="inlineStr">
        <is>
          <t>No</t>
        </is>
      </c>
      <c r="G33" s="49">
        <f>COUNTIF('01_Scheme_Tracker'!$B$4:$B$453,A33)</f>
        <v/>
      </c>
      <c r="H33" s="85">
        <f>SUMIF('01_Scheme_Tracker'!$B$4:$B$453,A33,'01_Scheme_Tracker'!$S$4:$S$453)</f>
        <v/>
      </c>
      <c r="I33" s="44" t="inlineStr">
        <is>
          <t>Khost</t>
        </is>
      </c>
      <c r="J33" s="44" t="inlineStr">
        <is>
          <t>Matoon</t>
        </is>
      </c>
      <c r="K33" s="44" t="inlineStr">
        <is>
          <t>Completed / Handover</t>
        </is>
      </c>
      <c r="L33" s="47" t="n">
        <v>45942</v>
      </c>
      <c r="M33" s="47" t="n">
        <v>46306</v>
      </c>
      <c r="N33" s="44" t="inlineStr">
        <is>
          <t>Mahmood Raqi Nawin Construction &amp; Road Building Company (MRCC)</t>
        </is>
      </c>
      <c r="O33" s="88" t="inlineStr">
        <is>
          <t>053/2025</t>
        </is>
      </c>
      <c r="P33" s="90" t="inlineStr">
        <is>
          <t>1.Awarded contracts_On&amp;off-farm</t>
        </is>
      </c>
    </row>
    <row r="34" ht="28" customHeight="1">
      <c r="A34" s="82" t="inlineStr">
        <is>
          <t>AF2-IS-21</t>
        </is>
      </c>
      <c r="B34" s="52" t="inlineStr">
        <is>
          <t>Package # 21-AF2 IS: Rehabilitation of Markazi Ziruk and Mulakh canal irrigation schemes, located in Ziruk and Yousaf Khil districts of Pakteka province.</t>
        </is>
      </c>
      <c r="C34" s="52" t="inlineStr">
        <is>
          <t>Irrigation Scheme</t>
        </is>
      </c>
      <c r="D34" s="83" t="inlineStr">
        <is>
          <t>Awarded</t>
        </is>
      </c>
      <c r="E34" s="93" t="inlineStr">
        <is>
          <t>Under Construction</t>
        </is>
      </c>
      <c r="F34" s="83" t="inlineStr">
        <is>
          <t>No</t>
        </is>
      </c>
      <c r="G34" s="49">
        <f>COUNTIF('01_Scheme_Tracker'!$B$4:$B$453,A34)</f>
        <v/>
      </c>
      <c r="H34" s="85">
        <f>SUMIF('01_Scheme_Tracker'!$B$4:$B$453,A34,'01_Scheme_Tracker'!$S$4:$S$453)</f>
        <v/>
      </c>
      <c r="I34" s="52" t="inlineStr">
        <is>
          <t>Pakteka</t>
        </is>
      </c>
      <c r="J34" s="52" t="inlineStr">
        <is>
          <t>Ziruk, Yousaf Khil</t>
        </is>
      </c>
      <c r="K34" s="52" t="inlineStr">
        <is>
          <t>Under Construction</t>
        </is>
      </c>
      <c r="L34" s="54" t="n">
        <v>46179</v>
      </c>
      <c r="M34" s="54" t="n">
        <v>46543</v>
      </c>
      <c r="N34" s="52" t="inlineStr">
        <is>
          <t>Farhad Matoonyar Construction Company (FMCC)</t>
        </is>
      </c>
      <c r="O34" s="83" t="inlineStr">
        <is>
          <t>038/2026</t>
        </is>
      </c>
      <c r="P34" s="86" t="inlineStr">
        <is>
          <t>1.Awarded contracts_On&amp;off-farm</t>
        </is>
      </c>
    </row>
    <row r="35" ht="28" customHeight="1">
      <c r="A35" s="87" t="inlineStr">
        <is>
          <t>AF2-IS-22</t>
        </is>
      </c>
      <c r="B35" s="44" t="inlineStr">
        <is>
          <t>Package # 22-AF2 IS: Rehabilitation of Gero canal irrigation scheme, located in Center and Qarabagh districts of Ghazni province.</t>
        </is>
      </c>
      <c r="C35" s="44" t="inlineStr">
        <is>
          <t>Irrigation Scheme</t>
        </is>
      </c>
      <c r="D35" s="88" t="inlineStr">
        <is>
          <t>Not awarded</t>
        </is>
      </c>
      <c r="E35" s="97" t="inlineStr">
        <is>
          <t>Under LTO Review</t>
        </is>
      </c>
      <c r="F35" s="88" t="inlineStr">
        <is>
          <t>No</t>
        </is>
      </c>
      <c r="G35" s="49">
        <f>COUNTIF('01_Scheme_Tracker'!$B$4:$B$453,A35)</f>
        <v/>
      </c>
      <c r="H35" s="85">
        <f>SUMIF('01_Scheme_Tracker'!$B$4:$B$453,A35,'01_Scheme_Tracker'!$S$4:$S$453)</f>
        <v/>
      </c>
      <c r="I35" s="44" t="inlineStr">
        <is>
          <t>Ghazni</t>
        </is>
      </c>
      <c r="J35" s="44" t="inlineStr">
        <is>
          <t>Center</t>
        </is>
      </c>
      <c r="K35" s="44" t="inlineStr">
        <is>
          <t>Under LTO Review</t>
        </is>
      </c>
      <c r="L35" s="47" t="n">
        <v>46384</v>
      </c>
      <c r="M35" s="47" t="n">
        <v>46684</v>
      </c>
      <c r="N35" s="44" t="inlineStr"/>
      <c r="O35" s="88" t="inlineStr"/>
      <c r="P35" s="90" t="inlineStr">
        <is>
          <t>2.Remain contracts_On&amp;off-farm</t>
        </is>
      </c>
    </row>
    <row r="36" ht="28" customHeight="1">
      <c r="A36" s="82" t="inlineStr">
        <is>
          <t>AF2-IS-23</t>
        </is>
      </c>
      <c r="B36" s="52" t="inlineStr">
        <is>
          <t>Package #23-AF2 IS: Rehabilitation of Patab canal irrigation schemes, located in Khas Urozgan of Urozgan province.</t>
        </is>
      </c>
      <c r="C36" s="52" t="inlineStr">
        <is>
          <t>Irrigation Scheme</t>
        </is>
      </c>
      <c r="D36" s="83" t="inlineStr">
        <is>
          <t>Not awarded</t>
        </is>
      </c>
      <c r="E36" s="89" t="inlineStr">
        <is>
          <t>Retendered (Re-ITB)</t>
        </is>
      </c>
      <c r="F36" s="83" t="inlineStr">
        <is>
          <t>No</t>
        </is>
      </c>
      <c r="G36" s="49">
        <f>COUNTIF('01_Scheme_Tracker'!$B$4:$B$453,A36)</f>
        <v/>
      </c>
      <c r="H36" s="85">
        <f>SUMIF('01_Scheme_Tracker'!$B$4:$B$453,A36,'01_Scheme_Tracker'!$S$4:$S$453)</f>
        <v/>
      </c>
      <c r="I36" s="52" t="inlineStr">
        <is>
          <t>Urozgan</t>
        </is>
      </c>
      <c r="J36" s="52" t="inlineStr">
        <is>
          <t>Khas Urozgan</t>
        </is>
      </c>
      <c r="K36" s="52" t="inlineStr">
        <is>
          <t>Retendered (Re-ITB)</t>
        </is>
      </c>
      <c r="L36" s="54" t="n">
        <v>46371</v>
      </c>
      <c r="M36" s="54" t="n">
        <v>46641</v>
      </c>
      <c r="N36" s="52" t="inlineStr"/>
      <c r="O36" s="83" t="inlineStr"/>
      <c r="P36" s="86" t="inlineStr">
        <is>
          <t>2.Remain contracts_On&amp;off-farm</t>
        </is>
      </c>
    </row>
    <row r="37" ht="28" customHeight="1">
      <c r="A37" s="87" t="inlineStr">
        <is>
          <t>AF2-IS-24</t>
        </is>
      </c>
      <c r="B37" s="44" t="inlineStr">
        <is>
          <t>Package #24-AF2 IS: Rehabilitation of Shajoy canal and Sar Nary canal irrigation schemes, located in Dayee Chopan and Arghandab districts of Zabul province.</t>
        </is>
      </c>
      <c r="C37" s="44" t="inlineStr">
        <is>
          <t>Irrigation Scheme</t>
        </is>
      </c>
      <c r="D37" s="88" t="inlineStr">
        <is>
          <t>Not awarded</t>
        </is>
      </c>
      <c r="E37" s="98" t="inlineStr">
        <is>
          <t>Under Design</t>
        </is>
      </c>
      <c r="F37" s="88" t="inlineStr">
        <is>
          <t>No</t>
        </is>
      </c>
      <c r="G37" s="49">
        <f>COUNTIF('01_Scheme_Tracker'!$B$4:$B$453,A37)</f>
        <v/>
      </c>
      <c r="H37" s="85">
        <f>SUMIF('01_Scheme_Tracker'!$B$4:$B$453,A37,'01_Scheme_Tracker'!$S$4:$S$453)</f>
        <v/>
      </c>
      <c r="I37" s="44" t="inlineStr">
        <is>
          <t>Zabul</t>
        </is>
      </c>
      <c r="J37" s="44" t="inlineStr">
        <is>
          <t>Arghandab, Dayee Chopan</t>
        </is>
      </c>
      <c r="K37" s="44" t="inlineStr">
        <is>
          <t>Under Design</t>
        </is>
      </c>
      <c r="L37" s="47" t="n">
        <v>46376</v>
      </c>
      <c r="M37" s="47" t="n">
        <v>46646</v>
      </c>
      <c r="N37" s="44" t="inlineStr"/>
      <c r="O37" s="88" t="inlineStr"/>
      <c r="P37" s="90" t="inlineStr">
        <is>
          <t>2.Remain contracts_On&amp;off-farm</t>
        </is>
      </c>
    </row>
    <row r="38" ht="28" customHeight="1">
      <c r="A38" s="82" t="inlineStr">
        <is>
          <t>AF2-IS-25</t>
        </is>
      </c>
      <c r="B38" s="52" t="inlineStr">
        <is>
          <t>Package #25-AF2 IS: Rehabilitation of Urdo Kas canal and Sarkay Lazhey canal irrigation schemes, located in Sha Wali Kot and Boldak districts of Kandahar province.</t>
        </is>
      </c>
      <c r="C38" s="52" t="inlineStr">
        <is>
          <t>Irrigation Scheme</t>
        </is>
      </c>
      <c r="D38" s="83" t="inlineStr">
        <is>
          <t>Awarded</t>
        </is>
      </c>
      <c r="E38" s="93" t="inlineStr">
        <is>
          <t>Under Construction</t>
        </is>
      </c>
      <c r="F38" s="83" t="inlineStr">
        <is>
          <t>No</t>
        </is>
      </c>
      <c r="G38" s="49">
        <f>COUNTIF('01_Scheme_Tracker'!$B$4:$B$453,A38)</f>
        <v/>
      </c>
      <c r="H38" s="85">
        <f>SUMIF('01_Scheme_Tracker'!$B$4:$B$453,A38,'01_Scheme_Tracker'!$S$4:$S$453)</f>
        <v/>
      </c>
      <c r="I38" s="52" t="inlineStr">
        <is>
          <t>Kandahar</t>
        </is>
      </c>
      <c r="J38" s="52" t="inlineStr">
        <is>
          <t>Boldak, Sha Wali Kot</t>
        </is>
      </c>
      <c r="K38" s="52" t="inlineStr">
        <is>
          <t>Under Construction</t>
        </is>
      </c>
      <c r="L38" s="54" t="n">
        <v>46062</v>
      </c>
      <c r="M38" s="54" t="n">
        <v>46364</v>
      </c>
      <c r="N38" s="52" t="inlineStr">
        <is>
          <t>Wasif Construction Company</t>
        </is>
      </c>
      <c r="O38" s="83" t="inlineStr">
        <is>
          <t>012/2026</t>
        </is>
      </c>
      <c r="P38" s="86" t="inlineStr">
        <is>
          <t>1.Awarded contracts_On&amp;off-farm</t>
        </is>
      </c>
    </row>
    <row r="39" ht="28" customHeight="1">
      <c r="A39" s="87" t="inlineStr">
        <is>
          <t>AF2-IS-26</t>
        </is>
      </c>
      <c r="B39" s="44" t="inlineStr">
        <is>
          <t>Package #26-AF2 IS: Rehabilitation of Sarwan Qala canal irrigation schemes, located in Sangin district of Kandahar province.</t>
        </is>
      </c>
      <c r="C39" s="44" t="inlineStr">
        <is>
          <t>Irrigation Scheme</t>
        </is>
      </c>
      <c r="D39" s="88" t="inlineStr">
        <is>
          <t>Awarded</t>
        </is>
      </c>
      <c r="E39" s="96" t="inlineStr">
        <is>
          <t>Awarded</t>
        </is>
      </c>
      <c r="F39" s="88" t="inlineStr">
        <is>
          <t>No</t>
        </is>
      </c>
      <c r="G39" s="49">
        <f>COUNTIF('01_Scheme_Tracker'!$B$4:$B$453,A39)</f>
        <v/>
      </c>
      <c r="H39" s="85">
        <f>SUMIF('01_Scheme_Tracker'!$B$4:$B$453,A39,'01_Scheme_Tracker'!$S$4:$S$453)</f>
        <v/>
      </c>
      <c r="I39" s="44" t="inlineStr">
        <is>
          <t>Helmand</t>
        </is>
      </c>
      <c r="J39" s="44" t="inlineStr">
        <is>
          <t>Sangin</t>
        </is>
      </c>
      <c r="K39" s="44" t="inlineStr">
        <is>
          <t>Awarded</t>
        </is>
      </c>
      <c r="L39" s="47" t="n">
        <v>46084</v>
      </c>
      <c r="M39" s="47" t="n">
        <v>46448</v>
      </c>
      <c r="N39" s="44" t="inlineStr">
        <is>
          <t>New Safi Zada Construction &amp; Road Building Company JV with Elyas Aryoubi Constructin Road building and Logistic Company (NSZ&amp;EACC)</t>
        </is>
      </c>
      <c r="O39" s="88" t="inlineStr">
        <is>
          <t>019/2026</t>
        </is>
      </c>
      <c r="P39" s="90" t="inlineStr">
        <is>
          <t>1.Awarded contracts_On&amp;off-farm</t>
        </is>
      </c>
    </row>
    <row r="40" ht="28" customHeight="1">
      <c r="A40" s="82" t="inlineStr">
        <is>
          <t>AF2-IS-27</t>
        </is>
      </c>
      <c r="B40" s="52" t="inlineStr">
        <is>
          <t>Package # 27-AF2 IS: Rehabilitation of Firozi canal irrigation scheme, located in Delaram districts of Nimroz province.</t>
        </is>
      </c>
      <c r="C40" s="52" t="inlineStr">
        <is>
          <t>Irrigation Scheme</t>
        </is>
      </c>
      <c r="D40" s="83" t="inlineStr">
        <is>
          <t>Not awarded</t>
        </is>
      </c>
      <c r="E40" s="91" t="inlineStr">
        <is>
          <t>Under Review of WRI</t>
        </is>
      </c>
      <c r="F40" s="83" t="inlineStr">
        <is>
          <t>No</t>
        </is>
      </c>
      <c r="G40" s="49">
        <f>COUNTIF('01_Scheme_Tracker'!$B$4:$B$453,A40)</f>
        <v/>
      </c>
      <c r="H40" s="85">
        <f>SUMIF('01_Scheme_Tracker'!$B$4:$B$453,A40,'01_Scheme_Tracker'!$S$4:$S$453)</f>
        <v/>
      </c>
      <c r="I40" s="52" t="inlineStr">
        <is>
          <t>Nimruz</t>
        </is>
      </c>
      <c r="J40" s="52" t="inlineStr">
        <is>
          <t>Delaram</t>
        </is>
      </c>
      <c r="K40" s="52" t="inlineStr">
        <is>
          <t>Under Review of WRI</t>
        </is>
      </c>
      <c r="L40" s="54" t="n">
        <v>46381</v>
      </c>
      <c r="M40" s="54" t="n">
        <v>46651</v>
      </c>
      <c r="N40" s="52" t="inlineStr"/>
      <c r="O40" s="83" t="inlineStr"/>
      <c r="P40" s="86" t="inlineStr">
        <is>
          <t>2.Remain contracts_On&amp;off-farm</t>
        </is>
      </c>
    </row>
    <row r="41" ht="28" customHeight="1">
      <c r="A41" s="87" t="inlineStr">
        <is>
          <t>AF2-IS-28</t>
        </is>
      </c>
      <c r="B41" s="44" t="inlineStr">
        <is>
          <t>Package # 28 – AF2 IS: Rehabilitation of Irrigation Schemes of 1. Abil Aroq (Qanjogha), 2. Shaitan Aroq Cluster Canals in Khwaja Ghar District and 3. Kalta Aroq, 4. Pacha Khail, and 5. Sayed Miran (Khar Kar) Cluster Canals in Eshkamish District of Takhar Province</t>
        </is>
      </c>
      <c r="C41" s="44" t="inlineStr">
        <is>
          <t>Irrigation Scheme</t>
        </is>
      </c>
      <c r="D41" s="88" t="inlineStr">
        <is>
          <t>Awarded</t>
        </is>
      </c>
      <c r="E41" s="96" t="inlineStr">
        <is>
          <t>Awarded</t>
        </is>
      </c>
      <c r="F41" s="88" t="inlineStr">
        <is>
          <t>Yes</t>
        </is>
      </c>
      <c r="G41" s="49">
        <f>COUNTIF('01_Scheme_Tracker'!$B$4:$B$453,A41)</f>
        <v/>
      </c>
      <c r="H41" s="85">
        <f>SUMIF('01_Scheme_Tracker'!$B$4:$B$453,A41,'01_Scheme_Tracker'!$S$4:$S$453)</f>
        <v/>
      </c>
      <c r="I41" s="44" t="inlineStr">
        <is>
          <t>Takhar</t>
        </is>
      </c>
      <c r="J41" s="44" t="inlineStr">
        <is>
          <t>Khwaja Ghar, Eshkamish</t>
        </is>
      </c>
      <c r="K41" s="44" t="inlineStr">
        <is>
          <t>Awarded, Under Construction</t>
        </is>
      </c>
      <c r="L41" s="47" t="n">
        <v>46013</v>
      </c>
      <c r="M41" s="47" t="n">
        <v>46377</v>
      </c>
      <c r="N41" s="44" t="inlineStr">
        <is>
          <t>SHAMAL KARDAN ROAD CONSTRUCTION AND LOGISTIC SERVICES COMPANY LTD (SKRCC)</t>
        </is>
      </c>
      <c r="O41" s="88" t="inlineStr">
        <is>
          <t>067/2025</t>
        </is>
      </c>
      <c r="P41" s="90" t="inlineStr">
        <is>
          <t>1.Awarded contracts_On&amp;off-farm</t>
        </is>
      </c>
    </row>
    <row r="42" ht="28" customHeight="1">
      <c r="A42" s="82" t="inlineStr">
        <is>
          <t>AF2-IS-29</t>
        </is>
      </c>
      <c r="B42" s="52" t="inlineStr">
        <is>
          <t>Package #29-AF2 IS: Rehabilitation of Dagh Aruq canal and Boghoz Qum canal irrigation schemes, located in Chahar Dara district of Kunduz province.</t>
        </is>
      </c>
      <c r="C42" s="52" t="inlineStr">
        <is>
          <t>Irrigation Scheme</t>
        </is>
      </c>
      <c r="D42" s="83" t="inlineStr">
        <is>
          <t>Not awarded</t>
        </is>
      </c>
      <c r="E42" s="94" t="inlineStr">
        <is>
          <t>PR to be Raised</t>
        </is>
      </c>
      <c r="F42" s="83" t="inlineStr">
        <is>
          <t>No</t>
        </is>
      </c>
      <c r="G42" s="49">
        <f>COUNTIF('01_Scheme_Tracker'!$B$4:$B$453,A42)</f>
        <v/>
      </c>
      <c r="H42" s="85">
        <f>SUMIF('01_Scheme_Tracker'!$B$4:$B$453,A42,'01_Scheme_Tracker'!$S$4:$S$453)</f>
        <v/>
      </c>
      <c r="I42" s="52" t="inlineStr">
        <is>
          <t>Kunduz</t>
        </is>
      </c>
      <c r="J42" s="52" t="inlineStr">
        <is>
          <t>Chahar Dara</t>
        </is>
      </c>
      <c r="K42" s="52" t="inlineStr">
        <is>
          <t>PR to be Raised</t>
        </is>
      </c>
      <c r="L42" s="54" t="n">
        <v>46351</v>
      </c>
      <c r="M42" s="54" t="n">
        <v>46651</v>
      </c>
      <c r="N42" s="52" t="inlineStr"/>
      <c r="O42" s="83" t="inlineStr"/>
      <c r="P42" s="86" t="inlineStr">
        <is>
          <t>2.Remain contracts_On&amp;off-farm</t>
        </is>
      </c>
    </row>
    <row r="43" ht="28" customHeight="1">
      <c r="A43" s="87" t="inlineStr">
        <is>
          <t>AF2-IS-30</t>
        </is>
      </c>
      <c r="B43" s="44" t="inlineStr">
        <is>
          <t>Package # 30-AF2 IS: Rehabilitation of Teshkhan canal and Khushpak Markazi Canals irrigation schemes, located in Ishkashim districts of Badakhshan province.</t>
        </is>
      </c>
      <c r="C43" s="44" t="inlineStr">
        <is>
          <t>Irrigation Scheme</t>
        </is>
      </c>
      <c r="D43" s="88" t="inlineStr">
        <is>
          <t>Not awarded</t>
        </is>
      </c>
      <c r="E43" s="94" t="inlineStr">
        <is>
          <t>PR to be Raised</t>
        </is>
      </c>
      <c r="F43" s="88" t="inlineStr">
        <is>
          <t>No</t>
        </is>
      </c>
      <c r="G43" s="49">
        <f>COUNTIF('01_Scheme_Tracker'!$B$4:$B$453,A43)</f>
        <v/>
      </c>
      <c r="H43" s="85">
        <f>SUMIF('01_Scheme_Tracker'!$B$4:$B$453,A43,'01_Scheme_Tracker'!$S$4:$S$453)</f>
        <v/>
      </c>
      <c r="I43" s="44" t="inlineStr">
        <is>
          <t>Badakhshan</t>
        </is>
      </c>
      <c r="J43" s="44" t="inlineStr">
        <is>
          <t>Ishkashim</t>
        </is>
      </c>
      <c r="K43" s="44" t="inlineStr">
        <is>
          <t>PR to be Raised</t>
        </is>
      </c>
      <c r="L43" s="47" t="n">
        <v>46399</v>
      </c>
      <c r="M43" s="47" t="n">
        <v>46669</v>
      </c>
      <c r="N43" s="44" t="inlineStr"/>
      <c r="O43" s="88" t="inlineStr"/>
      <c r="P43" s="90" t="inlineStr">
        <is>
          <t>2.Remain contracts_On&amp;off-farm</t>
        </is>
      </c>
    </row>
    <row r="44" ht="28" customHeight="1">
      <c r="A44" s="82" t="inlineStr">
        <is>
          <t>AF2-IS-31</t>
        </is>
      </c>
      <c r="B44" s="52" t="inlineStr">
        <is>
          <t>Package #31-AF2 IS: Rehabilitation of 1. Shahidan &amp;Dasht-e Lajam Canal schems in Tala wa barfak district, 2.Sardar Ha canal scheme in Deh Salah district, and 3. Kambilan cluster canal schemes in Fring districts of Baghlan province.</t>
        </is>
      </c>
      <c r="C44" s="52" t="inlineStr">
        <is>
          <t>Irrigation Scheme</t>
        </is>
      </c>
      <c r="D44" s="83" t="inlineStr">
        <is>
          <t>Awarded</t>
        </is>
      </c>
      <c r="E44" s="93" t="inlineStr">
        <is>
          <t>Under Construction</t>
        </is>
      </c>
      <c r="F44" s="83" t="inlineStr">
        <is>
          <t>Yes</t>
        </is>
      </c>
      <c r="G44" s="49">
        <f>COUNTIF('01_Scheme_Tracker'!$B$4:$B$453,A44)</f>
        <v/>
      </c>
      <c r="H44" s="85">
        <f>SUMIF('01_Scheme_Tracker'!$B$4:$B$453,A44,'01_Scheme_Tracker'!$S$4:$S$453)</f>
        <v/>
      </c>
      <c r="I44" s="52" t="inlineStr">
        <is>
          <t>Baghlan</t>
        </is>
      </c>
      <c r="J44" s="52" t="inlineStr">
        <is>
          <t>Fring, Deh Salah, Tala wa barfak</t>
        </is>
      </c>
      <c r="K44" s="52" t="inlineStr">
        <is>
          <t>Completed / Handover, Under Construction</t>
        </is>
      </c>
      <c r="L44" s="54" t="n">
        <v>46051</v>
      </c>
      <c r="M44" s="54" t="n">
        <v>46354</v>
      </c>
      <c r="N44" s="52" t="inlineStr">
        <is>
          <t>Afghan Eithad construction and Road Building company (AECC)</t>
        </is>
      </c>
      <c r="O44" s="83" t="inlineStr">
        <is>
          <t>009/2026</t>
        </is>
      </c>
      <c r="P44" s="86" t="inlineStr">
        <is>
          <t>1.Awarded contracts_On&amp;off-farm</t>
        </is>
      </c>
    </row>
    <row r="45" ht="28" customHeight="1">
      <c r="A45" s="87" t="inlineStr">
        <is>
          <t>AF2-IS-32</t>
        </is>
      </c>
      <c r="B45" s="44" t="inlineStr">
        <is>
          <t>Package #32-AF2 IS: Rehabilitation of Abdul Baqi canal and Mulla Oma canal irrigation schemes, located in Chemtal districts of Balkh province.</t>
        </is>
      </c>
      <c r="C45" s="44" t="inlineStr">
        <is>
          <t>Irrigation Scheme</t>
        </is>
      </c>
      <c r="D45" s="88" t="inlineStr">
        <is>
          <t>Awarded</t>
        </is>
      </c>
      <c r="E45" s="92" t="inlineStr">
        <is>
          <t>Completed / Handover</t>
        </is>
      </c>
      <c r="F45" s="88" t="inlineStr">
        <is>
          <t>No</t>
        </is>
      </c>
      <c r="G45" s="49">
        <f>COUNTIF('01_Scheme_Tracker'!$B$4:$B$453,A45)</f>
        <v/>
      </c>
      <c r="H45" s="85">
        <f>SUMIF('01_Scheme_Tracker'!$B$4:$B$453,A45,'01_Scheme_Tracker'!$S$4:$S$453)</f>
        <v/>
      </c>
      <c r="I45" s="44" t="inlineStr">
        <is>
          <t>Balkh</t>
        </is>
      </c>
      <c r="J45" s="44" t="inlineStr">
        <is>
          <t>Chemtal</t>
        </is>
      </c>
      <c r="K45" s="44" t="inlineStr">
        <is>
          <t>Completed / Handover</t>
        </is>
      </c>
      <c r="L45" s="47" t="n">
        <v>46022</v>
      </c>
      <c r="M45" s="47" t="n">
        <v>46355</v>
      </c>
      <c r="N45" s="44" t="inlineStr">
        <is>
          <t>Trust Grow Construction and Engineering Company (TGCC)</t>
        </is>
      </c>
      <c r="O45" s="88" t="inlineStr">
        <is>
          <t>075/2025</t>
        </is>
      </c>
      <c r="P45" s="90" t="inlineStr">
        <is>
          <t>1.Awarded contracts_On&amp;off-farm</t>
        </is>
      </c>
    </row>
    <row r="46" ht="28" customHeight="1">
      <c r="A46" s="82" t="inlineStr">
        <is>
          <t>AF2-IS-33</t>
        </is>
      </c>
      <c r="B46" s="52" t="inlineStr">
        <is>
          <t>Package #33-AF2 IS: Rehabilitation of Chela Mazar canal and Kushkak canal irrigation schemes, located in Dara-e- Suf-e-Bala and Dara-e-Suf-e-Payeen districts of Samangan province.</t>
        </is>
      </c>
      <c r="C46" s="52" t="inlineStr">
        <is>
          <t>Irrigation Scheme</t>
        </is>
      </c>
      <c r="D46" s="83" t="inlineStr">
        <is>
          <t>Awarded</t>
        </is>
      </c>
      <c r="E46" s="93" t="inlineStr">
        <is>
          <t>Under Construction</t>
        </is>
      </c>
      <c r="F46" s="83" t="inlineStr">
        <is>
          <t>No</t>
        </is>
      </c>
      <c r="G46" s="49">
        <f>COUNTIF('01_Scheme_Tracker'!$B$4:$B$453,A46)</f>
        <v/>
      </c>
      <c r="H46" s="85">
        <f>SUMIF('01_Scheme_Tracker'!$B$4:$B$453,A46,'01_Scheme_Tracker'!$S$4:$S$453)</f>
        <v/>
      </c>
      <c r="I46" s="52" t="inlineStr">
        <is>
          <t>Samangan</t>
        </is>
      </c>
      <c r="J46" s="52" t="inlineStr">
        <is>
          <t>Dara-e- Suf-e-Payeen, Dara-e- Suf-e-Bala</t>
        </is>
      </c>
      <c r="K46" s="52" t="inlineStr">
        <is>
          <t>Under Construction</t>
        </is>
      </c>
      <c r="L46" s="54" t="n">
        <v>46037</v>
      </c>
      <c r="M46" s="54" t="n">
        <v>46370</v>
      </c>
      <c r="N46" s="52" t="inlineStr">
        <is>
          <t>AFGHAN LUCKY CONSTRUCTION COMPANY (ALCC)</t>
        </is>
      </c>
      <c r="O46" s="83" t="inlineStr">
        <is>
          <t>003/2026</t>
        </is>
      </c>
      <c r="P46" s="86" t="inlineStr">
        <is>
          <t>1.Awarded contracts_On&amp;off-farm</t>
        </is>
      </c>
    </row>
    <row r="47" ht="28" customHeight="1">
      <c r="A47" s="87" t="inlineStr">
        <is>
          <t>AF2-IS-34</t>
        </is>
      </c>
      <c r="B47" s="44" t="inlineStr">
        <is>
          <t>Package #34-AF2 IS: Rehabilitation of Hashtman canal and Qashqasai canal irrigation schemes, located in Qaisar district of Faryab province.</t>
        </is>
      </c>
      <c r="C47" s="44" t="inlineStr">
        <is>
          <t>Irrigation Scheme</t>
        </is>
      </c>
      <c r="D47" s="88" t="inlineStr">
        <is>
          <t>Not awarded</t>
        </is>
      </c>
      <c r="E47" s="89" t="inlineStr">
        <is>
          <t>ITB Launched</t>
        </is>
      </c>
      <c r="F47" s="88" t="inlineStr">
        <is>
          <t>No</t>
        </is>
      </c>
      <c r="G47" s="49">
        <f>COUNTIF('01_Scheme_Tracker'!$B$4:$B$453,A47)</f>
        <v/>
      </c>
      <c r="H47" s="85">
        <f>SUMIF('01_Scheme_Tracker'!$B$4:$B$453,A47,'01_Scheme_Tracker'!$S$4:$S$453)</f>
        <v/>
      </c>
      <c r="I47" s="44" t="inlineStr">
        <is>
          <t>Faryab</t>
        </is>
      </c>
      <c r="J47" s="44" t="inlineStr">
        <is>
          <t>Qaisar</t>
        </is>
      </c>
      <c r="K47" s="44" t="inlineStr">
        <is>
          <t>ITB Launched</t>
        </is>
      </c>
      <c r="L47" s="47" t="n">
        <v>46386</v>
      </c>
      <c r="M47" s="47" t="n">
        <v>46666</v>
      </c>
      <c r="N47" s="44" t="inlineStr"/>
      <c r="O47" s="88" t="inlineStr"/>
      <c r="P47" s="90" t="inlineStr">
        <is>
          <t>2.Remain contracts_On&amp;off-farm</t>
        </is>
      </c>
    </row>
    <row r="48" ht="28" customHeight="1">
      <c r="A48" s="82" t="inlineStr">
        <is>
          <t>AF2-IS-35</t>
        </is>
      </c>
      <c r="B48" s="52" t="inlineStr">
        <is>
          <t>Package # 35-AF2 IS: Rehabilitation of Bahr-e Ameq canal irrigation scheme, located in Sozma Qala districts of Sar-e-Pul province.</t>
        </is>
      </c>
      <c r="C48" s="52" t="inlineStr">
        <is>
          <t>Irrigation Scheme</t>
        </is>
      </c>
      <c r="D48" s="83" t="inlineStr">
        <is>
          <t>Awarded</t>
        </is>
      </c>
      <c r="E48" s="93" t="inlineStr">
        <is>
          <t>Under Construction</t>
        </is>
      </c>
      <c r="F48" s="83" t="inlineStr">
        <is>
          <t>No</t>
        </is>
      </c>
      <c r="G48" s="49">
        <f>COUNTIF('01_Scheme_Tracker'!$B$4:$B$453,A48)</f>
        <v/>
      </c>
      <c r="H48" s="85">
        <f>SUMIF('01_Scheme_Tracker'!$B$4:$B$453,A48,'01_Scheme_Tracker'!$S$4:$S$453)</f>
        <v/>
      </c>
      <c r="I48" s="52" t="inlineStr">
        <is>
          <t>Sar-e- Pul</t>
        </is>
      </c>
      <c r="J48" s="52" t="inlineStr">
        <is>
          <t>Sozma Qala</t>
        </is>
      </c>
      <c r="K48" s="52" t="inlineStr">
        <is>
          <t>Under Construction</t>
        </is>
      </c>
      <c r="L48" s="54" t="n">
        <v>46070</v>
      </c>
      <c r="M48" s="54" t="n">
        <v>46403</v>
      </c>
      <c r="N48" s="52" t="inlineStr">
        <is>
          <t>Sakht shamal construction and road building company (SSCC)</t>
        </is>
      </c>
      <c r="O48" s="83" t="inlineStr">
        <is>
          <t>016/2026</t>
        </is>
      </c>
      <c r="P48" s="86" t="inlineStr">
        <is>
          <t>1.Awarded contracts_On&amp;off-farm</t>
        </is>
      </c>
    </row>
    <row r="49" ht="28" customHeight="1">
      <c r="A49" s="87" t="inlineStr">
        <is>
          <t>AF2-IS-36</t>
        </is>
      </c>
      <c r="B49" s="44" t="inlineStr">
        <is>
          <t>Package # 36-AF2 IS: Rehabilitation of Joy Shahr canal and Khanum Arabia canal irrigation schemes, located in Aqcha and Faizabad districts of Jawzjan province.</t>
        </is>
      </c>
      <c r="C49" s="44" t="inlineStr">
        <is>
          <t>Irrigation Scheme</t>
        </is>
      </c>
      <c r="D49" s="88" t="inlineStr">
        <is>
          <t>Not awarded</t>
        </is>
      </c>
      <c r="E49" s="97" t="inlineStr">
        <is>
          <t>Under LTO Review</t>
        </is>
      </c>
      <c r="F49" s="88" t="inlineStr">
        <is>
          <t>No</t>
        </is>
      </c>
      <c r="G49" s="49">
        <f>COUNTIF('01_Scheme_Tracker'!$B$4:$B$453,A49)</f>
        <v/>
      </c>
      <c r="H49" s="85">
        <f>SUMIF('01_Scheme_Tracker'!$B$4:$B$453,A49,'01_Scheme_Tracker'!$S$4:$S$453)</f>
        <v/>
      </c>
      <c r="I49" s="44" t="inlineStr">
        <is>
          <t>Jawzjan</t>
        </is>
      </c>
      <c r="J49" s="44" t="inlineStr">
        <is>
          <t>Aqcha, Faizabad</t>
        </is>
      </c>
      <c r="K49" s="44" t="inlineStr">
        <is>
          <t>Under LTO Review</t>
        </is>
      </c>
      <c r="L49" s="47" t="n">
        <v>46373</v>
      </c>
      <c r="M49" s="47" t="n">
        <v>46673</v>
      </c>
      <c r="N49" s="44" t="inlineStr"/>
      <c r="O49" s="88" t="inlineStr"/>
      <c r="P49" s="90" t="inlineStr">
        <is>
          <t>2.Remain contracts_On&amp;off-farm</t>
        </is>
      </c>
    </row>
    <row r="50" ht="28" customHeight="1">
      <c r="A50" s="82" t="inlineStr">
        <is>
          <t>AF2-IS-37</t>
        </is>
      </c>
      <c r="B50" s="52" t="inlineStr">
        <is>
          <t>Package #37-AF2 IS: Rehabilitation of Oshtorkhan, Ahangaran and Madrasa irrigation schemes, located in Firozkoh district of Ghor province.</t>
        </is>
      </c>
      <c r="C50" s="52" t="inlineStr">
        <is>
          <t>Irrigation Scheme</t>
        </is>
      </c>
      <c r="D50" s="83" t="inlineStr">
        <is>
          <t>Not awarded</t>
        </is>
      </c>
      <c r="E50" s="98" t="inlineStr">
        <is>
          <t>Under Design</t>
        </is>
      </c>
      <c r="F50" s="83" t="inlineStr">
        <is>
          <t>No</t>
        </is>
      </c>
      <c r="G50" s="49">
        <f>COUNTIF('01_Scheme_Tracker'!$B$4:$B$453,A50)</f>
        <v/>
      </c>
      <c r="H50" s="85">
        <f>SUMIF('01_Scheme_Tracker'!$B$4:$B$453,A50,'01_Scheme_Tracker'!$S$4:$S$453)</f>
        <v/>
      </c>
      <c r="I50" s="52" t="inlineStr">
        <is>
          <t>Ghor</t>
        </is>
      </c>
      <c r="J50" s="52" t="inlineStr">
        <is>
          <t>Firozkoh</t>
        </is>
      </c>
      <c r="K50" s="52" t="inlineStr">
        <is>
          <t>Under Design</t>
        </is>
      </c>
      <c r="L50" s="54" t="n">
        <v>46376</v>
      </c>
      <c r="M50" s="54" t="n">
        <v>46616</v>
      </c>
      <c r="N50" s="52" t="inlineStr"/>
      <c r="O50" s="83" t="inlineStr"/>
      <c r="P50" s="86" t="inlineStr">
        <is>
          <t>2.Remain contracts_On&amp;off-farm</t>
        </is>
      </c>
    </row>
    <row r="51" ht="28" customHeight="1">
      <c r="A51" s="87" t="inlineStr">
        <is>
          <t>AF2-LLL-ALL</t>
        </is>
      </c>
      <c r="B51" s="44" t="inlineStr">
        <is>
          <t>EFSP-AF2 LLL supply and delivery (50 units)</t>
        </is>
      </c>
      <c r="C51" s="44" t="inlineStr">
        <is>
          <t>Laser Land Leveler (LLL)</t>
        </is>
      </c>
      <c r="D51" s="88" t="inlineStr">
        <is>
          <t>Not awarded</t>
        </is>
      </c>
      <c r="E51" s="84" t="inlineStr">
        <is>
          <t>Under Awarding</t>
        </is>
      </c>
      <c r="F51" s="88" t="inlineStr">
        <is>
          <t>No</t>
        </is>
      </c>
      <c r="G51" s="49">
        <f>COUNTIF('01_Scheme_Tracker'!$B$4:$B$453,A51)</f>
        <v/>
      </c>
      <c r="H51" s="85">
        <f>SUMIF('01_Scheme_Tracker'!$B$4:$B$453,A51,'01_Scheme_Tracker'!$S$4:$S$453)</f>
        <v/>
      </c>
      <c r="I51" s="44" t="inlineStr">
        <is>
          <t>Balklh, Takhar, Herat, Laghman, Sar-E-Pul, Kunduz, Nangarhar, Samangan, Paktya, Parwan, Faryab, Ghor, Badghis, Jawzjan, Kabul, Baghlan, Kunar, Badakhshan, Logar, Midan Wardak, Paktika, Helamand, Farah, Ghazni, Urozgan, Kapisa, Kandahar, Zabul, Khost, Bamyan</t>
        </is>
      </c>
      <c r="J51" s="44" t="inlineStr">
        <is>
          <t>Chimtal, Khwaja Ghar, Karukh, Alingar, Sozma Qala, Char Dara, Lalpoora, Dara-e-Suf-e-Payeen, Zurmat, Jabul Saraj, Qaisar, Dawlatyar, Obe, Balamorghab, Aqcha, Qarabagh, Firing, Faizabad, Eshkamish, Khas kunar, Ishkashim, Kharwar, Dara-e-Suf-e-Bala, Hesa Awal Behsood, Yousif Khail, Nahri Siraj, Farah, Ghazni, Mehtherlam, Khas Urozgan, Khogiani, Qala-E-Wazir, Nijrab, Zinda Jan, Deh Sala, Spin Boldak, Pashton Zarghon, Tala Wa Barfak, Khak e Afghan, Shawalikot, Matoon, Bamiyan, Kalakan</t>
        </is>
      </c>
      <c r="K51" s="44" t="inlineStr">
        <is>
          <t>Under Awarding</t>
        </is>
      </c>
      <c r="L51" s="47" t="n">
        <v>46325</v>
      </c>
      <c r="M51" s="47" t="n">
        <v>46418</v>
      </c>
      <c r="N51" s="44" t="inlineStr"/>
      <c r="O51" s="88" t="inlineStr"/>
      <c r="P51" s="90" t="inlineStr">
        <is>
          <t>6. Supply and delivery of LLL</t>
        </is>
      </c>
    </row>
    <row r="52" ht="28" customHeight="1">
      <c r="A52" s="82" t="inlineStr">
        <is>
          <t>AF2-WSM-01</t>
        </is>
      </c>
      <c r="B52" s="52" t="inlineStr">
        <is>
          <t>Package #1-AF2 WSM: Construction of Dara Garmak Check dam, located in Qadis districts of Badghis province</t>
        </is>
      </c>
      <c r="C52" s="52" t="inlineStr">
        <is>
          <t>Watershed Management</t>
        </is>
      </c>
      <c r="D52" s="83" t="inlineStr">
        <is>
          <t>Not awarded</t>
        </is>
      </c>
      <c r="E52" s="94" t="inlineStr">
        <is>
          <t>PR to be Raised</t>
        </is>
      </c>
      <c r="F52" s="83" t="inlineStr">
        <is>
          <t>No</t>
        </is>
      </c>
      <c r="G52" s="49">
        <f>COUNTIF('01_Scheme_Tracker'!$B$4:$B$453,A52)</f>
        <v/>
      </c>
      <c r="H52" s="85">
        <f>SUMIF('01_Scheme_Tracker'!$B$4:$B$453,A52,'01_Scheme_Tracker'!$S$4:$S$453)</f>
        <v/>
      </c>
      <c r="I52" s="52" t="inlineStr">
        <is>
          <t>Badghis</t>
        </is>
      </c>
      <c r="J52" s="52" t="inlineStr">
        <is>
          <t>Qadis</t>
        </is>
      </c>
      <c r="K52" s="52" t="inlineStr">
        <is>
          <t>PR to be Raised</t>
        </is>
      </c>
      <c r="L52" s="54" t="n">
        <v>46361</v>
      </c>
      <c r="M52" s="54" t="n">
        <v>46631</v>
      </c>
      <c r="N52" s="52" t="inlineStr"/>
      <c r="O52" s="83" t="inlineStr"/>
      <c r="P52" s="86" t="inlineStr">
        <is>
          <t>4.WSM remaining contracts</t>
        </is>
      </c>
    </row>
    <row r="53" ht="28" customHeight="1">
      <c r="A53" s="87" t="inlineStr">
        <is>
          <t>AF2-WSM-02</t>
        </is>
      </c>
      <c r="B53" s="44" t="inlineStr">
        <is>
          <t>Package #2 -AF2 WSM: Construction of 1. Dareh Shah Toot-1, 2. Dareh ShahToot-2, and 3. Jar Sono check dams in Obe District of Herat Province</t>
        </is>
      </c>
      <c r="C53" s="44" t="inlineStr">
        <is>
          <t>Watershed Management</t>
        </is>
      </c>
      <c r="D53" s="88" t="inlineStr">
        <is>
          <t>Awarded</t>
        </is>
      </c>
      <c r="E53" s="93" t="inlineStr">
        <is>
          <t>Under Construction</t>
        </is>
      </c>
      <c r="F53" s="88" t="inlineStr">
        <is>
          <t>No</t>
        </is>
      </c>
      <c r="G53" s="49">
        <f>COUNTIF('01_Scheme_Tracker'!$B$4:$B$453,A53)</f>
        <v/>
      </c>
      <c r="H53" s="85">
        <f>SUMIF('01_Scheme_Tracker'!$B$4:$B$453,A53,'01_Scheme_Tracker'!$S$4:$S$453)</f>
        <v/>
      </c>
      <c r="I53" s="44" t="inlineStr">
        <is>
          <t>Herat</t>
        </is>
      </c>
      <c r="J53" s="44" t="inlineStr">
        <is>
          <t>Obe</t>
        </is>
      </c>
      <c r="K53" s="44" t="inlineStr">
        <is>
          <t>Under Construction</t>
        </is>
      </c>
      <c r="L53" s="47" t="n">
        <v>46062</v>
      </c>
      <c r="M53" s="47" t="n">
        <v>46364</v>
      </c>
      <c r="N53" s="44" t="inlineStr">
        <is>
          <t>Shams Afghan Vision Construction and Logistic Services (SAVCC)</t>
        </is>
      </c>
      <c r="O53" s="88" t="inlineStr">
        <is>
          <t>014/2026</t>
        </is>
      </c>
      <c r="P53" s="90" t="inlineStr">
        <is>
          <t>3.WSM awarded contracts</t>
        </is>
      </c>
    </row>
    <row r="54" ht="28" customHeight="1">
      <c r="A54" s="82" t="inlineStr">
        <is>
          <t>AF2-WSM-03</t>
        </is>
      </c>
      <c r="B54" s="52" t="inlineStr">
        <is>
          <t>Package #3 -AF2 WSM: Construction of Koklam three Check Dams (# 1, # 2 and # 3 ) in Kushk-e-Kohna District of Herat Province</t>
        </is>
      </c>
      <c r="C54" s="52" t="inlineStr">
        <is>
          <t>Watershed Management</t>
        </is>
      </c>
      <c r="D54" s="83" t="inlineStr">
        <is>
          <t>Awarded</t>
        </is>
      </c>
      <c r="E54" s="93" t="inlineStr">
        <is>
          <t>Under Construction</t>
        </is>
      </c>
      <c r="F54" s="83" t="inlineStr">
        <is>
          <t>No</t>
        </is>
      </c>
      <c r="G54" s="49">
        <f>COUNTIF('01_Scheme_Tracker'!$B$4:$B$453,A54)</f>
        <v/>
      </c>
      <c r="H54" s="85">
        <f>SUMIF('01_Scheme_Tracker'!$B$4:$B$453,A54,'01_Scheme_Tracker'!$S$4:$S$453)</f>
        <v/>
      </c>
      <c r="I54" s="52" t="inlineStr">
        <is>
          <t>Herat</t>
        </is>
      </c>
      <c r="J54" s="52" t="inlineStr">
        <is>
          <t>Koshk-e-Kohna</t>
        </is>
      </c>
      <c r="K54" s="52" t="inlineStr">
        <is>
          <t>Under Construction</t>
        </is>
      </c>
      <c r="L54" s="54" t="n">
        <v>46043</v>
      </c>
      <c r="M54" s="54" t="n">
        <v>46346</v>
      </c>
      <c r="N54" s="52" t="inlineStr">
        <is>
          <t>Afghan Aakam Construction and Road Company. JV with D- Amini Mashwani Construction Company (AACC)</t>
        </is>
      </c>
      <c r="O54" s="83" t="inlineStr">
        <is>
          <t>006/2026</t>
        </is>
      </c>
      <c r="P54" s="86" t="inlineStr">
        <is>
          <t>3.WSM awarded contracts</t>
        </is>
      </c>
    </row>
    <row r="55" ht="28" customHeight="1">
      <c r="A55" s="87" t="inlineStr">
        <is>
          <t>AF2-WSM-04</t>
        </is>
      </c>
      <c r="B55" s="44" t="inlineStr">
        <is>
          <t>Package #4-AF2 WSM: Construction of .Qalai Gerd check dam in Firozkoh dustrict of Ghor province.</t>
        </is>
      </c>
      <c r="C55" s="44" t="inlineStr">
        <is>
          <t>Watershed Management</t>
        </is>
      </c>
      <c r="D55" s="88" t="inlineStr">
        <is>
          <t>Not awarded</t>
        </is>
      </c>
      <c r="E55" s="94" t="inlineStr">
        <is>
          <t>PR to be Raised</t>
        </is>
      </c>
      <c r="F55" s="88" t="inlineStr">
        <is>
          <t>No</t>
        </is>
      </c>
      <c r="G55" s="49">
        <f>COUNTIF('01_Scheme_Tracker'!$B$4:$B$453,A55)</f>
        <v/>
      </c>
      <c r="H55" s="85">
        <f>SUMIF('01_Scheme_Tracker'!$B$4:$B$453,A55,'01_Scheme_Tracker'!$S$4:$S$453)</f>
        <v/>
      </c>
      <c r="I55" s="44" t="inlineStr">
        <is>
          <t>Ghor</t>
        </is>
      </c>
      <c r="J55" s="44" t="inlineStr">
        <is>
          <t>Firozkoh</t>
        </is>
      </c>
      <c r="K55" s="44" t="inlineStr">
        <is>
          <t>PR to be Raised</t>
        </is>
      </c>
      <c r="L55" s="47" t="n">
        <v>46366</v>
      </c>
      <c r="M55" s="47" t="n">
        <v>46666</v>
      </c>
      <c r="N55" s="44" t="inlineStr"/>
      <c r="O55" s="88" t="inlineStr"/>
      <c r="P55" s="90" t="inlineStr">
        <is>
          <t>4.WSM remaining contracts</t>
        </is>
      </c>
    </row>
    <row r="56" ht="28" customHeight="1">
      <c r="A56" s="82" t="inlineStr">
        <is>
          <t>AF2-WSM-05</t>
        </is>
      </c>
      <c r="B56" s="52" t="inlineStr">
        <is>
          <t>Package #5-AF2 WSM/Part-2: Construction of 4 Check dams of 1.Farman Khil and 2.Kharoti in Qarghaee district of Laghman province; 3. Lokhy Solozi and 4. Lala Kali in Chaparhar districts of Nangarhar province.</t>
        </is>
      </c>
      <c r="C56" s="52" t="inlineStr">
        <is>
          <t>Watershed Management</t>
        </is>
      </c>
      <c r="D56" s="83" t="inlineStr">
        <is>
          <t>Awarded</t>
        </is>
      </c>
      <c r="E56" s="96" t="inlineStr">
        <is>
          <t>Awarded</t>
        </is>
      </c>
      <c r="F56" s="83" t="inlineStr">
        <is>
          <t>Yes</t>
        </is>
      </c>
      <c r="G56" s="49">
        <f>COUNTIF('01_Scheme_Tracker'!$B$4:$B$453,A56)</f>
        <v/>
      </c>
      <c r="H56" s="85">
        <f>SUMIF('01_Scheme_Tracker'!$B$4:$B$453,A56,'01_Scheme_Tracker'!$S$4:$S$453)</f>
        <v/>
      </c>
      <c r="I56" s="52" t="inlineStr">
        <is>
          <t>Laghman, Nangarhar</t>
        </is>
      </c>
      <c r="J56" s="52" t="inlineStr">
        <is>
          <t>Qarghaee, Chaparhar</t>
        </is>
      </c>
      <c r="K56" s="52" t="inlineStr">
        <is>
          <t>Under Construction, Awarded</t>
        </is>
      </c>
      <c r="L56" s="54" t="n">
        <v>46172</v>
      </c>
      <c r="M56" s="54" t="n">
        <v>46324</v>
      </c>
      <c r="N56" s="52" t="inlineStr">
        <is>
          <t>Khaliqi Building &amp; Road Construction Company (KBRCC)</t>
        </is>
      </c>
      <c r="O56" s="83" t="inlineStr">
        <is>
          <t>040/2026</t>
        </is>
      </c>
      <c r="P56" s="86" t="inlineStr">
        <is>
          <t>3.WSM awarded contracts</t>
        </is>
      </c>
    </row>
    <row r="57" ht="28" customHeight="1">
      <c r="A57" s="87" t="inlineStr">
        <is>
          <t>AF2-WSM-06</t>
        </is>
      </c>
      <c r="B57" s="44" t="inlineStr">
        <is>
          <t>Package #6-AF2 WSM: Construction of Jarobi Tangi, Chaghari and Adore check dams, located in Shirzad, Rodat, and Khogyani, districts of Nangarhar province.</t>
        </is>
      </c>
      <c r="C57" s="44" t="inlineStr">
        <is>
          <t>Watershed Management</t>
        </is>
      </c>
      <c r="D57" s="88" t="inlineStr">
        <is>
          <t>Awarded</t>
        </is>
      </c>
      <c r="E57" s="92" t="inlineStr">
        <is>
          <t>Completed / Handover</t>
        </is>
      </c>
      <c r="F57" s="88" t="inlineStr">
        <is>
          <t>No</t>
        </is>
      </c>
      <c r="G57" s="49">
        <f>COUNTIF('01_Scheme_Tracker'!$B$4:$B$453,A57)</f>
        <v/>
      </c>
      <c r="H57" s="85">
        <f>SUMIF('01_Scheme_Tracker'!$B$4:$B$453,A57,'01_Scheme_Tracker'!$S$4:$S$453)</f>
        <v/>
      </c>
      <c r="I57" s="44" t="inlineStr">
        <is>
          <t>Nangarhar</t>
        </is>
      </c>
      <c r="J57" s="44" t="inlineStr">
        <is>
          <t>Sherzad, Rodat, Khogyani</t>
        </is>
      </c>
      <c r="K57" s="44" t="inlineStr">
        <is>
          <t>Completed / Handover</t>
        </is>
      </c>
      <c r="L57" s="47" t="n">
        <v>46014</v>
      </c>
      <c r="M57" s="47" t="n">
        <v>46225</v>
      </c>
      <c r="N57" s="44" t="inlineStr">
        <is>
          <t>Naeemi Safi Construction &amp; Construction Material Company (NSCC)</t>
        </is>
      </c>
      <c r="O57" s="88" t="inlineStr">
        <is>
          <t>065/2026</t>
        </is>
      </c>
      <c r="P57" s="90" t="inlineStr">
        <is>
          <t>3.WSM awarded contracts</t>
        </is>
      </c>
    </row>
    <row r="58" ht="28" customHeight="1">
      <c r="A58" s="82" t="inlineStr">
        <is>
          <t>AF2-WSM-07</t>
        </is>
      </c>
      <c r="B58" s="52" t="inlineStr">
        <is>
          <t>Package #7-AF2 WSM: Construction of 3 Check dams of 1.Dargrak, 2. Migano, and 3.Lachagali the Sawkai, Khas Kunar and Narang districts of Kunar province.</t>
        </is>
      </c>
      <c r="C58" s="52" t="inlineStr">
        <is>
          <t>Watershed Management</t>
        </is>
      </c>
      <c r="D58" s="83" t="inlineStr">
        <is>
          <t>Awarded</t>
        </is>
      </c>
      <c r="E58" s="96" t="inlineStr">
        <is>
          <t>Awarded</t>
        </is>
      </c>
      <c r="F58" s="83" t="inlineStr">
        <is>
          <t>No</t>
        </is>
      </c>
      <c r="G58" s="49">
        <f>COUNTIF('01_Scheme_Tracker'!$B$4:$B$453,A58)</f>
        <v/>
      </c>
      <c r="H58" s="85">
        <f>SUMIF('01_Scheme_Tracker'!$B$4:$B$453,A58,'01_Scheme_Tracker'!$S$4:$S$453)</f>
        <v/>
      </c>
      <c r="I58" s="52" t="inlineStr">
        <is>
          <t>Kunar</t>
        </is>
      </c>
      <c r="J58" s="52" t="inlineStr">
        <is>
          <t>Sawkai, Narang, Khas Kunar</t>
        </is>
      </c>
      <c r="K58" s="52" t="inlineStr">
        <is>
          <t>Awarded</t>
        </is>
      </c>
      <c r="L58" s="54" t="n">
        <v>46306</v>
      </c>
      <c r="M58" s="54" t="n">
        <v>46456</v>
      </c>
      <c r="N58" s="52" t="inlineStr">
        <is>
          <t>Green Bentley construction Company (GBCC)</t>
        </is>
      </c>
      <c r="O58" s="83" t="inlineStr">
        <is>
          <t>064/2026</t>
        </is>
      </c>
      <c r="P58" s="86" t="inlineStr">
        <is>
          <t>3.WSM awarded contracts</t>
        </is>
      </c>
    </row>
    <row r="59" ht="28" customHeight="1">
      <c r="A59" s="87" t="inlineStr">
        <is>
          <t>AF2-WSM-08</t>
        </is>
      </c>
      <c r="B59" s="44" t="inlineStr">
        <is>
          <t>Package #8-AF2 WSM: Construction of 1.Ghazgai Check dam in Khake Jabar districts, 2.Toop Dara Check dam and 3.Toot Dara Check dam in Center/ 13th City district Kabul province.</t>
        </is>
      </c>
      <c r="C59" s="44" t="inlineStr">
        <is>
          <t>Watershed Management</t>
        </is>
      </c>
      <c r="D59" s="88" t="inlineStr">
        <is>
          <t>Awarded</t>
        </is>
      </c>
      <c r="E59" s="92" t="inlineStr">
        <is>
          <t>Completed / Handover</t>
        </is>
      </c>
      <c r="F59" s="88" t="inlineStr">
        <is>
          <t>No</t>
        </is>
      </c>
      <c r="G59" s="49">
        <f>COUNTIF('01_Scheme_Tracker'!$B$4:$B$453,A59)</f>
        <v/>
      </c>
      <c r="H59" s="85">
        <f>SUMIF('01_Scheme_Tracker'!$B$4:$B$453,A59,'01_Scheme_Tracker'!$S$4:$S$453)</f>
        <v/>
      </c>
      <c r="I59" s="44" t="inlineStr">
        <is>
          <t>Kabul</t>
        </is>
      </c>
      <c r="J59" s="44" t="inlineStr">
        <is>
          <t>Center, Khake Jabar</t>
        </is>
      </c>
      <c r="K59" s="44" t="inlineStr">
        <is>
          <t>Completed / Handover</t>
        </is>
      </c>
      <c r="L59" s="47" t="n">
        <v>46042</v>
      </c>
      <c r="M59" s="47" t="n">
        <v>46253</v>
      </c>
      <c r="N59" s="44" t="inlineStr">
        <is>
          <t>ALTIN CONSTRUCTION AND ROAD BUILDING COMPANY (ACC)</t>
        </is>
      </c>
      <c r="O59" s="88" t="inlineStr">
        <is>
          <t>005/2026</t>
        </is>
      </c>
      <c r="P59" s="90" t="inlineStr">
        <is>
          <t>3.WSM awarded contracts</t>
        </is>
      </c>
    </row>
    <row r="60" ht="28" customHeight="1">
      <c r="A60" s="82" t="inlineStr">
        <is>
          <t>AF2-WSM-09</t>
        </is>
      </c>
      <c r="B60" s="52" t="inlineStr">
        <is>
          <t>Package #9-AF2 WSM: Construction of 1.Aka Khil Check dam and 2. Sra Qala Check dam in Sayed district, 3.Khar Check dam and 4.Mardala Check dam, located in Jaghatu districts of Wardak province.</t>
        </is>
      </c>
      <c r="C60" s="52" t="inlineStr">
        <is>
          <t>Watershed Management</t>
        </is>
      </c>
      <c r="D60" s="83" t="inlineStr">
        <is>
          <t>Awarded</t>
        </is>
      </c>
      <c r="E60" s="92" t="inlineStr">
        <is>
          <t>Completed / Handover</t>
        </is>
      </c>
      <c r="F60" s="83" t="inlineStr">
        <is>
          <t>No</t>
        </is>
      </c>
      <c r="G60" s="49">
        <f>COUNTIF('01_Scheme_Tracker'!$B$4:$B$453,A60)</f>
        <v/>
      </c>
      <c r="H60" s="85">
        <f>SUMIF('01_Scheme_Tracker'!$B$4:$B$453,A60,'01_Scheme_Tracker'!$S$4:$S$453)</f>
        <v/>
      </c>
      <c r="I60" s="52" t="inlineStr">
        <is>
          <t>Maidan Wardak</t>
        </is>
      </c>
      <c r="J60" s="52" t="inlineStr">
        <is>
          <t>Sayed Abad, Jaghatu</t>
        </is>
      </c>
      <c r="K60" s="52" t="inlineStr">
        <is>
          <t>Completed / Handover</t>
        </is>
      </c>
      <c r="L60" s="54" t="n">
        <v>46091</v>
      </c>
      <c r="M60" s="54" t="n">
        <v>46303</v>
      </c>
      <c r="N60" s="52" t="inlineStr">
        <is>
          <t>Sayed Abad Construction Company (SACC)</t>
        </is>
      </c>
      <c r="O60" s="83" t="inlineStr">
        <is>
          <t>021/2026</t>
        </is>
      </c>
      <c r="P60" s="86" t="inlineStr">
        <is>
          <t>3.WSM awarded contracts</t>
        </is>
      </c>
    </row>
    <row r="61" ht="28" customHeight="1">
      <c r="A61" s="87" t="inlineStr">
        <is>
          <t>AF2-WSM-10</t>
        </is>
      </c>
      <c r="B61" s="44" t="inlineStr">
        <is>
          <t>Package #10-AF2 WSM: Construction of Loy Shenkai Check dams # 1 and # 2 in Tagab district, and Shahr-e-Naw Check dam # 3 located in Nijrab districts of Kapisa province.</t>
        </is>
      </c>
      <c r="C61" s="44" t="inlineStr">
        <is>
          <t>Watershed Management</t>
        </is>
      </c>
      <c r="D61" s="88" t="inlineStr">
        <is>
          <t>Awarded</t>
        </is>
      </c>
      <c r="E61" s="92" t="inlineStr">
        <is>
          <t>Completed / Handover</t>
        </is>
      </c>
      <c r="F61" s="88" t="inlineStr">
        <is>
          <t>No</t>
        </is>
      </c>
      <c r="G61" s="49">
        <f>COUNTIF('01_Scheme_Tracker'!$B$4:$B$453,A61)</f>
        <v/>
      </c>
      <c r="H61" s="85">
        <f>SUMIF('01_Scheme_Tracker'!$B$4:$B$453,A61,'01_Scheme_Tracker'!$S$4:$S$453)</f>
        <v/>
      </c>
      <c r="I61" s="44" t="inlineStr">
        <is>
          <t>Kapisa</t>
        </is>
      </c>
      <c r="J61" s="44" t="inlineStr">
        <is>
          <t>Tagab, Nijrab</t>
        </is>
      </c>
      <c r="K61" s="44" t="inlineStr">
        <is>
          <t>Completed / Handover</t>
        </is>
      </c>
      <c r="L61" s="47" t="n">
        <v>46090</v>
      </c>
      <c r="M61" s="47" t="n">
        <v>46273</v>
      </c>
      <c r="N61" s="44" t="inlineStr">
        <is>
          <t>Kapisa Kohna Dah Construction Company (KKCC)</t>
        </is>
      </c>
      <c r="O61" s="88" t="inlineStr">
        <is>
          <t>020/2026</t>
        </is>
      </c>
      <c r="P61" s="90" t="inlineStr">
        <is>
          <t>3.WSM awarded contracts</t>
        </is>
      </c>
    </row>
    <row r="62" ht="28" customHeight="1">
      <c r="A62" s="82" t="inlineStr">
        <is>
          <t>AF2-WSM-11</t>
        </is>
      </c>
      <c r="B62" s="52" t="inlineStr">
        <is>
          <t>Package #11-AF2 WSM: Construction of 3 Check dams 1.Wolangak in Shikh Ali, 2.Sanzalai, and 3.Sharkai Olia in Koh-e-Safi district of Parwan province.</t>
        </is>
      </c>
      <c r="C62" s="52" t="inlineStr">
        <is>
          <t>Watershed Management</t>
        </is>
      </c>
      <c r="D62" s="83" t="inlineStr">
        <is>
          <t>Awarded</t>
        </is>
      </c>
      <c r="E62" s="96" t="inlineStr">
        <is>
          <t>Awarded</t>
        </is>
      </c>
      <c r="F62" s="83" t="inlineStr">
        <is>
          <t>Yes</t>
        </is>
      </c>
      <c r="G62" s="49">
        <f>COUNTIF('01_Scheme_Tracker'!$B$4:$B$453,A62)</f>
        <v/>
      </c>
      <c r="H62" s="85">
        <f>SUMIF('01_Scheme_Tracker'!$B$4:$B$453,A62,'01_Scheme_Tracker'!$S$4:$S$453)</f>
        <v/>
      </c>
      <c r="I62" s="52" t="inlineStr">
        <is>
          <t>Parwan</t>
        </is>
      </c>
      <c r="J62" s="52" t="inlineStr">
        <is>
          <t>Koh-e-Safi, Shikh Ali</t>
        </is>
      </c>
      <c r="K62" s="52" t="inlineStr">
        <is>
          <t>Under Construction, Awarded</t>
        </is>
      </c>
      <c r="L62" s="54" t="n">
        <v>46197</v>
      </c>
      <c r="M62" s="54" t="n">
        <v>46349</v>
      </c>
      <c r="N62" s="52" t="inlineStr">
        <is>
          <t>Hemat Ghorzang Construction &amp; Logistic Service Company (HGCC)</t>
        </is>
      </c>
      <c r="O62" s="83" t="inlineStr">
        <is>
          <t>043/2026</t>
        </is>
      </c>
      <c r="P62" s="86" t="inlineStr">
        <is>
          <t>3.WSM awarded contracts</t>
        </is>
      </c>
    </row>
    <row r="63" ht="28" customHeight="1">
      <c r="A63" s="87" t="inlineStr">
        <is>
          <t>AF2-WSM-12</t>
        </is>
      </c>
      <c r="B63" s="44" t="inlineStr">
        <is>
          <t>Package #12-AF2 WSM: Construction of 4 Check dams 1. Qoli Ghafoor, 2. Dara-e-Qala-e-Qazi in PD#13 Kabul city, 3.Gul Mohammad and 4.Qala-e-Shah Mahmood in Deh Sabz district of Kabul province.</t>
        </is>
      </c>
      <c r="C63" s="44" t="inlineStr">
        <is>
          <t>Watershed Management</t>
        </is>
      </c>
      <c r="D63" s="88" t="inlineStr">
        <is>
          <t>Not awarded</t>
        </is>
      </c>
      <c r="E63" s="94" t="inlineStr">
        <is>
          <t>PR to be Raised</t>
        </is>
      </c>
      <c r="F63" s="88" t="inlineStr">
        <is>
          <t>No</t>
        </is>
      </c>
      <c r="G63" s="49">
        <f>COUNTIF('01_Scheme_Tracker'!$B$4:$B$453,A63)</f>
        <v/>
      </c>
      <c r="H63" s="85">
        <f>SUMIF('01_Scheme_Tracker'!$B$4:$B$453,A63,'01_Scheme_Tracker'!$S$4:$S$453)</f>
        <v/>
      </c>
      <c r="I63" s="44" t="inlineStr">
        <is>
          <t>Kabul</t>
        </is>
      </c>
      <c r="J63" s="44" t="inlineStr">
        <is>
          <t>Deh Sabz, PD#13 Kabul</t>
        </is>
      </c>
      <c r="K63" s="44" t="inlineStr">
        <is>
          <t>PR to be Raised</t>
        </is>
      </c>
      <c r="L63" s="47" t="n">
        <v>46371</v>
      </c>
      <c r="M63" s="47" t="n">
        <v>46641</v>
      </c>
      <c r="N63" s="44" t="inlineStr"/>
      <c r="O63" s="88" t="inlineStr"/>
      <c r="P63" s="90" t="inlineStr">
        <is>
          <t>4.WSM remaining contracts</t>
        </is>
      </c>
    </row>
    <row r="64" ht="28" customHeight="1">
      <c r="A64" s="82" t="inlineStr">
        <is>
          <t>AF2-WSM-13</t>
        </is>
      </c>
      <c r="B64" s="52" t="inlineStr">
        <is>
          <t>Package #13-AF2 WSM: Construction of 4 Check Dams in 4 district sites of 1.Kata Khana in Yakawlang , 2. Nawora in Panjab, 3.Nahorak in Waras, and 4.Bayani in Sayghan districts of Bamyan province</t>
        </is>
      </c>
      <c r="C64" s="52" t="inlineStr">
        <is>
          <t>Watershed Management</t>
        </is>
      </c>
      <c r="D64" s="83" t="inlineStr">
        <is>
          <t>Awarded</t>
        </is>
      </c>
      <c r="E64" s="93" t="inlineStr">
        <is>
          <t>Under Construction</t>
        </is>
      </c>
      <c r="F64" s="83" t="inlineStr">
        <is>
          <t>No</t>
        </is>
      </c>
      <c r="G64" s="49">
        <f>COUNTIF('01_Scheme_Tracker'!$B$4:$B$453,A64)</f>
        <v/>
      </c>
      <c r="H64" s="85">
        <f>SUMIF('01_Scheme_Tracker'!$B$4:$B$453,A64,'01_Scheme_Tracker'!$S$4:$S$453)</f>
        <v/>
      </c>
      <c r="I64" s="52" t="inlineStr">
        <is>
          <t>Bamyan</t>
        </is>
      </c>
      <c r="J64" s="52" t="inlineStr">
        <is>
          <t>Yakawalang, Panjab, Waras, Sayghan</t>
        </is>
      </c>
      <c r="K64" s="52" t="inlineStr">
        <is>
          <t>Under Construction</t>
        </is>
      </c>
      <c r="L64" s="54" t="n">
        <v>46225</v>
      </c>
      <c r="M64" s="54" t="n">
        <v>46439</v>
      </c>
      <c r="N64" s="52" t="inlineStr">
        <is>
          <t>Estehkam Baba Construction and Road Construction Company (EBCC)</t>
        </is>
      </c>
      <c r="O64" s="83" t="inlineStr">
        <is>
          <t>051/2026</t>
        </is>
      </c>
      <c r="P64" s="86" t="inlineStr">
        <is>
          <t>3.WSM awarded contracts</t>
        </is>
      </c>
    </row>
    <row r="65" ht="28" customHeight="1">
      <c r="A65" s="87" t="inlineStr">
        <is>
          <t>AF2-WSM-14</t>
        </is>
      </c>
      <c r="B65" s="44" t="inlineStr">
        <is>
          <t>Package #14-AF2 WSM: Construction of 1.Shahristan Check dama in Shahristan district, 2.Miramor Check dam in Miramor district, and 3.Khidir Check dams in Khidir districts of Daykundi province.</t>
        </is>
      </c>
      <c r="C65" s="44" t="inlineStr">
        <is>
          <t>Watershed Management</t>
        </is>
      </c>
      <c r="D65" s="88" t="inlineStr">
        <is>
          <t>Awarded</t>
        </is>
      </c>
      <c r="E65" s="92" t="inlineStr">
        <is>
          <t>Completed / Handover</t>
        </is>
      </c>
      <c r="F65" s="88" t="inlineStr">
        <is>
          <t>No</t>
        </is>
      </c>
      <c r="G65" s="49">
        <f>COUNTIF('01_Scheme_Tracker'!$B$4:$B$453,A65)</f>
        <v/>
      </c>
      <c r="H65" s="85">
        <f>SUMIF('01_Scheme_Tracker'!$B$4:$B$453,A65,'01_Scheme_Tracker'!$S$4:$S$453)</f>
        <v/>
      </c>
      <c r="I65" s="44" t="inlineStr">
        <is>
          <t>Daykundi</t>
        </is>
      </c>
      <c r="J65" s="44" t="inlineStr">
        <is>
          <t>Shahristan, Miramor, Khidir</t>
        </is>
      </c>
      <c r="K65" s="44" t="inlineStr">
        <is>
          <t>Completed / Handover</t>
        </is>
      </c>
      <c r="L65" s="47" t="n">
        <v>46113</v>
      </c>
      <c r="M65" s="47" t="n">
        <v>46325</v>
      </c>
      <c r="N65" s="44" t="inlineStr">
        <is>
          <t>Da Maidan Zawahnono Construction Company (DMZCC)</t>
        </is>
      </c>
      <c r="O65" s="88" t="inlineStr">
        <is>
          <t>025/2026</t>
        </is>
      </c>
      <c r="P65" s="90" t="inlineStr">
        <is>
          <t>3.WSM awarded contracts</t>
        </is>
      </c>
    </row>
    <row r="66" ht="28" customHeight="1">
      <c r="A66" s="82" t="inlineStr">
        <is>
          <t>AF2-WSM-15</t>
        </is>
      </c>
      <c r="B66" s="52" t="inlineStr">
        <is>
          <t>Package #15-AF2 WSM: Construction of 3 Check dams of 1. Sangmom, 2. Shilan Korga, and 3.Khulbar in Nili, Ashtarlay, and Sang Takhta districts of Daykundi province.</t>
        </is>
      </c>
      <c r="C66" s="52" t="inlineStr">
        <is>
          <t>Watershed Management</t>
        </is>
      </c>
      <c r="D66" s="83" t="inlineStr">
        <is>
          <t>Awarded</t>
        </is>
      </c>
      <c r="E66" s="96" t="inlineStr">
        <is>
          <t>Awarded</t>
        </is>
      </c>
      <c r="F66" s="83" t="inlineStr">
        <is>
          <t>No</t>
        </is>
      </c>
      <c r="G66" s="49">
        <f>COUNTIF('01_Scheme_Tracker'!$B$4:$B$453,A66)</f>
        <v/>
      </c>
      <c r="H66" s="85">
        <f>SUMIF('01_Scheme_Tracker'!$B$4:$B$453,A66,'01_Scheme_Tracker'!$S$4:$S$453)</f>
        <v/>
      </c>
      <c r="I66" s="52" t="inlineStr">
        <is>
          <t>Daykundi</t>
        </is>
      </c>
      <c r="J66" s="52" t="inlineStr">
        <is>
          <t>Sang Takht wa Bandar, Nili, Ashtarlay</t>
        </is>
      </c>
      <c r="K66" s="52" t="inlineStr">
        <is>
          <t>Awarded</t>
        </is>
      </c>
      <c r="L66" s="54" t="n">
        <v>46303</v>
      </c>
      <c r="M66" s="54" t="n">
        <v>46453</v>
      </c>
      <c r="N66" s="52" t="inlineStr">
        <is>
          <t>Bahartamadun Construction Company (BCC)</t>
        </is>
      </c>
      <c r="O66" s="83" t="inlineStr">
        <is>
          <t>065/2026</t>
        </is>
      </c>
      <c r="P66" s="86" t="inlineStr">
        <is>
          <t>3.WSM awarded contracts</t>
        </is>
      </c>
    </row>
    <row r="67" ht="28" customHeight="1">
      <c r="A67" s="87" t="inlineStr">
        <is>
          <t>AF2-WSM-16</t>
        </is>
      </c>
      <c r="B67" s="44" t="inlineStr">
        <is>
          <t>Package #16-AF2 WSM: Construction of Panami Check dams, located in Mohammad Agha district of Logar province.</t>
        </is>
      </c>
      <c r="C67" s="44" t="inlineStr">
        <is>
          <t>Watershed Management</t>
        </is>
      </c>
      <c r="D67" s="88" t="inlineStr">
        <is>
          <t>Awarded</t>
        </is>
      </c>
      <c r="E67" s="93" t="inlineStr">
        <is>
          <t>Under Construction</t>
        </is>
      </c>
      <c r="F67" s="88" t="inlineStr">
        <is>
          <t>No</t>
        </is>
      </c>
      <c r="G67" s="49">
        <f>COUNTIF('01_Scheme_Tracker'!$B$4:$B$453,A67)</f>
        <v/>
      </c>
      <c r="H67" s="85">
        <f>SUMIF('01_Scheme_Tracker'!$B$4:$B$453,A67,'01_Scheme_Tracker'!$S$4:$S$453)</f>
        <v/>
      </c>
      <c r="I67" s="44" t="inlineStr">
        <is>
          <t>Logar</t>
        </is>
      </c>
      <c r="J67" s="44" t="inlineStr">
        <is>
          <t>M.Agha</t>
        </is>
      </c>
      <c r="K67" s="44" t="inlineStr">
        <is>
          <t>Under Construction</t>
        </is>
      </c>
      <c r="L67" s="47" t="n">
        <v>46130</v>
      </c>
      <c r="M67" s="47" t="n">
        <v>46343</v>
      </c>
      <c r="N67" s="44" t="inlineStr">
        <is>
          <t>Sayed Shirazi Construction and Road Building Company (SCRC)</t>
        </is>
      </c>
      <c r="O67" s="88" t="inlineStr">
        <is>
          <t>030/2026</t>
        </is>
      </c>
      <c r="P67" s="90" t="inlineStr">
        <is>
          <t>3.WSM awarded contracts</t>
        </is>
      </c>
    </row>
    <row r="68" ht="28" customHeight="1">
      <c r="A68" s="82" t="inlineStr">
        <is>
          <t>AF2-WSM-17</t>
        </is>
      </c>
      <c r="B68" s="52" t="inlineStr">
        <is>
          <t>Package #17-AF2 WSM: Construction of Ghoriza Check dams, located in Sayed Karam districts of Paktya province.</t>
        </is>
      </c>
      <c r="C68" s="52" t="inlineStr">
        <is>
          <t>Watershed Management</t>
        </is>
      </c>
      <c r="D68" s="83" t="inlineStr">
        <is>
          <t>Not awarded</t>
        </is>
      </c>
      <c r="E68" s="94" t="inlineStr">
        <is>
          <t>PR to be Raised</t>
        </is>
      </c>
      <c r="F68" s="83" t="inlineStr">
        <is>
          <t>No</t>
        </is>
      </c>
      <c r="G68" s="49">
        <f>COUNTIF('01_Scheme_Tracker'!$B$4:$B$453,A68)</f>
        <v/>
      </c>
      <c r="H68" s="85">
        <f>SUMIF('01_Scheme_Tracker'!$B$4:$B$453,A68,'01_Scheme_Tracker'!$S$4:$S$453)</f>
        <v/>
      </c>
      <c r="I68" s="52" t="inlineStr">
        <is>
          <t>Paktya</t>
        </is>
      </c>
      <c r="J68" s="52" t="inlineStr">
        <is>
          <t>Sayed Karam</t>
        </is>
      </c>
      <c r="K68" s="52" t="inlineStr">
        <is>
          <t>PR to be Raised</t>
        </is>
      </c>
      <c r="L68" s="54" t="n">
        <v>46346</v>
      </c>
      <c r="M68" s="54" t="n">
        <v>46566</v>
      </c>
      <c r="N68" s="52" t="inlineStr"/>
      <c r="O68" s="83" t="inlineStr"/>
      <c r="P68" s="86" t="inlineStr">
        <is>
          <t>4.WSM remaining contracts</t>
        </is>
      </c>
    </row>
    <row r="69" ht="28" customHeight="1">
      <c r="A69" s="87" t="inlineStr">
        <is>
          <t>AF2-WSM-18</t>
        </is>
      </c>
      <c r="B69" s="44" t="inlineStr">
        <is>
          <t>Package #18-AF2 WSM: Construction of Muqarab Check dams, located in Gelan districts of Ghazni province.</t>
        </is>
      </c>
      <c r="C69" s="44" t="inlineStr">
        <is>
          <t>Watershed Management</t>
        </is>
      </c>
      <c r="D69" s="88" t="inlineStr">
        <is>
          <t>Awarded</t>
        </is>
      </c>
      <c r="E69" s="93" t="inlineStr">
        <is>
          <t>Under Construction</t>
        </is>
      </c>
      <c r="F69" s="88" t="inlineStr">
        <is>
          <t>No</t>
        </is>
      </c>
      <c r="G69" s="49">
        <f>COUNTIF('01_Scheme_Tracker'!$B$4:$B$453,A69)</f>
        <v/>
      </c>
      <c r="H69" s="85">
        <f>SUMIF('01_Scheme_Tracker'!$B$4:$B$453,A69,'01_Scheme_Tracker'!$S$4:$S$453)</f>
        <v/>
      </c>
      <c r="I69" s="44" t="inlineStr">
        <is>
          <t>Ghazni</t>
        </is>
      </c>
      <c r="J69" s="44" t="inlineStr">
        <is>
          <t>Gelan</t>
        </is>
      </c>
      <c r="K69" s="44" t="inlineStr">
        <is>
          <t>Under Construction</t>
        </is>
      </c>
      <c r="L69" s="47" t="n">
        <v>46226</v>
      </c>
      <c r="M69" s="47" t="n">
        <v>46409</v>
      </c>
      <c r="N69" s="44" t="inlineStr">
        <is>
          <t>Hemat safi construction company (HSCC)</t>
        </is>
      </c>
      <c r="O69" s="88" t="inlineStr">
        <is>
          <t>047/2026</t>
        </is>
      </c>
      <c r="P69" s="90" t="inlineStr">
        <is>
          <t>3.WSM awarded contracts</t>
        </is>
      </c>
    </row>
    <row r="70" ht="28" customHeight="1">
      <c r="A70" s="82" t="inlineStr">
        <is>
          <t>AF2-WSM-19</t>
        </is>
      </c>
      <c r="B70" s="52" t="inlineStr">
        <is>
          <t>Package #19-AF2 WSM: Construction of two Check dams 1. Wazgarai and 2. Chenargai in Zazai Maidan districts of Khost province.</t>
        </is>
      </c>
      <c r="C70" s="52" t="inlineStr">
        <is>
          <t>Watershed Management</t>
        </is>
      </c>
      <c r="D70" s="83" t="inlineStr">
        <is>
          <t>Not awarded</t>
        </is>
      </c>
      <c r="E70" s="89" t="inlineStr">
        <is>
          <t>ITB Launched</t>
        </is>
      </c>
      <c r="F70" s="83" t="inlineStr">
        <is>
          <t>No</t>
        </is>
      </c>
      <c r="G70" s="49">
        <f>COUNTIF('01_Scheme_Tracker'!$B$4:$B$453,A70)</f>
        <v/>
      </c>
      <c r="H70" s="85">
        <f>SUMIF('01_Scheme_Tracker'!$B$4:$B$453,A70,'01_Scheme_Tracker'!$S$4:$S$453)</f>
        <v/>
      </c>
      <c r="I70" s="52" t="inlineStr">
        <is>
          <t>Khost</t>
        </is>
      </c>
      <c r="J70" s="52" t="inlineStr">
        <is>
          <t>Zazai Maidan</t>
        </is>
      </c>
      <c r="K70" s="52" t="inlineStr">
        <is>
          <t>ITB Launched</t>
        </is>
      </c>
      <c r="L70" s="54" t="n">
        <v>46356</v>
      </c>
      <c r="M70" s="54" t="n">
        <v>46566</v>
      </c>
      <c r="N70" s="52" t="inlineStr"/>
      <c r="O70" s="83" t="inlineStr"/>
      <c r="P70" s="86" t="inlineStr">
        <is>
          <t>4.WSM remaining contracts</t>
        </is>
      </c>
    </row>
    <row r="71" ht="28" customHeight="1">
      <c r="A71" s="87" t="inlineStr">
        <is>
          <t>AF2-WSM-20</t>
        </is>
      </c>
      <c r="B71" s="44" t="inlineStr">
        <is>
          <t>Package #20-AF2 WSM: Construction of Sapari Check dams, located in Sarubi districts of Paktika province.</t>
        </is>
      </c>
      <c r="C71" s="44" t="inlineStr">
        <is>
          <t>Watershed Management</t>
        </is>
      </c>
      <c r="D71" s="88" t="inlineStr">
        <is>
          <t>Not awarded</t>
        </is>
      </c>
      <c r="E71" s="94" t="inlineStr">
        <is>
          <t>PR to be Raised</t>
        </is>
      </c>
      <c r="F71" s="88" t="inlineStr">
        <is>
          <t>No</t>
        </is>
      </c>
      <c r="G71" s="49">
        <f>COUNTIF('01_Scheme_Tracker'!$B$4:$B$453,A71)</f>
        <v/>
      </c>
      <c r="H71" s="85">
        <f>SUMIF('01_Scheme_Tracker'!$B$4:$B$453,A71,'01_Scheme_Tracker'!$S$4:$S$453)</f>
        <v/>
      </c>
      <c r="I71" s="44" t="inlineStr">
        <is>
          <t>Paktika</t>
        </is>
      </c>
      <c r="J71" s="44" t="inlineStr">
        <is>
          <t>Sarubi</t>
        </is>
      </c>
      <c r="K71" s="44" t="inlineStr">
        <is>
          <t>PR to be Raised</t>
        </is>
      </c>
      <c r="L71" s="47" t="n">
        <v>46351</v>
      </c>
      <c r="M71" s="47" t="n">
        <v>46571</v>
      </c>
      <c r="N71" s="44" t="inlineStr"/>
      <c r="O71" s="88" t="inlineStr"/>
      <c r="P71" s="90" t="inlineStr">
        <is>
          <t>4.WSM remaining contracts</t>
        </is>
      </c>
    </row>
    <row r="72" ht="28" customHeight="1">
      <c r="A72" s="82" t="inlineStr">
        <is>
          <t>AF2-WSM-21</t>
        </is>
      </c>
      <c r="B72" s="52" t="inlineStr">
        <is>
          <t>Package #21-AF2 WSM: Construction of 4 Check Dams 1.Choghazey and 2.Sardarkey in Arghistan, 3. Loy Laher in Spin Boldak and 4.Ab Samad Aka in Takhta Pull districts of Kandahar province.</t>
        </is>
      </c>
      <c r="C72" s="52" t="inlineStr">
        <is>
          <t>Watershed Management</t>
        </is>
      </c>
      <c r="D72" s="83" t="inlineStr">
        <is>
          <t>Awarded</t>
        </is>
      </c>
      <c r="E72" s="93" t="inlineStr">
        <is>
          <t>Under Construction</t>
        </is>
      </c>
      <c r="F72" s="83" t="inlineStr">
        <is>
          <t>Yes</t>
        </is>
      </c>
      <c r="G72" s="49">
        <f>COUNTIF('01_Scheme_Tracker'!$B$4:$B$453,A72)</f>
        <v/>
      </c>
      <c r="H72" s="85">
        <f>SUMIF('01_Scheme_Tracker'!$B$4:$B$453,A72,'01_Scheme_Tracker'!$S$4:$S$453)</f>
        <v/>
      </c>
      <c r="I72" s="52" t="inlineStr">
        <is>
          <t>Kandahar</t>
        </is>
      </c>
      <c r="J72" s="52" t="inlineStr">
        <is>
          <t>Takhta Pul, Arghistan, Spin Boldak</t>
        </is>
      </c>
      <c r="K72" s="52" t="inlineStr">
        <is>
          <t>Under Construction, Completed / Handover</t>
        </is>
      </c>
      <c r="L72" s="54" t="n">
        <v>46140</v>
      </c>
      <c r="M72" s="54" t="n">
        <v>46292</v>
      </c>
      <c r="N72" s="52" t="inlineStr">
        <is>
          <t>Bakhter Pairoz Construction Company (BPCC)</t>
        </is>
      </c>
      <c r="O72" s="83" t="inlineStr">
        <is>
          <t>031/2026</t>
        </is>
      </c>
      <c r="P72" s="86" t="inlineStr">
        <is>
          <t>3.WSM awarded contracts</t>
        </is>
      </c>
    </row>
    <row r="73" ht="28" customHeight="1">
      <c r="A73" s="87" t="inlineStr">
        <is>
          <t>AF2-WSM-22</t>
        </is>
      </c>
      <c r="B73" s="44" t="inlineStr">
        <is>
          <t>Package #22-AF2 WSM: Construction of 5 Check dams 1.Kocni Karez , 2.By Khosh , 3. Ghul Khani, 4. Chy Dara in Ghorak district , and 5. Khanjak Mastan Aka in Nesh district of Kandahar province.</t>
        </is>
      </c>
      <c r="C73" s="44" t="inlineStr">
        <is>
          <t>Watershed Management</t>
        </is>
      </c>
      <c r="D73" s="88" t="inlineStr">
        <is>
          <t>Not awarded</t>
        </is>
      </c>
      <c r="E73" s="98" t="inlineStr">
        <is>
          <t>Under Design</t>
        </is>
      </c>
      <c r="F73" s="88" t="inlineStr">
        <is>
          <t>No</t>
        </is>
      </c>
      <c r="G73" s="49">
        <f>COUNTIF('01_Scheme_Tracker'!$B$4:$B$453,A73)</f>
        <v/>
      </c>
      <c r="H73" s="85">
        <f>SUMIF('01_Scheme_Tracker'!$B$4:$B$453,A73,'01_Scheme_Tracker'!$S$4:$S$453)</f>
        <v/>
      </c>
      <c r="I73" s="44" t="inlineStr">
        <is>
          <t>Kandahar</t>
        </is>
      </c>
      <c r="J73" s="44" t="inlineStr">
        <is>
          <t>Ghorak, Nesh</t>
        </is>
      </c>
      <c r="K73" s="44" t="inlineStr">
        <is>
          <t>Under Design</t>
        </is>
      </c>
      <c r="L73" s="47" t="n">
        <v>46356</v>
      </c>
      <c r="M73" s="47" t="n">
        <v>46536</v>
      </c>
      <c r="N73" s="44" t="inlineStr"/>
      <c r="O73" s="88" t="inlineStr"/>
      <c r="P73" s="90" t="inlineStr">
        <is>
          <t>4.WSM remaining contracts</t>
        </is>
      </c>
    </row>
    <row r="74" ht="28" customHeight="1">
      <c r="A74" s="82" t="inlineStr">
        <is>
          <t>AF2-WSM-23</t>
        </is>
      </c>
      <c r="B74" s="52" t="inlineStr">
        <is>
          <t>Package #23-AF2 WSM: Construction of 1,Payazak, 2.Sharak, 3.Khairtot, and 4. Mula Hanifiya Check Dams, located in Shawalikot district of Kandahar province.</t>
        </is>
      </c>
      <c r="C74" s="52" t="inlineStr">
        <is>
          <t>Watershed Management</t>
        </is>
      </c>
      <c r="D74" s="83" t="inlineStr">
        <is>
          <t>Awarded</t>
        </is>
      </c>
      <c r="E74" s="96" t="inlineStr">
        <is>
          <t>Awarded</t>
        </is>
      </c>
      <c r="F74" s="83" t="inlineStr">
        <is>
          <t>No</t>
        </is>
      </c>
      <c r="G74" s="49">
        <f>COUNTIF('01_Scheme_Tracker'!$B$4:$B$453,A74)</f>
        <v/>
      </c>
      <c r="H74" s="85">
        <f>SUMIF('01_Scheme_Tracker'!$B$4:$B$453,A74,'01_Scheme_Tracker'!$S$4:$S$453)</f>
        <v/>
      </c>
      <c r="I74" s="52" t="inlineStr">
        <is>
          <t>Kandahar</t>
        </is>
      </c>
      <c r="J74" s="52" t="inlineStr">
        <is>
          <t>Shawalikot</t>
        </is>
      </c>
      <c r="K74" s="52" t="inlineStr">
        <is>
          <t>Awarded</t>
        </is>
      </c>
      <c r="L74" s="54" t="n">
        <v>46261</v>
      </c>
      <c r="M74" s="54" t="n">
        <v>46079</v>
      </c>
      <c r="N74" s="52" t="inlineStr">
        <is>
          <t>Afghan Laser Engineering and Construction Company (ALCC)</t>
        </is>
      </c>
      <c r="O74" s="83" t="inlineStr">
        <is>
          <t>057/2026</t>
        </is>
      </c>
      <c r="P74" s="86" t="inlineStr">
        <is>
          <t>3.WSM awarded contracts</t>
        </is>
      </c>
    </row>
    <row r="75" ht="28" customHeight="1">
      <c r="A75" s="87" t="inlineStr">
        <is>
          <t>AF2-WSM-24</t>
        </is>
      </c>
      <c r="B75" s="44" t="inlineStr">
        <is>
          <t>Package #24-AF2 WSM: Construction of 5 Check dams 1. Kashata Tangi, 2. Forodi, 3. Valary in Nawzad district, 4.Band Khawanin, and 5.Tykhoghi in Washer district of Helmand province.</t>
        </is>
      </c>
      <c r="C75" s="44" t="inlineStr">
        <is>
          <t>Watershed Management</t>
        </is>
      </c>
      <c r="D75" s="88" t="inlineStr">
        <is>
          <t>Not awarded</t>
        </is>
      </c>
      <c r="E75" s="98" t="inlineStr">
        <is>
          <t>Under Design</t>
        </is>
      </c>
      <c r="F75" s="88" t="inlineStr">
        <is>
          <t>No</t>
        </is>
      </c>
      <c r="G75" s="49">
        <f>COUNTIF('01_Scheme_Tracker'!$B$4:$B$453,A75)</f>
        <v/>
      </c>
      <c r="H75" s="85">
        <f>SUMIF('01_Scheme_Tracker'!$B$4:$B$453,A75,'01_Scheme_Tracker'!$S$4:$S$453)</f>
        <v/>
      </c>
      <c r="I75" s="44" t="inlineStr">
        <is>
          <t>Helmand</t>
        </is>
      </c>
      <c r="J75" s="44" t="inlineStr">
        <is>
          <t>Washer, Nawzad</t>
        </is>
      </c>
      <c r="K75" s="44" t="inlineStr">
        <is>
          <t>Under Design</t>
        </is>
      </c>
      <c r="L75" s="47" t="n">
        <v>46359</v>
      </c>
      <c r="M75" s="47" t="n">
        <v>46539</v>
      </c>
      <c r="N75" s="44" t="inlineStr"/>
      <c r="O75" s="88" t="inlineStr"/>
      <c r="P75" s="90" t="inlineStr">
        <is>
          <t>4.WSM remaining contracts</t>
        </is>
      </c>
    </row>
    <row r="76" ht="28" customHeight="1">
      <c r="A76" s="82" t="inlineStr">
        <is>
          <t>AF2-WSM-25</t>
        </is>
      </c>
      <c r="B76" s="52" t="inlineStr">
        <is>
          <t>Package #25-AF2 WSM: Construction of Qali Gaz, Ghobana, and Nawi Kach Check dams, located in Mizana district of Zabul province.</t>
        </is>
      </c>
      <c r="C76" s="52" t="inlineStr">
        <is>
          <t>Watershed Management</t>
        </is>
      </c>
      <c r="D76" s="83" t="inlineStr">
        <is>
          <t>Not awarded</t>
        </is>
      </c>
      <c r="E76" s="94" t="inlineStr">
        <is>
          <t>PR to be Raised</t>
        </is>
      </c>
      <c r="F76" s="83" t="inlineStr">
        <is>
          <t>No</t>
        </is>
      </c>
      <c r="G76" s="49">
        <f>COUNTIF('01_Scheme_Tracker'!$B$4:$B$453,A76)</f>
        <v/>
      </c>
      <c r="H76" s="85">
        <f>SUMIF('01_Scheme_Tracker'!$B$4:$B$453,A76,'01_Scheme_Tracker'!$S$4:$S$453)</f>
        <v/>
      </c>
      <c r="I76" s="52" t="inlineStr">
        <is>
          <t>Zabul</t>
        </is>
      </c>
      <c r="J76" s="52" t="inlineStr">
        <is>
          <t>Mizana</t>
        </is>
      </c>
      <c r="K76" s="52" t="inlineStr">
        <is>
          <t>PR to be Raised</t>
        </is>
      </c>
      <c r="L76" s="54" t="n">
        <v>46351</v>
      </c>
      <c r="M76" s="54" t="n">
        <v>46561</v>
      </c>
      <c r="N76" s="52" t="inlineStr"/>
      <c r="O76" s="83" t="inlineStr"/>
      <c r="P76" s="86" t="inlineStr">
        <is>
          <t>4.WSM remaining contracts</t>
        </is>
      </c>
    </row>
    <row r="77" ht="28" customHeight="1">
      <c r="A77" s="87" t="inlineStr">
        <is>
          <t>AF2-WSM-26</t>
        </is>
      </c>
      <c r="B77" s="44" t="inlineStr">
        <is>
          <t>Package # 26 – AF2 WSM: Construction of 6 Check Dams in 6 sites of A. Yawol Ha site # 1 and # 2 in Teshkan District, B. Sewak Dara site # 3, Golaki site # 4 in Darayim District, C. Khanaqa site # 5, and Sum Dara site # 6 in Arghanj Khwah District of Badakhshan Province</t>
        </is>
      </c>
      <c r="C77" s="44" t="inlineStr">
        <is>
          <t>Watershed Management</t>
        </is>
      </c>
      <c r="D77" s="88" t="inlineStr">
        <is>
          <t>Awarded</t>
        </is>
      </c>
      <c r="E77" s="96" t="inlineStr">
        <is>
          <t>Awarded</t>
        </is>
      </c>
      <c r="F77" s="88" t="inlineStr">
        <is>
          <t>Yes</t>
        </is>
      </c>
      <c r="G77" s="49">
        <f>COUNTIF('01_Scheme_Tracker'!$B$4:$B$453,A77)</f>
        <v/>
      </c>
      <c r="H77" s="85">
        <f>SUMIF('01_Scheme_Tracker'!$B$4:$B$453,A77,'01_Scheme_Tracker'!$S$4:$S$453)</f>
        <v/>
      </c>
      <c r="I77" s="44" t="inlineStr">
        <is>
          <t>Badakhshan</t>
        </is>
      </c>
      <c r="J77" s="44" t="inlineStr">
        <is>
          <t>Teshkan, Darayim, Arghanj Khwah</t>
        </is>
      </c>
      <c r="K77" s="44" t="inlineStr">
        <is>
          <t>Under Construction, Awarded, Completed / Handover</t>
        </is>
      </c>
      <c r="L77" s="47" t="n">
        <v>46121</v>
      </c>
      <c r="M77" s="47" t="n">
        <v>46334</v>
      </c>
      <c r="N77" s="44" t="inlineStr">
        <is>
          <t>Faiz Qurbani Construction Company (FQCC)</t>
        </is>
      </c>
      <c r="O77" s="88" t="inlineStr">
        <is>
          <t>027/2026</t>
        </is>
      </c>
      <c r="P77" s="90" t="inlineStr">
        <is>
          <t>3.WSM awarded contracts</t>
        </is>
      </c>
    </row>
    <row r="78" ht="28" customHeight="1">
      <c r="A78" s="82" t="inlineStr">
        <is>
          <t>AF2-WSM-27</t>
        </is>
      </c>
      <c r="B78" s="52" t="inlineStr">
        <is>
          <t>Package #27-AF2 WSM: Construction of 5 Check Dams in 5 district sites of 1. Sholish Darra in Namak Ab, 2.Gaji Darra in Hazar Sumoch, 3.Silaba in Khwaja Ghar, 4.Shoor Toghai in Khwaja Bahawudd in and 5.Khalyazi in Yangi Qala districts of Takhar province.</t>
        </is>
      </c>
      <c r="C78" s="52" t="inlineStr">
        <is>
          <t>Watershed Management</t>
        </is>
      </c>
      <c r="D78" s="83" t="inlineStr">
        <is>
          <t>Awarded</t>
        </is>
      </c>
      <c r="E78" s="96" t="inlineStr">
        <is>
          <t>Awarded</t>
        </is>
      </c>
      <c r="F78" s="83" t="inlineStr">
        <is>
          <t>Yes</t>
        </is>
      </c>
      <c r="G78" s="49">
        <f>COUNTIF('01_Scheme_Tracker'!$B$4:$B$453,A78)</f>
        <v/>
      </c>
      <c r="H78" s="85">
        <f>SUMIF('01_Scheme_Tracker'!$B$4:$B$453,A78,'01_Scheme_Tracker'!$S$4:$S$453)</f>
        <v/>
      </c>
      <c r="I78" s="52" t="inlineStr">
        <is>
          <t>Takhar</t>
        </is>
      </c>
      <c r="J78" s="52" t="inlineStr">
        <is>
          <t>Namak Ab, Hazar Sumoch, Khwaja Ghar, Khwaja Bahawuddin, Yangi Qala</t>
        </is>
      </c>
      <c r="K78" s="52" t="inlineStr">
        <is>
          <t>Awarded, Completed / Handover, Under Construction</t>
        </is>
      </c>
      <c r="L78" s="54" t="n">
        <v>46163</v>
      </c>
      <c r="M78" s="54" t="n">
        <v>46346</v>
      </c>
      <c r="N78" s="52" t="inlineStr">
        <is>
          <t>Shafiqullah Wahidi Construction Company (SWCC)</t>
        </is>
      </c>
      <c r="O78" s="83" t="inlineStr">
        <is>
          <t>037/2026</t>
        </is>
      </c>
      <c r="P78" s="86" t="inlineStr">
        <is>
          <t>3.WSM awarded contracts</t>
        </is>
      </c>
    </row>
    <row r="79" ht="28" customHeight="1">
      <c r="A79" s="87" t="inlineStr">
        <is>
          <t>AF2-WSM-28</t>
        </is>
      </c>
      <c r="B79" s="44" t="inlineStr">
        <is>
          <t>Package #28-AF2 WSM: Construction of 2 Check dams of 1. Chatqa Sai in Dahna-e-Ghori and 2.Tahiryan in Baghlan Markazi districts of Baghlan province.</t>
        </is>
      </c>
      <c r="C79" s="44" t="inlineStr">
        <is>
          <t>Watershed Management</t>
        </is>
      </c>
      <c r="D79" s="88" t="inlineStr">
        <is>
          <t>Awarded</t>
        </is>
      </c>
      <c r="E79" s="93" t="inlineStr">
        <is>
          <t>Under Construction</t>
        </is>
      </c>
      <c r="F79" s="88" t="inlineStr">
        <is>
          <t>No</t>
        </is>
      </c>
      <c r="G79" s="49">
        <f>COUNTIF('01_Scheme_Tracker'!$B$4:$B$453,A79)</f>
        <v/>
      </c>
      <c r="H79" s="85">
        <f>SUMIF('01_Scheme_Tracker'!$B$4:$B$453,A79,'01_Scheme_Tracker'!$S$4:$S$453)</f>
        <v/>
      </c>
      <c r="I79" s="44" t="inlineStr">
        <is>
          <t>Baghlan</t>
        </is>
      </c>
      <c r="J79" s="44" t="inlineStr">
        <is>
          <t>Dahna-e-Ghori, Baghlan Markazi</t>
        </is>
      </c>
      <c r="K79" s="44" t="inlineStr">
        <is>
          <t>Under Construction</t>
        </is>
      </c>
      <c r="L79" s="47" t="n">
        <v>46242</v>
      </c>
      <c r="M79" s="47" t="n">
        <v>46363</v>
      </c>
      <c r="N79" s="44" t="inlineStr">
        <is>
          <t>Arman Sharq Construction Company ASCC)</t>
        </is>
      </c>
      <c r="O79" s="88" t="inlineStr">
        <is>
          <t>054/2026</t>
        </is>
      </c>
      <c r="P79" s="90" t="inlineStr">
        <is>
          <t>3.WSM awarded contracts</t>
        </is>
      </c>
    </row>
    <row r="80" ht="28" customHeight="1">
      <c r="A80" s="82" t="inlineStr">
        <is>
          <t>AF2-WSM-29</t>
        </is>
      </c>
      <c r="B80" s="52" t="inlineStr">
        <is>
          <t>Package # 29-AF2 WSM: Construction 1. Alburs and 2. Marmul Check dams, located in Marmul and Alburs districts of Balkh province</t>
        </is>
      </c>
      <c r="C80" s="52" t="inlineStr">
        <is>
          <t>Watershed Management</t>
        </is>
      </c>
      <c r="D80" s="83" t="inlineStr">
        <is>
          <t>Awarded</t>
        </is>
      </c>
      <c r="E80" s="93" t="inlineStr">
        <is>
          <t>Under Construction</t>
        </is>
      </c>
      <c r="F80" s="83" t="inlineStr">
        <is>
          <t>Yes</t>
        </is>
      </c>
      <c r="G80" s="49">
        <f>COUNTIF('01_Scheme_Tracker'!$B$4:$B$453,A80)</f>
        <v/>
      </c>
      <c r="H80" s="85">
        <f>SUMIF('01_Scheme_Tracker'!$B$4:$B$453,A80,'01_Scheme_Tracker'!$S$4:$S$453)</f>
        <v/>
      </c>
      <c r="I80" s="52" t="inlineStr">
        <is>
          <t>Balkh</t>
        </is>
      </c>
      <c r="J80" s="52" t="inlineStr">
        <is>
          <t>Alburz, Marmul</t>
        </is>
      </c>
      <c r="K80" s="52" t="inlineStr">
        <is>
          <t>Completed / Handover, Under Construction</t>
        </is>
      </c>
      <c r="L80" s="54" t="n">
        <v>46154</v>
      </c>
      <c r="M80" s="54" t="n">
        <v>46306</v>
      </c>
      <c r="N80" s="52" t="inlineStr">
        <is>
          <t>Omar Mortaza Construction &amp; Road Building JV Karwan Seraji Construction and Road Building Company (OMCC&amp;KSCC)</t>
        </is>
      </c>
      <c r="O80" s="83" t="inlineStr">
        <is>
          <t>034/2026</t>
        </is>
      </c>
      <c r="P80" s="86" t="inlineStr">
        <is>
          <t>3.WSM awarded contracts</t>
        </is>
      </c>
    </row>
    <row r="81" ht="28" customHeight="1">
      <c r="A81" s="87" t="inlineStr">
        <is>
          <t>AF2-WSM-30</t>
        </is>
      </c>
      <c r="B81" s="44" t="inlineStr">
        <is>
          <t>Package #30-AF2 WSM: Construction of 5 Check Damas of A. Majar site # 1 and site # 2; B.Elyasgar site # 3, site 4 and site # 5, located in Aljahad district of Sar-e-Pul province.</t>
        </is>
      </c>
      <c r="C81" s="44" t="inlineStr">
        <is>
          <t>Watershed Management</t>
        </is>
      </c>
      <c r="D81" s="88" t="inlineStr">
        <is>
          <t>Awarded</t>
        </is>
      </c>
      <c r="E81" s="93" t="inlineStr">
        <is>
          <t>Under Construction</t>
        </is>
      </c>
      <c r="F81" s="88" t="inlineStr">
        <is>
          <t>No</t>
        </is>
      </c>
      <c r="G81" s="49">
        <f>COUNTIF('01_Scheme_Tracker'!$B$4:$B$453,A81)</f>
        <v/>
      </c>
      <c r="H81" s="85">
        <f>SUMIF('01_Scheme_Tracker'!$B$4:$B$453,A81,'01_Scheme_Tracker'!$S$4:$S$453)</f>
        <v/>
      </c>
      <c r="I81" s="44" t="inlineStr">
        <is>
          <t>Sar-e-Pul</t>
        </is>
      </c>
      <c r="J81" s="44" t="inlineStr">
        <is>
          <t>Aljahad</t>
        </is>
      </c>
      <c r="K81" s="44" t="inlineStr">
        <is>
          <t>Under Construction</t>
        </is>
      </c>
      <c r="L81" s="47" t="n">
        <v>46226</v>
      </c>
      <c r="M81" s="47" t="n">
        <v>46348</v>
      </c>
      <c r="N81" s="44" t="inlineStr">
        <is>
          <t>Waheed Wahaj Construction Company (WWCC)</t>
        </is>
      </c>
      <c r="O81" s="88" t="inlineStr">
        <is>
          <t>050/2026</t>
        </is>
      </c>
      <c r="P81" s="90" t="inlineStr">
        <is>
          <t>3.WSM awarded contracts</t>
        </is>
      </c>
    </row>
    <row r="82" ht="28" customHeight="1">
      <c r="A82" s="82" t="inlineStr">
        <is>
          <t>AF2-WSM-31</t>
        </is>
      </c>
      <c r="B82" s="52" t="inlineStr">
        <is>
          <t>Package # 31-AF2 WSM: Construction of 1. Khaibar and 2. Chelgazi Check dams, located in Khaibar and Chelgazi districts of Faryab province.</t>
        </is>
      </c>
      <c r="C82" s="52" t="inlineStr">
        <is>
          <t>Watershed Management</t>
        </is>
      </c>
      <c r="D82" s="83" t="inlineStr">
        <is>
          <t>Awarded</t>
        </is>
      </c>
      <c r="E82" s="92" t="inlineStr">
        <is>
          <t>Completed / Handover</t>
        </is>
      </c>
      <c r="F82" s="83" t="inlineStr">
        <is>
          <t>No</t>
        </is>
      </c>
      <c r="G82" s="49">
        <f>COUNTIF('01_Scheme_Tracker'!$B$4:$B$453,A82)</f>
        <v/>
      </c>
      <c r="H82" s="85">
        <f>SUMIF('01_Scheme_Tracker'!$B$4:$B$453,A82,'01_Scheme_Tracker'!$S$4:$S$453)</f>
        <v/>
      </c>
      <c r="I82" s="52" t="inlineStr">
        <is>
          <t>Faryab</t>
        </is>
      </c>
      <c r="J82" s="52" t="inlineStr">
        <is>
          <t>Chelgazi, Khaibar</t>
        </is>
      </c>
      <c r="K82" s="52" t="inlineStr">
        <is>
          <t>Completed / Handover</t>
        </is>
      </c>
      <c r="L82" s="54" t="n">
        <v>46149</v>
      </c>
      <c r="M82" s="54" t="n">
        <v>46271</v>
      </c>
      <c r="N82" s="52" t="inlineStr">
        <is>
          <t>Malik Hajdar Construction and Road Company (MHCC)</t>
        </is>
      </c>
      <c r="O82" s="83" t="inlineStr">
        <is>
          <t>033/2026</t>
        </is>
      </c>
      <c r="P82" s="86" t="inlineStr">
        <is>
          <t>3.WSM awarded contracts</t>
        </is>
      </c>
    </row>
    <row r="83" ht="28" customHeight="1">
      <c r="A83" s="87" t="inlineStr">
        <is>
          <t>AF2-WSM-32</t>
        </is>
      </c>
      <c r="B83" s="44" t="inlineStr">
        <is>
          <t>Package #32-AF2 WSM: Construction of Tai Khunak 4 Check dams of A. Khoja Momin site # 1 and site # 2, B. Sari Shor site # 3 and site #4, located in Aybak district of Samangan province.</t>
        </is>
      </c>
      <c r="C83" s="44" t="inlineStr">
        <is>
          <t>Watershed Management</t>
        </is>
      </c>
      <c r="D83" s="88" t="inlineStr">
        <is>
          <t>Awarded</t>
        </is>
      </c>
      <c r="E83" s="93" t="inlineStr">
        <is>
          <t>Under Construction</t>
        </is>
      </c>
      <c r="F83" s="88" t="inlineStr">
        <is>
          <t>No</t>
        </is>
      </c>
      <c r="G83" s="49">
        <f>COUNTIF('01_Scheme_Tracker'!$B$4:$B$453,A83)</f>
        <v/>
      </c>
      <c r="H83" s="85">
        <f>SUMIF('01_Scheme_Tracker'!$B$4:$B$453,A83,'01_Scheme_Tracker'!$S$4:$S$453)</f>
        <v/>
      </c>
      <c r="I83" s="44" t="inlineStr">
        <is>
          <t>Samangan</t>
        </is>
      </c>
      <c r="J83" s="44" t="inlineStr">
        <is>
          <t>Aybak</t>
        </is>
      </c>
      <c r="K83" s="44" t="inlineStr">
        <is>
          <t>Under Construction</t>
        </is>
      </c>
      <c r="L83" s="47" t="n">
        <v>46225</v>
      </c>
      <c r="M83" s="47" t="n">
        <v>46347</v>
      </c>
      <c r="N83" s="44" t="inlineStr">
        <is>
          <t>Mudeser Bigmurad Construction Company (MBCC)</t>
        </is>
      </c>
      <c r="O83" s="88" t="inlineStr">
        <is>
          <t>045/2026</t>
        </is>
      </c>
      <c r="P83" s="90" t="inlineStr">
        <is>
          <t>3.WSM awarded contracts</t>
        </is>
      </c>
    </row>
    <row r="84" ht="28" customHeight="1">
      <c r="A84" s="82" t="inlineStr">
        <is>
          <t>AF2-WSM-33</t>
        </is>
      </c>
      <c r="B84" s="52" t="inlineStr">
        <is>
          <t>Package #33-AF2 WSM: Construction of 2 Check dams of Ala Taba-1 and Ala Taba-2 in Ablurz district of Balkh province.</t>
        </is>
      </c>
      <c r="C84" s="52" t="inlineStr">
        <is>
          <t>Watershed Management</t>
        </is>
      </c>
      <c r="D84" s="83" t="inlineStr">
        <is>
          <t>Not awarded</t>
        </is>
      </c>
      <c r="E84" s="94" t="inlineStr">
        <is>
          <t>PR to be Raised</t>
        </is>
      </c>
      <c r="F84" s="83" t="inlineStr">
        <is>
          <t>No</t>
        </is>
      </c>
      <c r="G84" s="49">
        <f>COUNTIF('01_Scheme_Tracker'!$B$4:$B$453,A84)</f>
        <v/>
      </c>
      <c r="H84" s="85">
        <f>SUMIF('01_Scheme_Tracker'!$B$4:$B$453,A84,'01_Scheme_Tracker'!$S$4:$S$453)</f>
        <v/>
      </c>
      <c r="I84" s="52" t="inlineStr">
        <is>
          <t>Balkh</t>
        </is>
      </c>
      <c r="J84" s="52" t="inlineStr">
        <is>
          <t>Alburz</t>
        </is>
      </c>
      <c r="K84" s="52" t="inlineStr">
        <is>
          <t>PR to be Raised</t>
        </is>
      </c>
      <c r="L84" s="54" t="n">
        <v>46351</v>
      </c>
      <c r="M84" s="54" t="n">
        <v>46531</v>
      </c>
      <c r="N84" s="52" t="inlineStr"/>
      <c r="O84" s="83" t="inlineStr"/>
      <c r="P84" s="86" t="inlineStr">
        <is>
          <t>4.WSM remaining contracts</t>
        </is>
      </c>
    </row>
    <row r="85" ht="28" customHeight="1">
      <c r="A85" s="87" t="inlineStr">
        <is>
          <t>AF2-WSM-34</t>
        </is>
      </c>
      <c r="B85" s="44" t="inlineStr">
        <is>
          <t>Package #34-AF2 WSM: Construction of two Check dams, 1.Tawqus Sangaw and 2. Khalkoma in Kalbad and Ali Abad district of Kunduz province.</t>
        </is>
      </c>
      <c r="C85" s="44" t="inlineStr">
        <is>
          <t>Watershed Management</t>
        </is>
      </c>
      <c r="D85" s="88" t="inlineStr">
        <is>
          <t>Not awarded</t>
        </is>
      </c>
      <c r="E85" s="89" t="inlineStr">
        <is>
          <t>ITB Launched</t>
        </is>
      </c>
      <c r="F85" s="88" t="inlineStr">
        <is>
          <t>No</t>
        </is>
      </c>
      <c r="G85" s="49">
        <f>COUNTIF('01_Scheme_Tracker'!$B$4:$B$453,A85)</f>
        <v/>
      </c>
      <c r="H85" s="85">
        <f>SUMIF('01_Scheme_Tracker'!$B$4:$B$453,A85,'01_Scheme_Tracker'!$S$4:$S$453)</f>
        <v/>
      </c>
      <c r="I85" s="44" t="inlineStr">
        <is>
          <t>Kunduz</t>
        </is>
      </c>
      <c r="J85" s="44" t="inlineStr">
        <is>
          <t>Ali Abad, Kalbad</t>
        </is>
      </c>
      <c r="K85" s="44" t="inlineStr">
        <is>
          <t>ITB Launched</t>
        </is>
      </c>
      <c r="L85" s="47" t="n">
        <v>46326</v>
      </c>
      <c r="M85" s="47" t="n">
        <v>46506</v>
      </c>
      <c r="N85" s="44" t="inlineStr"/>
      <c r="O85" s="88" t="inlineStr"/>
      <c r="P85" s="90" t="inlineStr">
        <is>
          <t>4.WSM remaining contracts</t>
        </is>
      </c>
    </row>
  </sheetData>
  <autoFilter ref="A3:P85"/>
  <mergeCells count="2">
    <mergeCell ref="A1:P1"/>
    <mergeCell ref="A2:P2"/>
  </mergeCells>
  <pageMargins left="0.75" right="0.75" top="1" bottom="1" header="0.5" footer="0.5"/>
  <pageSetup orientation="landscape" fitToHeight="0" fitToWidth="1"/>
  <headerFooter>
    <oddHeader/>
    <oddFooter>&amp;LPackage summary — one row per AF-2 contract&amp;RPage &amp;P of &amp;N</oddFooter>
    <evenHeader/>
    <evenFooter/>
    <firstHeader/>
    <firstFooter/>
  </headerFooter>
</worksheet>
</file>

<file path=xl/worksheets/sheet5.xml><?xml version="1.0" encoding="utf-8"?>
<worksheet xmlns="http://schemas.openxmlformats.org/spreadsheetml/2006/main">
  <sheetPr>
    <tabColor rgb="002E5984"/>
    <outlinePr summaryBelow="1" summaryRight="1"/>
    <pageSetUpPr fitToPage="1"/>
  </sheetPr>
  <dimension ref="A1:J44"/>
  <sheetViews>
    <sheetView showGridLines="0" workbookViewId="0">
      <pane ySplit="3" topLeftCell="A4" activePane="bottomLeft" state="frozen"/>
      <selection pane="bottomLeft" activeCell="A1" sqref="A1"/>
    </sheetView>
  </sheetViews>
  <sheetFormatPr baseColWidth="8" defaultRowHeight="15"/>
  <cols>
    <col width="48" customWidth="1" min="1" max="1"/>
    <col width="14" customWidth="1" min="2" max="2"/>
    <col width="14" customWidth="1" min="3" max="3"/>
    <col width="16" customWidth="1" min="4" max="4"/>
    <col width="22" customWidth="1" min="5" max="5"/>
    <col width="20" customWidth="1" min="6" max="6"/>
    <col width="56" customWidth="1" min="7" max="7"/>
    <col width="26" customWidth="1" min="8" max="8"/>
    <col width="28" customWidth="1" min="9" max="9"/>
    <col width="32" customWidth="1" min="10" max="10"/>
  </cols>
  <sheetData>
    <row r="1" ht="26" customHeight="1">
      <c r="A1" s="21" t="inlineStr">
        <is>
          <t>Contracts by contractor — one row per company. Count unique Package IDs / contract numbers, not tracker rows.</t>
        </is>
      </c>
      <c r="B1" s="22" t="n"/>
      <c r="C1" s="22" t="n"/>
      <c r="D1" s="22" t="n"/>
      <c r="E1" s="22" t="n"/>
      <c r="F1" s="22" t="n"/>
      <c r="G1" s="22" t="n"/>
      <c r="H1" s="22" t="n"/>
      <c r="I1" s="22" t="n"/>
      <c r="J1" s="22" t="n"/>
    </row>
    <row r="2" ht="44" customHeight="1">
      <c r="A2" s="68" t="inlineStr">
        <is>
          <t>Example: Zahid Saeed Engineering and Construction Company (ZSCC) is awarded one contract (Package #10-AF2 IS, contract 057/2025) covering four canals in Wardak. On 01_Scheme_Tracker the name appears four times because each canal is a sub-project. Filter this sheet or 03_Package_Summary by Contractor Name to list a company's contracts.</t>
        </is>
      </c>
      <c r="B2" s="8" t="n"/>
      <c r="C2" s="8" t="n"/>
      <c r="D2" s="8" t="n"/>
      <c r="E2" s="8" t="n"/>
      <c r="F2" s="8" t="n"/>
      <c r="G2" s="8" t="n"/>
      <c r="H2" s="8" t="n"/>
      <c r="I2" s="8" t="n"/>
      <c r="J2" s="8" t="n"/>
    </row>
    <row r="3">
      <c r="A3" s="9" t="inlineStr">
        <is>
          <t>Contractor Name</t>
        </is>
      </c>
      <c r="B3" s="9" t="inlineStr">
        <is>
          <t>Awarded contracts</t>
        </is>
      </c>
      <c r="C3" s="9" t="inlineStr">
        <is>
          <t>Awarded sub-projects</t>
        </is>
      </c>
      <c r="D3" s="9" t="inlineStr">
        <is>
          <t>Total cost (USD)</t>
        </is>
      </c>
      <c r="E3" s="9" t="inlineStr">
        <is>
          <t>Package IDs</t>
        </is>
      </c>
      <c r="F3" s="9" t="inlineStr">
        <is>
          <t>Contract number(s)</t>
        </is>
      </c>
      <c r="G3" s="9" t="inlineStr">
        <is>
          <t>Package / Contract Name</t>
        </is>
      </c>
      <c r="H3" s="9" t="inlineStr">
        <is>
          <t>Major intervention</t>
        </is>
      </c>
      <c r="I3" s="9" t="inlineStr">
        <is>
          <t>Provinces</t>
        </is>
      </c>
      <c r="J3" s="9" t="inlineStr">
        <is>
          <t>Districts</t>
        </is>
      </c>
    </row>
    <row r="4" ht="32" customHeight="1">
      <c r="A4" s="82" t="inlineStr">
        <is>
          <t>Faiz Qurbani Construction Company (FQCC)</t>
        </is>
      </c>
      <c r="B4" s="55" t="n">
        <v>1</v>
      </c>
      <c r="C4" s="49">
        <f>COUNTIF('01_Scheme_Tracker'!$Q$4:$Q$453,A4)</f>
        <v/>
      </c>
      <c r="D4" s="85">
        <f>SUMIF('01_Scheme_Tracker'!$Q$4:$Q$453,A4,'01_Scheme_Tracker'!$S$4:$S$453)</f>
        <v/>
      </c>
      <c r="E4" s="52" t="inlineStr">
        <is>
          <t>AF2-WSM-26</t>
        </is>
      </c>
      <c r="F4" s="52" t="inlineStr">
        <is>
          <t>027/2026</t>
        </is>
      </c>
      <c r="G4" s="5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H4" s="52" t="inlineStr">
        <is>
          <t>Watershed Management</t>
        </is>
      </c>
      <c r="I4" s="52" t="inlineStr">
        <is>
          <t>Badakhshan</t>
        </is>
      </c>
      <c r="J4" s="52" t="inlineStr">
        <is>
          <t>Teshkan, Darayim, Arghanj Khwah</t>
        </is>
      </c>
    </row>
    <row r="5" ht="32" customHeight="1">
      <c r="A5" s="87" t="inlineStr">
        <is>
          <t>Shafiqullah Wahidi Construction Company (SWCC)</t>
        </is>
      </c>
      <c r="B5" s="48" t="n">
        <v>1</v>
      </c>
      <c r="C5" s="49">
        <f>COUNTIF('01_Scheme_Tracker'!$Q$4:$Q$453,A5)</f>
        <v/>
      </c>
      <c r="D5" s="85">
        <f>SUMIF('01_Scheme_Tracker'!$Q$4:$Q$453,A5,'01_Scheme_Tracker'!$S$4:$S$453)</f>
        <v/>
      </c>
      <c r="E5" s="44" t="inlineStr">
        <is>
          <t>AF2-WSM-27</t>
        </is>
      </c>
      <c r="F5" s="44" t="inlineStr">
        <is>
          <t>037/2026</t>
        </is>
      </c>
      <c r="G5" s="44" t="inlineStr">
        <is>
          <t>Package #27-AF2 WSM: Construction of 5 Check Dams in 5 district sites of 1. Sholish Darra in Namak Ab, 2.Gaji Darra in Hazar Sumoch, 3.Silaba in Khwaja Ghar, 4.Shoor Toghai in Khwaja Bahawudd in and 5.Khalyazi in Yangi Qala districts of Takhar province.</t>
        </is>
      </c>
      <c r="H5" s="44" t="inlineStr">
        <is>
          <t>Watershed Management</t>
        </is>
      </c>
      <c r="I5" s="44" t="inlineStr">
        <is>
          <t>Takhar</t>
        </is>
      </c>
      <c r="J5" s="44" t="inlineStr">
        <is>
          <t>Namak Ab, Hazar Sumoch, Khwaja Ghar, Khwaja Bahawuddin, Yangi Qala</t>
        </is>
      </c>
    </row>
    <row r="6" ht="32" customHeight="1">
      <c r="A6" s="82" t="inlineStr">
        <is>
          <t>Afghan Laser Engineering and Construction Company (ALCC)</t>
        </is>
      </c>
      <c r="B6" s="55" t="n">
        <v>1</v>
      </c>
      <c r="C6" s="49">
        <f>COUNTIF('01_Scheme_Tracker'!$Q$4:$Q$453,A6)</f>
        <v/>
      </c>
      <c r="D6" s="85">
        <f>SUMIF('01_Scheme_Tracker'!$Q$4:$Q$453,A6,'01_Scheme_Tracker'!$S$4:$S$453)</f>
        <v/>
      </c>
      <c r="E6" s="52" t="inlineStr">
        <is>
          <t>AF2-WSM-23</t>
        </is>
      </c>
      <c r="F6" s="52" t="inlineStr">
        <is>
          <t>057/2026</t>
        </is>
      </c>
      <c r="G6" s="52" t="inlineStr">
        <is>
          <t>Package #23-AF2 WSM: Construction of 1,Payazak, 2.Sharak, 3.Khairtot, and 4. Mula Hanifiya Check Dams, located in Shawalikot district of Kandahar province.</t>
        </is>
      </c>
      <c r="H6" s="52" t="inlineStr">
        <is>
          <t>Watershed Management</t>
        </is>
      </c>
      <c r="I6" s="52" t="inlineStr">
        <is>
          <t>Kandahar</t>
        </is>
      </c>
      <c r="J6" s="52" t="inlineStr">
        <is>
          <t>Shawalikot</t>
        </is>
      </c>
    </row>
    <row r="7" ht="32" customHeight="1">
      <c r="A7" s="87" t="inlineStr">
        <is>
          <t>Bakhter Pairoz Construction Company (BPCC)</t>
        </is>
      </c>
      <c r="B7" s="48" t="n">
        <v>1</v>
      </c>
      <c r="C7" s="49">
        <f>COUNTIF('01_Scheme_Tracker'!$Q$4:$Q$453,A7)</f>
        <v/>
      </c>
      <c r="D7" s="85">
        <f>SUMIF('01_Scheme_Tracker'!$Q$4:$Q$453,A7,'01_Scheme_Tracker'!$S$4:$S$453)</f>
        <v/>
      </c>
      <c r="E7" s="44" t="inlineStr">
        <is>
          <t>AF2-WSM-21</t>
        </is>
      </c>
      <c r="F7" s="44" t="inlineStr">
        <is>
          <t>031/2026</t>
        </is>
      </c>
      <c r="G7" s="44" t="inlineStr">
        <is>
          <t>Package #21-AF2 WSM: Construction of 4 Check Dams 1.Choghazey and 2.Sardarkey in Arghistan, 3. Loy Laher in Spin Boldak and 4.Ab Samad Aka in Takhta Pull districts of Kandahar province.</t>
        </is>
      </c>
      <c r="H7" s="44" t="inlineStr">
        <is>
          <t>Watershed Management</t>
        </is>
      </c>
      <c r="I7" s="44" t="inlineStr">
        <is>
          <t>Kandahar</t>
        </is>
      </c>
      <c r="J7" s="44" t="inlineStr">
        <is>
          <t>Takhta Pul, Arghistan, Spin Boldak</t>
        </is>
      </c>
    </row>
    <row r="8" ht="32" customHeight="1">
      <c r="A8" s="82" t="inlineStr">
        <is>
          <t>Estehkam Baba Construction and Road Construction Company (EBCC)</t>
        </is>
      </c>
      <c r="B8" s="55" t="n">
        <v>1</v>
      </c>
      <c r="C8" s="49">
        <f>COUNTIF('01_Scheme_Tracker'!$Q$4:$Q$453,A8)</f>
        <v/>
      </c>
      <c r="D8" s="85">
        <f>SUMIF('01_Scheme_Tracker'!$Q$4:$Q$453,A8,'01_Scheme_Tracker'!$S$4:$S$453)</f>
        <v/>
      </c>
      <c r="E8" s="52" t="inlineStr">
        <is>
          <t>AF2-WSM-13</t>
        </is>
      </c>
      <c r="F8" s="52" t="inlineStr">
        <is>
          <t>051/2026</t>
        </is>
      </c>
      <c r="G8" s="52" t="inlineStr">
        <is>
          <t>Package #13-AF2 WSM: Construction of 4 Check Dams in 4 district sites of 1.Kata Khana in Yakawlang , 2. Nawora in Panjab, 3.Nahorak in Waras, and 4.Bayani in Sayghan districts of Bamyan province</t>
        </is>
      </c>
      <c r="H8" s="52" t="inlineStr">
        <is>
          <t>Watershed Management</t>
        </is>
      </c>
      <c r="I8" s="52" t="inlineStr">
        <is>
          <t>Bamyan</t>
        </is>
      </c>
      <c r="J8" s="52" t="inlineStr">
        <is>
          <t>Yakawalang, Panjab, Waras, Sayghan</t>
        </is>
      </c>
    </row>
    <row r="9" ht="32" customHeight="1">
      <c r="A9" s="87" t="inlineStr">
        <is>
          <t>Khaliqi Building &amp; Road Construction Company (KBRCC)</t>
        </is>
      </c>
      <c r="B9" s="48" t="n">
        <v>1</v>
      </c>
      <c r="C9" s="49">
        <f>COUNTIF('01_Scheme_Tracker'!$Q$4:$Q$453,A9)</f>
        <v/>
      </c>
      <c r="D9" s="85">
        <f>SUMIF('01_Scheme_Tracker'!$Q$4:$Q$453,A9,'01_Scheme_Tracker'!$S$4:$S$453)</f>
        <v/>
      </c>
      <c r="E9" s="44" t="inlineStr">
        <is>
          <t>AF2-WSM-05</t>
        </is>
      </c>
      <c r="F9" s="44" t="inlineStr">
        <is>
          <t>040/2026</t>
        </is>
      </c>
      <c r="G9" s="44" t="inlineStr">
        <is>
          <t>Package #5-AF2 WSM/Part-2: Construction of 4 Check dams of 1.Farman Khil and 2.Kharoti in Qarghaee district of Laghman province; 3. Lokhy Solozi and 4. Lala Kali in Chaparhar districts of Nangarhar province.</t>
        </is>
      </c>
      <c r="H9" s="44" t="inlineStr">
        <is>
          <t>Watershed Management</t>
        </is>
      </c>
      <c r="I9" s="44" t="inlineStr">
        <is>
          <t>Laghman, Nangarhar</t>
        </is>
      </c>
      <c r="J9" s="44" t="inlineStr">
        <is>
          <t>Qarghaee, Chaparhar</t>
        </is>
      </c>
    </row>
    <row r="10" ht="32" customHeight="1">
      <c r="A10" s="82" t="inlineStr">
        <is>
          <t>Sayed Abad Construction Company (SACC)</t>
        </is>
      </c>
      <c r="B10" s="55" t="n">
        <v>1</v>
      </c>
      <c r="C10" s="49">
        <f>COUNTIF('01_Scheme_Tracker'!$Q$4:$Q$453,A10)</f>
        <v/>
      </c>
      <c r="D10" s="85">
        <f>SUMIF('01_Scheme_Tracker'!$Q$4:$Q$453,A10,'01_Scheme_Tracker'!$S$4:$S$453)</f>
        <v/>
      </c>
      <c r="E10" s="52" t="inlineStr">
        <is>
          <t>AF2-WSM-09</t>
        </is>
      </c>
      <c r="F10" s="52" t="inlineStr">
        <is>
          <t>021/2026</t>
        </is>
      </c>
      <c r="G10" s="52" t="inlineStr">
        <is>
          <t>Package #9-AF2 WSM: Construction of 1.Aka Khil Check dam and 2. Sra Qala Check dam in Sayed district, 3.Khar Check dam and 4.Mardala Check dam, located in Jaghatu districts of Wardak province.</t>
        </is>
      </c>
      <c r="H10" s="52" t="inlineStr">
        <is>
          <t>Watershed Management</t>
        </is>
      </c>
      <c r="I10" s="52" t="inlineStr">
        <is>
          <t>Maidan Wardak</t>
        </is>
      </c>
      <c r="J10" s="52" t="inlineStr">
        <is>
          <t>Sayed Abad, Jaghatu</t>
        </is>
      </c>
    </row>
    <row r="11" ht="32" customHeight="1">
      <c r="A11" s="87" t="inlineStr">
        <is>
          <t>Zahid Saeed Engineering and Construction Company (ZSCC)</t>
        </is>
      </c>
      <c r="B11" s="48" t="n">
        <v>1</v>
      </c>
      <c r="C11" s="49">
        <f>COUNTIF('01_Scheme_Tracker'!$Q$4:$Q$453,A11)</f>
        <v/>
      </c>
      <c r="D11" s="85">
        <f>SUMIF('01_Scheme_Tracker'!$Q$4:$Q$453,A11,'01_Scheme_Tracker'!$S$4:$S$453)</f>
        <v/>
      </c>
      <c r="E11" s="44" t="inlineStr">
        <is>
          <t>AF2-IS-10</t>
        </is>
      </c>
      <c r="F11" s="44" t="inlineStr">
        <is>
          <t>057/2025</t>
        </is>
      </c>
      <c r="G11" s="44" t="inlineStr">
        <is>
          <t>Package #10-AF2 IS: Rehabilitation of 1.Baraki canal, 2. Darbal canal, 3. Nawikhar canal and 4. Mangali canal irrigation schemes, located in Sayed Abad, Chak and Jaghato districts of Wardak province.</t>
        </is>
      </c>
      <c r="H11" s="44" t="inlineStr">
        <is>
          <t>Irrigation Scheme</t>
        </is>
      </c>
      <c r="I11" s="44" t="inlineStr">
        <is>
          <t>Wardak</t>
        </is>
      </c>
      <c r="J11" s="44" t="inlineStr">
        <is>
          <t>Sayed Abad, Chak, Jaghato</t>
        </is>
      </c>
    </row>
    <row r="12" ht="32" customHeight="1">
      <c r="A12" s="82" t="inlineStr">
        <is>
          <t>Afghan Aakam Construction and Road Company. JV with D- Amini Mashwani Construction Company (AACC)</t>
        </is>
      </c>
      <c r="B12" s="55" t="n">
        <v>1</v>
      </c>
      <c r="C12" s="49">
        <f>COUNTIF('01_Scheme_Tracker'!$Q$4:$Q$453,A12)</f>
        <v/>
      </c>
      <c r="D12" s="85">
        <f>SUMIF('01_Scheme_Tracker'!$Q$4:$Q$453,A12,'01_Scheme_Tracker'!$S$4:$S$453)</f>
        <v/>
      </c>
      <c r="E12" s="52" t="inlineStr">
        <is>
          <t>AF2-WSM-03</t>
        </is>
      </c>
      <c r="F12" s="52" t="inlineStr">
        <is>
          <t>006/2026</t>
        </is>
      </c>
      <c r="G12" s="52" t="inlineStr">
        <is>
          <t>Package #3 -AF2 WSM: Construction of Koklam three Check Dams (# 1, # 2 and # 3 ) in Kushk-e-Kohna District of Herat Province</t>
        </is>
      </c>
      <c r="H12" s="52" t="inlineStr">
        <is>
          <t>Watershed Management</t>
        </is>
      </c>
      <c r="I12" s="52" t="inlineStr">
        <is>
          <t>Herat</t>
        </is>
      </c>
      <c r="J12" s="52" t="inlineStr">
        <is>
          <t>Koshk-e-Kohna</t>
        </is>
      </c>
    </row>
    <row r="13" ht="32" customHeight="1">
      <c r="A13" s="87" t="inlineStr">
        <is>
          <t>Afghan Eithad construction and Road Building company (AECC)</t>
        </is>
      </c>
      <c r="B13" s="48" t="n">
        <v>1</v>
      </c>
      <c r="C13" s="49">
        <f>COUNTIF('01_Scheme_Tracker'!$Q$4:$Q$453,A13)</f>
        <v/>
      </c>
      <c r="D13" s="85">
        <f>SUMIF('01_Scheme_Tracker'!$Q$4:$Q$453,A13,'01_Scheme_Tracker'!$S$4:$S$453)</f>
        <v/>
      </c>
      <c r="E13" s="44" t="inlineStr">
        <is>
          <t>AF2-IS-31</t>
        </is>
      </c>
      <c r="F13" s="44" t="inlineStr">
        <is>
          <t>009/2026</t>
        </is>
      </c>
      <c r="G13" s="44" t="inlineStr">
        <is>
          <t>Package #31-AF2 IS: Rehabilitation of 1. Shahidan &amp;Dasht-e Lajam Canal schems in Tala wa barfak district, 2.Sardar Ha canal scheme in Deh Salah district, and 3. Kambilan cluster canal schemes in Fring districts of Baghlan province.</t>
        </is>
      </c>
      <c r="H13" s="44" t="inlineStr">
        <is>
          <t>Irrigation Scheme</t>
        </is>
      </c>
      <c r="I13" s="44" t="inlineStr">
        <is>
          <t>Baghlan</t>
        </is>
      </c>
      <c r="J13" s="44" t="inlineStr">
        <is>
          <t>Fring, Deh Salah, Tala wa barfak</t>
        </is>
      </c>
    </row>
    <row r="14" ht="32" customHeight="1">
      <c r="A14" s="82" t="inlineStr">
        <is>
          <t>ALTIN CONSTRUCTION AND ROAD BUILDING COMPANY (ACC)</t>
        </is>
      </c>
      <c r="B14" s="55" t="n">
        <v>1</v>
      </c>
      <c r="C14" s="49">
        <f>COUNTIF('01_Scheme_Tracker'!$Q$4:$Q$453,A14)</f>
        <v/>
      </c>
      <c r="D14" s="85">
        <f>SUMIF('01_Scheme_Tracker'!$Q$4:$Q$453,A14,'01_Scheme_Tracker'!$S$4:$S$453)</f>
        <v/>
      </c>
      <c r="E14" s="52" t="inlineStr">
        <is>
          <t>AF2-WSM-08</t>
        </is>
      </c>
      <c r="F14" s="52" t="inlineStr">
        <is>
          <t>005/2026</t>
        </is>
      </c>
      <c r="G14" s="52" t="inlineStr">
        <is>
          <t>Package #8-AF2 WSM: Construction of 1.Ghazgai Check dam in Khake Jabar districts, 2.Toop Dara Check dam and 3.Toot Dara Check dam in Center/ 13th City district Kabul province.</t>
        </is>
      </c>
      <c r="H14" s="52" t="inlineStr">
        <is>
          <t>Watershed Management</t>
        </is>
      </c>
      <c r="I14" s="52" t="inlineStr">
        <is>
          <t>Kabul</t>
        </is>
      </c>
      <c r="J14" s="52" t="inlineStr">
        <is>
          <t>Center, Khake Jabar</t>
        </is>
      </c>
    </row>
    <row r="15" ht="32" customHeight="1">
      <c r="A15" s="87" t="inlineStr">
        <is>
          <t>Arman Millad Construction Company (AMCC)</t>
        </is>
      </c>
      <c r="B15" s="48" t="n">
        <v>1</v>
      </c>
      <c r="C15" s="49">
        <f>COUNTIF('01_Scheme_Tracker'!$Q$4:$Q$453,A15)</f>
        <v/>
      </c>
      <c r="D15" s="85">
        <f>SUMIF('01_Scheme_Tracker'!$Q$4:$Q$453,A15,'01_Scheme_Tracker'!$S$4:$S$453)</f>
        <v/>
      </c>
      <c r="E15" s="44" t="inlineStr">
        <is>
          <t>AF2-IS-02</t>
        </is>
      </c>
      <c r="F15" s="44" t="inlineStr">
        <is>
          <t>046/2026</t>
        </is>
      </c>
      <c r="G15" s="44" t="inlineStr">
        <is>
          <t>Package # 2-AF2 IS: Rehabilitation of irrigation schemes of 1.Ali Mansoor Canal in Karukh district, 2.Joy Sork and 3.Sar Kari canals in Farsi districts of Herat province.</t>
        </is>
      </c>
      <c r="H15" s="44" t="inlineStr">
        <is>
          <t>Irrigation Scheme</t>
        </is>
      </c>
      <c r="I15" s="44" t="inlineStr">
        <is>
          <t>Herat</t>
        </is>
      </c>
      <c r="J15" s="44" t="inlineStr">
        <is>
          <t>Karukh, Farsi</t>
        </is>
      </c>
    </row>
    <row r="16" ht="32" customHeight="1">
      <c r="A16" s="82" t="inlineStr">
        <is>
          <t>Bahartamadun Construction Company (BCC)</t>
        </is>
      </c>
      <c r="B16" s="55" t="n">
        <v>1</v>
      </c>
      <c r="C16" s="49">
        <f>COUNTIF('01_Scheme_Tracker'!$Q$4:$Q$453,A16)</f>
        <v/>
      </c>
      <c r="D16" s="85">
        <f>SUMIF('01_Scheme_Tracker'!$Q$4:$Q$453,A16,'01_Scheme_Tracker'!$S$4:$S$453)</f>
        <v/>
      </c>
      <c r="E16" s="52" t="inlineStr">
        <is>
          <t>AF2-WSM-15</t>
        </is>
      </c>
      <c r="F16" s="52" t="inlineStr">
        <is>
          <t>065/2026</t>
        </is>
      </c>
      <c r="G16" s="52" t="inlineStr">
        <is>
          <t>Package #15-AF2 WSM: Construction of 3 Check dams of 1. Sangmom, 2. Shilan Korga, and 3.Khulbar in Nili, Ashtarlay, and Sang Takhta districts of Daykundi province.</t>
        </is>
      </c>
      <c r="H16" s="52" t="inlineStr">
        <is>
          <t>Watershed Management</t>
        </is>
      </c>
      <c r="I16" s="52" t="inlineStr">
        <is>
          <t>Daykundi</t>
        </is>
      </c>
      <c r="J16" s="52" t="inlineStr">
        <is>
          <t>Sang Takht wa Bandar, Nili, Ashtarlay</t>
        </is>
      </c>
    </row>
    <row r="17" ht="32" customHeight="1">
      <c r="A17" s="87" t="inlineStr">
        <is>
          <t>Da Maidan Zawahnono Construction Company (DMZCC)</t>
        </is>
      </c>
      <c r="B17" s="48" t="n">
        <v>1</v>
      </c>
      <c r="C17" s="49">
        <f>COUNTIF('01_Scheme_Tracker'!$Q$4:$Q$453,A17)</f>
        <v/>
      </c>
      <c r="D17" s="85">
        <f>SUMIF('01_Scheme_Tracker'!$Q$4:$Q$453,A17,'01_Scheme_Tracker'!$S$4:$S$453)</f>
        <v/>
      </c>
      <c r="E17" s="44" t="inlineStr">
        <is>
          <t>AF2-WSM-14</t>
        </is>
      </c>
      <c r="F17" s="44" t="inlineStr">
        <is>
          <t>025/2026</t>
        </is>
      </c>
      <c r="G17" s="44" t="inlineStr">
        <is>
          <t>Package #14-AF2 WSM: Construction of 1.Shahristan Check dama in Shahristan district, 2.Miramor Check dam in Miramor district, and 3.Khidir Check dams in Khidir districts of Daykundi province.</t>
        </is>
      </c>
      <c r="H17" s="44" t="inlineStr">
        <is>
          <t>Watershed Management</t>
        </is>
      </c>
      <c r="I17" s="44" t="inlineStr">
        <is>
          <t>Daykundi</t>
        </is>
      </c>
      <c r="J17" s="44" t="inlineStr">
        <is>
          <t>Shahristan, Miramor, Khidir</t>
        </is>
      </c>
    </row>
    <row r="18" ht="32" customHeight="1">
      <c r="A18" s="82" t="inlineStr">
        <is>
          <t>Green Bentley construction Company (GBCC)</t>
        </is>
      </c>
      <c r="B18" s="55" t="n">
        <v>1</v>
      </c>
      <c r="C18" s="49">
        <f>COUNTIF('01_Scheme_Tracker'!$Q$4:$Q$453,A18)</f>
        <v/>
      </c>
      <c r="D18" s="85">
        <f>SUMIF('01_Scheme_Tracker'!$Q$4:$Q$453,A18,'01_Scheme_Tracker'!$S$4:$S$453)</f>
        <v/>
      </c>
      <c r="E18" s="52" t="inlineStr">
        <is>
          <t>AF2-WSM-07</t>
        </is>
      </c>
      <c r="F18" s="52" t="inlineStr">
        <is>
          <t>064/2026</t>
        </is>
      </c>
      <c r="G18" s="52" t="inlineStr">
        <is>
          <t>Package #7-AF2 WSM: Construction of 3 Check dams of 1.Dargrak, 2. Migano, and 3.Lachagali the Sawkai, Khas Kunar and Narang districts of Kunar province.</t>
        </is>
      </c>
      <c r="H18" s="52" t="inlineStr">
        <is>
          <t>Watershed Management</t>
        </is>
      </c>
      <c r="I18" s="52" t="inlineStr">
        <is>
          <t>Kunar</t>
        </is>
      </c>
      <c r="J18" s="52" t="inlineStr">
        <is>
          <t>Sawkai, Narang, Khas Kunar</t>
        </is>
      </c>
    </row>
    <row r="19" ht="32" customHeight="1">
      <c r="A19" s="87" t="inlineStr">
        <is>
          <t>Hemat Ghorzang Construction &amp; Logistic Service Company (HGCC)</t>
        </is>
      </c>
      <c r="B19" s="48" t="n">
        <v>1</v>
      </c>
      <c r="C19" s="49">
        <f>COUNTIF('01_Scheme_Tracker'!$Q$4:$Q$453,A19)</f>
        <v/>
      </c>
      <c r="D19" s="85">
        <f>SUMIF('01_Scheme_Tracker'!$Q$4:$Q$453,A19,'01_Scheme_Tracker'!$S$4:$S$453)</f>
        <v/>
      </c>
      <c r="E19" s="44" t="inlineStr">
        <is>
          <t>AF2-WSM-11</t>
        </is>
      </c>
      <c r="F19" s="44" t="inlineStr">
        <is>
          <t>043/2026</t>
        </is>
      </c>
      <c r="G19" s="44" t="inlineStr">
        <is>
          <t>Package #11-AF2 WSM: Construction of 3 Check dams 1.Wolangak in Shikh Ali, 2.Sanzalai, and 3.Sharkai Olia in Koh-e-Safi district of Parwan province.</t>
        </is>
      </c>
      <c r="H19" s="44" t="inlineStr">
        <is>
          <t>Watershed Management</t>
        </is>
      </c>
      <c r="I19" s="44" t="inlineStr">
        <is>
          <t>Parwan</t>
        </is>
      </c>
      <c r="J19" s="44" t="inlineStr">
        <is>
          <t>Koh-e-Safi, Shikh Ali</t>
        </is>
      </c>
    </row>
    <row r="20" ht="32" customHeight="1">
      <c r="A20" s="82" t="inlineStr">
        <is>
          <t>Kapisa Kohna Dah Construction Company (KKCC)</t>
        </is>
      </c>
      <c r="B20" s="55" t="n">
        <v>1</v>
      </c>
      <c r="C20" s="49">
        <f>COUNTIF('01_Scheme_Tracker'!$Q$4:$Q$453,A20)</f>
        <v/>
      </c>
      <c r="D20" s="85">
        <f>SUMIF('01_Scheme_Tracker'!$Q$4:$Q$453,A20,'01_Scheme_Tracker'!$S$4:$S$453)</f>
        <v/>
      </c>
      <c r="E20" s="52" t="inlineStr">
        <is>
          <t>AF2-WSM-10</t>
        </is>
      </c>
      <c r="F20" s="52" t="inlineStr">
        <is>
          <t>020/2026</t>
        </is>
      </c>
      <c r="G20" s="52" t="inlineStr">
        <is>
          <t>Package #10-AF2 WSM: Construction of Loy Shenkai Check dams # 1 and # 2 in Tagab district, and Shahr-e-Naw Check dam # 3 located in Nijrab districts of Kapisa province.</t>
        </is>
      </c>
      <c r="H20" s="52" t="inlineStr">
        <is>
          <t>Watershed Management</t>
        </is>
      </c>
      <c r="I20" s="52" t="inlineStr">
        <is>
          <t>Kapisa</t>
        </is>
      </c>
      <c r="J20" s="52" t="inlineStr">
        <is>
          <t>Tagab, Nijrab</t>
        </is>
      </c>
    </row>
    <row r="21" ht="32" customHeight="1">
      <c r="A21" s="87" t="inlineStr">
        <is>
          <t>Naeemi Safi Construction &amp; Construction Material Company (NSCC)</t>
        </is>
      </c>
      <c r="B21" s="48" t="n">
        <v>1</v>
      </c>
      <c r="C21" s="49">
        <f>COUNTIF('01_Scheme_Tracker'!$Q$4:$Q$453,A21)</f>
        <v/>
      </c>
      <c r="D21" s="85">
        <f>SUMIF('01_Scheme_Tracker'!$Q$4:$Q$453,A21,'01_Scheme_Tracker'!$S$4:$S$453)</f>
        <v/>
      </c>
      <c r="E21" s="44" t="inlineStr">
        <is>
          <t>AF2-WSM-06</t>
        </is>
      </c>
      <c r="F21" s="44" t="inlineStr">
        <is>
          <t>065/2026</t>
        </is>
      </c>
      <c r="G21" s="44" t="inlineStr">
        <is>
          <t>Package #6-AF2 WSM: Construction of Jarobi Tangi, Chaghari and Adore check dams, located in Shirzad, Rodat, and Khogyani, districts of Nangarhar province.</t>
        </is>
      </c>
      <c r="H21" s="44" t="inlineStr">
        <is>
          <t>Watershed Management</t>
        </is>
      </c>
      <c r="I21" s="44" t="inlineStr">
        <is>
          <t>Nangarhar</t>
        </is>
      </c>
      <c r="J21" s="44" t="inlineStr">
        <is>
          <t>Sherzad, Rodat, Khogyani</t>
        </is>
      </c>
    </row>
    <row r="22" ht="32" customHeight="1">
      <c r="A22" s="82" t="inlineStr">
        <is>
          <t>Shams Afghan Vision Construction and Logistic Services (SAVCC)</t>
        </is>
      </c>
      <c r="B22" s="55" t="n">
        <v>1</v>
      </c>
      <c r="C22" s="49">
        <f>COUNTIF('01_Scheme_Tracker'!$Q$4:$Q$453,A22)</f>
        <v/>
      </c>
      <c r="D22" s="85">
        <f>SUMIF('01_Scheme_Tracker'!$Q$4:$Q$453,A22,'01_Scheme_Tracker'!$S$4:$S$453)</f>
        <v/>
      </c>
      <c r="E22" s="52" t="inlineStr">
        <is>
          <t>AF2-WSM-02</t>
        </is>
      </c>
      <c r="F22" s="52" t="inlineStr">
        <is>
          <t>014/2026</t>
        </is>
      </c>
      <c r="G22" s="52" t="inlineStr">
        <is>
          <t>Package #2 -AF2 WSM: Construction of 1. Dareh Shah Toot-1, 2. Dareh ShahToot-2, and 3. Jar Sono check dams in Obe District of Herat Province</t>
        </is>
      </c>
      <c r="H22" s="52" t="inlineStr">
        <is>
          <t>Watershed Management</t>
        </is>
      </c>
      <c r="I22" s="52" t="inlineStr">
        <is>
          <t>Herat</t>
        </is>
      </c>
      <c r="J22" s="52" t="inlineStr">
        <is>
          <t>Obe</t>
        </is>
      </c>
    </row>
    <row r="23" ht="32" customHeight="1">
      <c r="A23" s="87" t="inlineStr">
        <is>
          <t>Shirali Khan Barakatzai Construction Company (SBCC)</t>
        </is>
      </c>
      <c r="B23" s="48" t="n">
        <v>1</v>
      </c>
      <c r="C23" s="49">
        <f>COUNTIF('01_Scheme_Tracker'!$Q$4:$Q$453,A23)</f>
        <v/>
      </c>
      <c r="D23" s="85">
        <f>SUMIF('01_Scheme_Tracker'!$Q$4:$Q$453,A23,'01_Scheme_Tracker'!$S$4:$S$453)</f>
        <v/>
      </c>
      <c r="E23" s="44" t="inlineStr">
        <is>
          <t>AF2-IS-06</t>
        </is>
      </c>
      <c r="F23" s="44" t="inlineStr">
        <is>
          <t>054/2025</t>
        </is>
      </c>
      <c r="G23" s="44" t="inlineStr">
        <is>
          <t>Package #6-AF2 IS: Rehabilitation of Kushtal Canal, Checknawar canal, and Patikhirrki canal irrigation schemes, located in Lalpora ,Spinghar and Khogyani districts of Nangarhar province.</t>
        </is>
      </c>
      <c r="H23" s="44" t="inlineStr">
        <is>
          <t>Irrigation Scheme</t>
        </is>
      </c>
      <c r="I23" s="44" t="inlineStr">
        <is>
          <t>Nangarhar</t>
        </is>
      </c>
      <c r="J23" s="44" t="inlineStr">
        <is>
          <t>Spinghar, Lalpora, Khogyani</t>
        </is>
      </c>
    </row>
    <row r="24" ht="32" customHeight="1">
      <c r="A24" s="82" t="inlineStr">
        <is>
          <t>AFGHAN LUCKY CONSTRUCTION COMPANY (ALCC)</t>
        </is>
      </c>
      <c r="B24" s="55" t="n">
        <v>1</v>
      </c>
      <c r="C24" s="49">
        <f>COUNTIF('01_Scheme_Tracker'!$Q$4:$Q$453,A24)</f>
        <v/>
      </c>
      <c r="D24" s="85">
        <f>SUMIF('01_Scheme_Tracker'!$Q$4:$Q$453,A24,'01_Scheme_Tracker'!$S$4:$S$453)</f>
        <v/>
      </c>
      <c r="E24" s="52" t="inlineStr">
        <is>
          <t>AF2-IS-33</t>
        </is>
      </c>
      <c r="F24" s="52" t="inlineStr">
        <is>
          <t>003/2026</t>
        </is>
      </c>
      <c r="G24" s="52" t="inlineStr">
        <is>
          <t>Package #33-AF2 IS: Rehabilitation of Chela Mazar canal and Kushkak canal irrigation schemes, located in Dara-e- Suf-e-Bala and Dara-e-Suf-e-Payeen districts of Samangan province.</t>
        </is>
      </c>
      <c r="H24" s="52" t="inlineStr">
        <is>
          <t>Irrigation Scheme</t>
        </is>
      </c>
      <c r="I24" s="52" t="inlineStr">
        <is>
          <t>Samangan</t>
        </is>
      </c>
      <c r="J24" s="52" t="inlineStr">
        <is>
          <t>Dara-e- Suf-e-Payeen, Dara-e- Suf-e-Bala</t>
        </is>
      </c>
    </row>
    <row r="25" ht="32" customHeight="1">
      <c r="A25" s="87" t="inlineStr">
        <is>
          <t>Arman Sharq Construction Company ASCC)</t>
        </is>
      </c>
      <c r="B25" s="48" t="n">
        <v>1</v>
      </c>
      <c r="C25" s="49">
        <f>COUNTIF('01_Scheme_Tracker'!$Q$4:$Q$453,A25)</f>
        <v/>
      </c>
      <c r="D25" s="85">
        <f>SUMIF('01_Scheme_Tracker'!$Q$4:$Q$453,A25,'01_Scheme_Tracker'!$S$4:$S$453)</f>
        <v/>
      </c>
      <c r="E25" s="44" t="inlineStr">
        <is>
          <t>AF2-WSM-28</t>
        </is>
      </c>
      <c r="F25" s="44" t="inlineStr">
        <is>
          <t>054/2026</t>
        </is>
      </c>
      <c r="G25" s="44" t="inlineStr">
        <is>
          <t>Package #28-AF2 WSM: Construction of 2 Check dams of 1. Chatqa Sai in Dahna-e-Ghori and 2.Tahiryan in Baghlan Markazi districts of Baghlan province.</t>
        </is>
      </c>
      <c r="H25" s="44" t="inlineStr">
        <is>
          <t>Watershed Management</t>
        </is>
      </c>
      <c r="I25" s="44" t="inlineStr">
        <is>
          <t>Baghlan</t>
        </is>
      </c>
      <c r="J25" s="44" t="inlineStr">
        <is>
          <t>Dahna-e-Ghori, Baghlan Markazi</t>
        </is>
      </c>
    </row>
    <row r="26" ht="32" customHeight="1">
      <c r="A26" s="82" t="inlineStr">
        <is>
          <t>Awrish builder construction company (ABCC)</t>
        </is>
      </c>
      <c r="B26" s="55" t="n">
        <v>1</v>
      </c>
      <c r="C26" s="49">
        <f>COUNTIF('01_Scheme_Tracker'!$Q$4:$Q$453,A26)</f>
        <v/>
      </c>
      <c r="D26" s="85">
        <f>SUMIF('01_Scheme_Tracker'!$Q$4:$Q$453,A26,'01_Scheme_Tracker'!$S$4:$S$453)</f>
        <v/>
      </c>
      <c r="E26" s="52" t="inlineStr">
        <is>
          <t>AF2-IS-08</t>
        </is>
      </c>
      <c r="F26" s="52" t="inlineStr">
        <is>
          <t>055/2026</t>
        </is>
      </c>
      <c r="G26" s="52" t="inlineStr">
        <is>
          <t>Package #8-AF2 IS: Rehabilitation of Khas Kunar Lower canal and Bahrabad canal irrigation schemes, located in Khas Kunar district of Kunar and Behsood district of Nangarhar provinces.</t>
        </is>
      </c>
      <c r="H26" s="52" t="inlineStr">
        <is>
          <t>Irrigation Scheme</t>
        </is>
      </c>
      <c r="I26" s="52" t="inlineStr">
        <is>
          <t>Nangarhar, Kunar</t>
        </is>
      </c>
      <c r="J26" s="52" t="inlineStr">
        <is>
          <t>Behsood, Khas Kunar</t>
        </is>
      </c>
    </row>
    <row r="27" ht="32" customHeight="1">
      <c r="A27" s="87" t="inlineStr">
        <is>
          <t>Farhad Matoonyar Construction Company (FMCC)</t>
        </is>
      </c>
      <c r="B27" s="48" t="n">
        <v>1</v>
      </c>
      <c r="C27" s="49">
        <f>COUNTIF('01_Scheme_Tracker'!$Q$4:$Q$453,A27)</f>
        <v/>
      </c>
      <c r="D27" s="85">
        <f>SUMIF('01_Scheme_Tracker'!$Q$4:$Q$453,A27,'01_Scheme_Tracker'!$S$4:$S$453)</f>
        <v/>
      </c>
      <c r="E27" s="44" t="inlineStr">
        <is>
          <t>AF2-IS-21</t>
        </is>
      </c>
      <c r="F27" s="44" t="inlineStr">
        <is>
          <t>038/2026</t>
        </is>
      </c>
      <c r="G27" s="44" t="inlineStr">
        <is>
          <t>Package # 21-AF2 IS: Rehabilitation of Markazi Ziruk and Mulakh canal irrigation schemes, located in Ziruk and Yousaf Khil districts of Pakteka province.</t>
        </is>
      </c>
      <c r="H27" s="44" t="inlineStr">
        <is>
          <t>Irrigation Scheme</t>
        </is>
      </c>
      <c r="I27" s="44" t="inlineStr">
        <is>
          <t>Pakteka</t>
        </is>
      </c>
      <c r="J27" s="44" t="inlineStr">
        <is>
          <t>Ziruk, Yousaf Khil</t>
        </is>
      </c>
    </row>
    <row r="28" ht="32" customHeight="1">
      <c r="A28" s="82" t="inlineStr">
        <is>
          <t>Malik Hajdar Construction and Road Company (MHCC)</t>
        </is>
      </c>
      <c r="B28" s="55" t="n">
        <v>1</v>
      </c>
      <c r="C28" s="49">
        <f>COUNTIF('01_Scheme_Tracker'!$Q$4:$Q$453,A28)</f>
        <v/>
      </c>
      <c r="D28" s="85">
        <f>SUMIF('01_Scheme_Tracker'!$Q$4:$Q$453,A28,'01_Scheme_Tracker'!$S$4:$S$453)</f>
        <v/>
      </c>
      <c r="E28" s="52" t="inlineStr">
        <is>
          <t>AF2-WSM-31</t>
        </is>
      </c>
      <c r="F28" s="52" t="inlineStr">
        <is>
          <t>033/2026</t>
        </is>
      </c>
      <c r="G28" s="52" t="inlineStr">
        <is>
          <t>Package # 31-AF2 WSM: Construction of 1. Khaibar and 2. Chelgazi Check dams, located in Khaibar and Chelgazi districts of Faryab province.</t>
        </is>
      </c>
      <c r="H28" s="52" t="inlineStr">
        <is>
          <t>Watershed Management</t>
        </is>
      </c>
      <c r="I28" s="52" t="inlineStr">
        <is>
          <t>Faryab</t>
        </is>
      </c>
      <c r="J28" s="52" t="inlineStr">
        <is>
          <t>Chelgazi, Khaibar</t>
        </is>
      </c>
    </row>
    <row r="29" ht="32" customHeight="1">
      <c r="A29" s="87" t="inlineStr">
        <is>
          <t>Mudeser Bigmurad Construction Company (MBCC)</t>
        </is>
      </c>
      <c r="B29" s="48" t="n">
        <v>1</v>
      </c>
      <c r="C29" s="49">
        <f>COUNTIF('01_Scheme_Tracker'!$Q$4:$Q$453,A29)</f>
        <v/>
      </c>
      <c r="D29" s="85">
        <f>SUMIF('01_Scheme_Tracker'!$Q$4:$Q$453,A29,'01_Scheme_Tracker'!$S$4:$S$453)</f>
        <v/>
      </c>
      <c r="E29" s="44" t="inlineStr">
        <is>
          <t>AF2-WSM-32</t>
        </is>
      </c>
      <c r="F29" s="44" t="inlineStr">
        <is>
          <t>045/2026</t>
        </is>
      </c>
      <c r="G29" s="44" t="inlineStr">
        <is>
          <t>Package #32-AF2 WSM: Construction of Tai Khunak 4 Check dams of A. Khoja Momin site # 1 and site # 2, B. Sari Shor site # 3 and site #4, located in Aybak district of Samangan province.</t>
        </is>
      </c>
      <c r="H29" s="44" t="inlineStr">
        <is>
          <t>Watershed Management</t>
        </is>
      </c>
      <c r="I29" s="44" t="inlineStr">
        <is>
          <t>Samangan</t>
        </is>
      </c>
      <c r="J29" s="44" t="inlineStr">
        <is>
          <t>Aybak</t>
        </is>
      </c>
    </row>
    <row r="30" ht="32" customHeight="1">
      <c r="A30" s="82" t="inlineStr">
        <is>
          <t>Nomae Shahr Construction Company (NSCC)</t>
        </is>
      </c>
      <c r="B30" s="55" t="n">
        <v>1</v>
      </c>
      <c r="C30" s="49">
        <f>COUNTIF('01_Scheme_Tracker'!$Q$4:$Q$453,A30)</f>
        <v/>
      </c>
      <c r="D30" s="85">
        <f>SUMIF('01_Scheme_Tracker'!$Q$4:$Q$453,A30,'01_Scheme_Tracker'!$S$4:$S$453)</f>
        <v/>
      </c>
      <c r="E30" s="52" t="inlineStr">
        <is>
          <t>AF2-IS-14</t>
        </is>
      </c>
      <c r="F30" s="52" t="inlineStr">
        <is>
          <t>002/2026</t>
        </is>
      </c>
      <c r="G30" s="52" t="inlineStr">
        <is>
          <t>Package #14-AF2 IS: Rehabilitation of Zard Sang and Topchi Cluster Canal Irrigation scheme, located in Center district of Bamyan province.</t>
        </is>
      </c>
      <c r="H30" s="52" t="inlineStr">
        <is>
          <t>Irrigation Scheme</t>
        </is>
      </c>
      <c r="I30" s="52" t="inlineStr">
        <is>
          <t>Bamyan</t>
        </is>
      </c>
      <c r="J30" s="52" t="inlineStr">
        <is>
          <t>Center</t>
        </is>
      </c>
    </row>
    <row r="31" ht="32" customHeight="1">
      <c r="A31" s="87" t="inlineStr">
        <is>
          <t>Omar Mortaza Construction &amp; Road Building JV Karwan Seraji Construction and Road Building Company (OMCC&amp;KSCC)</t>
        </is>
      </c>
      <c r="B31" s="48" t="n">
        <v>1</v>
      </c>
      <c r="C31" s="49">
        <f>COUNTIF('01_Scheme_Tracker'!$Q$4:$Q$453,A31)</f>
        <v/>
      </c>
      <c r="D31" s="85">
        <f>SUMIF('01_Scheme_Tracker'!$Q$4:$Q$453,A31,'01_Scheme_Tracker'!$S$4:$S$453)</f>
        <v/>
      </c>
      <c r="E31" s="44" t="inlineStr">
        <is>
          <t>AF2-WSM-29</t>
        </is>
      </c>
      <c r="F31" s="44" t="inlineStr">
        <is>
          <t>034/2026</t>
        </is>
      </c>
      <c r="G31" s="44" t="inlineStr">
        <is>
          <t>Package # 29-AF2 WSM: Construction 1. Alburs and 2. Marmul Check dams, located in Marmul and Alburs districts of Balkh province</t>
        </is>
      </c>
      <c r="H31" s="44" t="inlineStr">
        <is>
          <t>Watershed Management</t>
        </is>
      </c>
      <c r="I31" s="44" t="inlineStr">
        <is>
          <t>Balkh</t>
        </is>
      </c>
      <c r="J31" s="44" t="inlineStr">
        <is>
          <t>Alburz, Marmul</t>
        </is>
      </c>
    </row>
    <row r="32" ht="32" customHeight="1">
      <c r="A32" s="82" t="inlineStr">
        <is>
          <t>SHAMAL KARDAN ROAD CONSTRUCTION AND LOGISTIC SERVICES COMPANY LTD (SKRCC)</t>
        </is>
      </c>
      <c r="B32" s="55" t="n">
        <v>1</v>
      </c>
      <c r="C32" s="49">
        <f>COUNTIF('01_Scheme_Tracker'!$Q$4:$Q$453,A32)</f>
        <v/>
      </c>
      <c r="D32" s="85">
        <f>SUMIF('01_Scheme_Tracker'!$Q$4:$Q$453,A32,'01_Scheme_Tracker'!$S$4:$S$453)</f>
        <v/>
      </c>
      <c r="E32" s="52" t="inlineStr">
        <is>
          <t>AF2-IS-28</t>
        </is>
      </c>
      <c r="F32" s="52" t="inlineStr">
        <is>
          <t>067/2025</t>
        </is>
      </c>
      <c r="G32" s="52" t="inlineStr">
        <is>
          <t>Package # 28 – AF2 IS: Rehabilitation of Irrigation Schemes of 1. Abil Aroq (Qanjogha), 2. Shaitan Aroq Cluster Canals in Khwaja Ghar District and 3. Kalta Aroq, 4. Pacha Khail, and 5. Sayed Miran (Khar Kar) Cluster Canals in Eshkamish District of Takhar Province</t>
        </is>
      </c>
      <c r="H32" s="52" t="inlineStr">
        <is>
          <t>Irrigation Scheme</t>
        </is>
      </c>
      <c r="I32" s="52" t="inlineStr">
        <is>
          <t>Takhar</t>
        </is>
      </c>
      <c r="J32" s="52" t="inlineStr">
        <is>
          <t>Khwaja Ghar, Eshkamish</t>
        </is>
      </c>
    </row>
    <row r="33" ht="32" customHeight="1">
      <c r="A33" s="87" t="inlineStr">
        <is>
          <t>Trust Grow Construction and Engineering Company (TGCC)</t>
        </is>
      </c>
      <c r="B33" s="48" t="n">
        <v>1</v>
      </c>
      <c r="C33" s="49">
        <f>COUNTIF('01_Scheme_Tracker'!$Q$4:$Q$453,A33)</f>
        <v/>
      </c>
      <c r="D33" s="85">
        <f>SUMIF('01_Scheme_Tracker'!$Q$4:$Q$453,A33,'01_Scheme_Tracker'!$S$4:$S$453)</f>
        <v/>
      </c>
      <c r="E33" s="44" t="inlineStr">
        <is>
          <t>AF2-IS-32</t>
        </is>
      </c>
      <c r="F33" s="44" t="inlineStr">
        <is>
          <t>075/2025</t>
        </is>
      </c>
      <c r="G33" s="44" t="inlineStr">
        <is>
          <t>Package #32-AF2 IS: Rehabilitation of Abdul Baqi canal and Mulla Oma canal irrigation schemes, located in Chemtal districts of Balkh province.</t>
        </is>
      </c>
      <c r="H33" s="44" t="inlineStr">
        <is>
          <t>Irrigation Scheme</t>
        </is>
      </c>
      <c r="I33" s="44" t="inlineStr">
        <is>
          <t>Balkh</t>
        </is>
      </c>
      <c r="J33" s="44" t="inlineStr">
        <is>
          <t>Chemtal</t>
        </is>
      </c>
    </row>
    <row r="34" ht="32" customHeight="1">
      <c r="A34" s="82" t="inlineStr">
        <is>
          <t>Unique Wahaj Construction Company (UWCC)</t>
        </is>
      </c>
      <c r="B34" s="55" t="n">
        <v>1</v>
      </c>
      <c r="C34" s="49">
        <f>COUNTIF('01_Scheme_Tracker'!$Q$4:$Q$453,A34)</f>
        <v/>
      </c>
      <c r="D34" s="85">
        <f>SUMIF('01_Scheme_Tracker'!$Q$4:$Q$453,A34,'01_Scheme_Tracker'!$S$4:$S$453)</f>
        <v/>
      </c>
      <c r="E34" s="52" t="inlineStr">
        <is>
          <t>AF2-IS-19</t>
        </is>
      </c>
      <c r="F34" s="52" t="inlineStr">
        <is>
          <t>074/2026</t>
        </is>
      </c>
      <c r="G34" s="52" t="inlineStr">
        <is>
          <t>Package #19-AF2 IS: Rehabilitation of Khwaja Angor canal and Qalai Wazir canal irrigation schemes located in Kharwar and Pol-i-Alam districts of Logar province.</t>
        </is>
      </c>
      <c r="H34" s="52" t="inlineStr">
        <is>
          <t>Irrigation Scheme</t>
        </is>
      </c>
      <c r="I34" s="52" t="inlineStr">
        <is>
          <t>Logar</t>
        </is>
      </c>
      <c r="J34" s="52" t="inlineStr">
        <is>
          <t>Kharwar, Pol-i-Alam</t>
        </is>
      </c>
    </row>
    <row r="35" ht="32" customHeight="1">
      <c r="A35" s="87" t="inlineStr">
        <is>
          <t>Waheed Wahaj Construction Company (WWCC)</t>
        </is>
      </c>
      <c r="B35" s="48" t="n">
        <v>1</v>
      </c>
      <c r="C35" s="49">
        <f>COUNTIF('01_Scheme_Tracker'!$Q$4:$Q$453,A35)</f>
        <v/>
      </c>
      <c r="D35" s="85">
        <f>SUMIF('01_Scheme_Tracker'!$Q$4:$Q$453,A35,'01_Scheme_Tracker'!$S$4:$S$453)</f>
        <v/>
      </c>
      <c r="E35" s="44" t="inlineStr">
        <is>
          <t>AF2-WSM-30</t>
        </is>
      </c>
      <c r="F35" s="44" t="inlineStr">
        <is>
          <t>050/2026</t>
        </is>
      </c>
      <c r="G35" s="44" t="inlineStr">
        <is>
          <t>Package #30-AF2 WSM: Construction of 5 Check Damas of A. Majar site # 1 and site # 2; B.Elyasgar site # 3, site 4 and site # 5, located in Aljahad district of Sar-e-Pul province.</t>
        </is>
      </c>
      <c r="H35" s="44" t="inlineStr">
        <is>
          <t>Watershed Management</t>
        </is>
      </c>
      <c r="I35" s="44" t="inlineStr">
        <is>
          <t>Sar-e-Pul</t>
        </is>
      </c>
      <c r="J35" s="44" t="inlineStr">
        <is>
          <t>Aljahad</t>
        </is>
      </c>
    </row>
    <row r="36" ht="32" customHeight="1">
      <c r="A36" s="82" t="inlineStr">
        <is>
          <t>Wasif Construction Company</t>
        </is>
      </c>
      <c r="B36" s="55" t="n">
        <v>1</v>
      </c>
      <c r="C36" s="49">
        <f>COUNTIF('01_Scheme_Tracker'!$Q$4:$Q$453,A36)</f>
        <v/>
      </c>
      <c r="D36" s="85">
        <f>SUMIF('01_Scheme_Tracker'!$Q$4:$Q$453,A36,'01_Scheme_Tracker'!$S$4:$S$453)</f>
        <v/>
      </c>
      <c r="E36" s="52" t="inlineStr">
        <is>
          <t>AF2-IS-25</t>
        </is>
      </c>
      <c r="F36" s="52" t="inlineStr">
        <is>
          <t>012/2026</t>
        </is>
      </c>
      <c r="G36" s="52" t="inlineStr">
        <is>
          <t>Package #25-AF2 IS: Rehabilitation of Urdo Kas canal and Sarkay Lazhey canal irrigation schemes, located in Sha Wali Kot and Boldak districts of Kandahar province.</t>
        </is>
      </c>
      <c r="H36" s="52" t="inlineStr">
        <is>
          <t>Irrigation Scheme</t>
        </is>
      </c>
      <c r="I36" s="52" t="inlineStr">
        <is>
          <t>Kandahar</t>
        </is>
      </c>
      <c r="J36" s="52" t="inlineStr">
        <is>
          <t>Boldak, Sha Wali Kot</t>
        </is>
      </c>
    </row>
    <row r="37" ht="32" customHeight="1">
      <c r="A37" s="87" t="inlineStr">
        <is>
          <t>Afghan Aakam Construction and Road Company C. JV with D-Amini Mashwani Construction Road Juroni and Construction Materials Production Company (AACRC&amp;JV DAMCC)</t>
        </is>
      </c>
      <c r="B37" s="48" t="n">
        <v>1</v>
      </c>
      <c r="C37" s="49">
        <f>COUNTIF('01_Scheme_Tracker'!$Q$4:$Q$453,A37)</f>
        <v/>
      </c>
      <c r="D37" s="85">
        <f>SUMIF('01_Scheme_Tracker'!$Q$4:$Q$453,A37,'01_Scheme_Tracker'!$S$4:$S$453)</f>
        <v/>
      </c>
      <c r="E37" s="44" t="inlineStr">
        <is>
          <t>AF2-IS-01</t>
        </is>
      </c>
      <c r="F37" s="44" t="inlineStr">
        <is>
          <t>050/2025</t>
        </is>
      </c>
      <c r="G37" s="44" t="inlineStr">
        <is>
          <t>Package #1-AF2 IS: Rehabilitation of Joy Bazar irrigation scheme located in Obe district of Herat province.</t>
        </is>
      </c>
      <c r="H37" s="44" t="inlineStr">
        <is>
          <t>Irrigation Scheme</t>
        </is>
      </c>
      <c r="I37" s="44" t="inlineStr">
        <is>
          <t>Herat</t>
        </is>
      </c>
      <c r="J37" s="44" t="inlineStr">
        <is>
          <t>Obeh</t>
        </is>
      </c>
    </row>
    <row r="38" ht="32" customHeight="1">
      <c r="A38" s="82" t="inlineStr">
        <is>
          <t>Estehkam Baba Construction Company JV Tamadon Bamik Construction Company (EBCC)</t>
        </is>
      </c>
      <c r="B38" s="55" t="n">
        <v>1</v>
      </c>
      <c r="C38" s="49">
        <f>COUNTIF('01_Scheme_Tracker'!$Q$4:$Q$453,A38)</f>
        <v/>
      </c>
      <c r="D38" s="85">
        <f>SUMIF('01_Scheme_Tracker'!$Q$4:$Q$453,A38,'01_Scheme_Tracker'!$S$4:$S$453)</f>
        <v/>
      </c>
      <c r="E38" s="52" t="inlineStr">
        <is>
          <t>AF2-IS-16</t>
        </is>
      </c>
      <c r="F38" s="52" t="inlineStr">
        <is>
          <t>007/2026</t>
        </is>
      </c>
      <c r="G38" s="52" t="inlineStr">
        <is>
          <t>Package #16-AF2 IS: Rehabilitation of Pato (Paye Raqul, Sangchal Takhomak and Kadalak) Cluster canal irrigation scheme in Pato district of Daykundi province</t>
        </is>
      </c>
      <c r="H38" s="52" t="inlineStr">
        <is>
          <t>Irrigation Scheme</t>
        </is>
      </c>
      <c r="I38" s="52" t="inlineStr">
        <is>
          <t>Daykundi</t>
        </is>
      </c>
      <c r="J38" s="52" t="inlineStr">
        <is>
          <t>Pato</t>
        </is>
      </c>
    </row>
    <row r="39" ht="32" customHeight="1">
      <c r="A39" s="87" t="inlineStr">
        <is>
          <t>Hemat safi construction company (HSCC)</t>
        </is>
      </c>
      <c r="B39" s="48" t="n">
        <v>1</v>
      </c>
      <c r="C39" s="49">
        <f>COUNTIF('01_Scheme_Tracker'!$Q$4:$Q$453,A39)</f>
        <v/>
      </c>
      <c r="D39" s="85">
        <f>SUMIF('01_Scheme_Tracker'!$Q$4:$Q$453,A39,'01_Scheme_Tracker'!$S$4:$S$453)</f>
        <v/>
      </c>
      <c r="E39" s="44" t="inlineStr">
        <is>
          <t>AF2-WSM-18</t>
        </is>
      </c>
      <c r="F39" s="44" t="inlineStr">
        <is>
          <t>047/2026</t>
        </is>
      </c>
      <c r="G39" s="44" t="inlineStr">
        <is>
          <t>Package #18-AF2 WSM: Construction of Muqarab Check dams, located in Gelan districts of Ghazni province.</t>
        </is>
      </c>
      <c r="H39" s="44" t="inlineStr">
        <is>
          <t>Watershed Management</t>
        </is>
      </c>
      <c r="I39" s="44" t="inlineStr">
        <is>
          <t>Ghazni</t>
        </is>
      </c>
      <c r="J39" s="44" t="inlineStr">
        <is>
          <t>Gelan</t>
        </is>
      </c>
    </row>
    <row r="40" ht="32" customHeight="1">
      <c r="A40" s="82" t="inlineStr">
        <is>
          <t>Mahmood Raqi Nawin Construction &amp; Road Building Company (MRCC)</t>
        </is>
      </c>
      <c r="B40" s="55" t="n">
        <v>1</v>
      </c>
      <c r="C40" s="49">
        <f>COUNTIF('01_Scheme_Tracker'!$Q$4:$Q$453,A40)</f>
        <v/>
      </c>
      <c r="D40" s="85">
        <f>SUMIF('01_Scheme_Tracker'!$Q$4:$Q$453,A40,'01_Scheme_Tracker'!$S$4:$S$453)</f>
        <v/>
      </c>
      <c r="E40" s="52" t="inlineStr">
        <is>
          <t>AF2-IS-20</t>
        </is>
      </c>
      <c r="F40" s="52" t="inlineStr">
        <is>
          <t>053/2025</t>
        </is>
      </c>
      <c r="G40" s="52" t="inlineStr">
        <is>
          <t>Package #20-AF2 IS: Rehabilitation of Welgai irrigation system, located in Matoon district of Khost province.</t>
        </is>
      </c>
      <c r="H40" s="52" t="inlineStr">
        <is>
          <t>Irrigation Scheme</t>
        </is>
      </c>
      <c r="I40" s="52" t="inlineStr">
        <is>
          <t>Khost</t>
        </is>
      </c>
      <c r="J40" s="52" t="inlineStr">
        <is>
          <t>Matoon</t>
        </is>
      </c>
    </row>
    <row r="41" ht="32" customHeight="1">
      <c r="A41" s="87" t="inlineStr">
        <is>
          <t>New Safi Zada Construction &amp; Road Building Company JV with Elyas Aryoubi Constructin Road building and Logistic Company (NSZ&amp;EACC)</t>
        </is>
      </c>
      <c r="B41" s="48" t="n">
        <v>1</v>
      </c>
      <c r="C41" s="49">
        <f>COUNTIF('01_Scheme_Tracker'!$Q$4:$Q$453,A41)</f>
        <v/>
      </c>
      <c r="D41" s="85">
        <f>SUMIF('01_Scheme_Tracker'!$Q$4:$Q$453,A41,'01_Scheme_Tracker'!$S$4:$S$453)</f>
        <v/>
      </c>
      <c r="E41" s="44" t="inlineStr">
        <is>
          <t>AF2-IS-26</t>
        </is>
      </c>
      <c r="F41" s="44" t="inlineStr">
        <is>
          <t>019/2026</t>
        </is>
      </c>
      <c r="G41" s="44" t="inlineStr">
        <is>
          <t>Package #26-AF2 IS: Rehabilitation of Sarwan Qala canal irrigation schemes, located in Sangin district of Kandahar province.</t>
        </is>
      </c>
      <c r="H41" s="44" t="inlineStr">
        <is>
          <t>Irrigation Scheme</t>
        </is>
      </c>
      <c r="I41" s="44" t="inlineStr">
        <is>
          <t>Helmand</t>
        </is>
      </c>
      <c r="J41" s="44" t="inlineStr">
        <is>
          <t>Sangin</t>
        </is>
      </c>
    </row>
    <row r="42" ht="32" customHeight="1">
      <c r="A42" s="82" t="inlineStr">
        <is>
          <t>Sakht shamal construction and road building company (SSCC)</t>
        </is>
      </c>
      <c r="B42" s="55" t="n">
        <v>1</v>
      </c>
      <c r="C42" s="49">
        <f>COUNTIF('01_Scheme_Tracker'!$Q$4:$Q$453,A42)</f>
        <v/>
      </c>
      <c r="D42" s="85">
        <f>SUMIF('01_Scheme_Tracker'!$Q$4:$Q$453,A42,'01_Scheme_Tracker'!$S$4:$S$453)</f>
        <v/>
      </c>
      <c r="E42" s="52" t="inlineStr">
        <is>
          <t>AF2-IS-35</t>
        </is>
      </c>
      <c r="F42" s="52" t="inlineStr">
        <is>
          <t>016/2026</t>
        </is>
      </c>
      <c r="G42" s="52" t="inlineStr">
        <is>
          <t>Package # 35-AF2 IS: Rehabilitation of Bahr-e Ameq canal irrigation scheme, located in Sozma Qala districts of Sar-e-Pul province.</t>
        </is>
      </c>
      <c r="H42" s="52" t="inlineStr">
        <is>
          <t>Irrigation Scheme</t>
        </is>
      </c>
      <c r="I42" s="52" t="inlineStr">
        <is>
          <t>Sar-e- Pul</t>
        </is>
      </c>
      <c r="J42" s="52" t="inlineStr">
        <is>
          <t>Sozma Qala</t>
        </is>
      </c>
    </row>
    <row r="43" ht="32" customHeight="1">
      <c r="A43" s="87" t="inlineStr">
        <is>
          <t>Sayed Shirazi Construction and Road Building Company (SCRC)</t>
        </is>
      </c>
      <c r="B43" s="48" t="n">
        <v>1</v>
      </c>
      <c r="C43" s="49">
        <f>COUNTIF('01_Scheme_Tracker'!$Q$4:$Q$453,A43)</f>
        <v/>
      </c>
      <c r="D43" s="85">
        <f>SUMIF('01_Scheme_Tracker'!$Q$4:$Q$453,A43,'01_Scheme_Tracker'!$S$4:$S$453)</f>
        <v/>
      </c>
      <c r="E43" s="44" t="inlineStr">
        <is>
          <t>AF2-WSM-16</t>
        </is>
      </c>
      <c r="F43" s="44" t="inlineStr">
        <is>
          <t>030/2026</t>
        </is>
      </c>
      <c r="G43" s="44" t="inlineStr">
        <is>
          <t>Package #16-AF2 WSM: Construction of Panami Check dams, located in Mohammad Agha district of Logar province.</t>
        </is>
      </c>
      <c r="H43" s="44" t="inlineStr">
        <is>
          <t>Watershed Management</t>
        </is>
      </c>
      <c r="I43" s="44" t="inlineStr">
        <is>
          <t>Logar</t>
        </is>
      </c>
      <c r="J43" s="44" t="inlineStr">
        <is>
          <t>M.Agha</t>
        </is>
      </c>
    </row>
    <row r="44" ht="32" customHeight="1">
      <c r="A44" s="82" t="inlineStr">
        <is>
          <t>Seddiq Amini Construction and Logistic Services (SACC)</t>
        </is>
      </c>
      <c r="B44" s="55" t="n">
        <v>1</v>
      </c>
      <c r="C44" s="49">
        <f>COUNTIF('01_Scheme_Tracker'!$Q$4:$Q$453,A44)</f>
        <v/>
      </c>
      <c r="D44" s="85">
        <f>SUMIF('01_Scheme_Tracker'!$Q$4:$Q$453,A44,'01_Scheme_Tracker'!$S$4:$S$453)</f>
        <v/>
      </c>
      <c r="E44" s="52" t="inlineStr">
        <is>
          <t>AF2-IS-11</t>
        </is>
      </c>
      <c r="F44" s="52" t="inlineStr">
        <is>
          <t>056/2025</t>
        </is>
      </c>
      <c r="G44" s="52" t="inlineStr">
        <is>
          <t>Package #11-AF2 IS: Rehabilitation of Musahi Sufla canal irrigation schemes, located in Musahi districts of Kabul province.</t>
        </is>
      </c>
      <c r="H44" s="52" t="inlineStr">
        <is>
          <t>Irrigation Scheme</t>
        </is>
      </c>
      <c r="I44" s="52" t="inlineStr">
        <is>
          <t>Kabul</t>
        </is>
      </c>
      <c r="J44" s="52" t="inlineStr">
        <is>
          <t>Musahi</t>
        </is>
      </c>
    </row>
  </sheetData>
  <autoFilter ref="A3:J44"/>
  <mergeCells count="2">
    <mergeCell ref="A1:J1"/>
    <mergeCell ref="A2:J2"/>
  </mergeCells>
  <pageMargins left="0.75" right="0.75" top="1" bottom="1" header="0.5" footer="0.5"/>
  <pageSetup orientation="landscape" fitToHeight="0" fitToWidth="1"/>
  <headerFooter>
    <oddHeader/>
    <oddFooter>&amp;LContracts by contractor — unique packages, not repeated sites&amp;RPage &amp;P of &amp;N</oddFooter>
    <evenHeader/>
    <evenFooter/>
    <firstHeader/>
    <firstFooter/>
  </headerFooter>
</worksheet>
</file>

<file path=xl/worksheets/sheet6.xml><?xml version="1.0" encoding="utf-8"?>
<worksheet xmlns="http://schemas.openxmlformats.org/spreadsheetml/2006/main">
  <sheetPr>
    <tabColor rgb="008A6D3B"/>
    <outlinePr summaryBelow="1" summaryRight="1"/>
    <pageSetUpPr fitToPage="1"/>
  </sheetPr>
  <dimension ref="A1:L22"/>
  <sheetViews>
    <sheetView showGridLines="0" workbookViewId="0">
      <pane ySplit="8" topLeftCell="A9" activePane="bottomLeft" state="frozen"/>
      <selection pane="bottomLeft" activeCell="A1" sqref="A1"/>
    </sheetView>
  </sheetViews>
  <sheetFormatPr baseColWidth="8" defaultRowHeight="15"/>
  <cols>
    <col width="28" customWidth="1" min="1" max="1"/>
    <col width="12" customWidth="1" min="2" max="2"/>
    <col width="16" customWidth="1" min="3" max="3"/>
    <col width="20" customWidth="1" min="4" max="4"/>
    <col width="16" customWidth="1" min="5" max="5"/>
    <col width="18" customWidth="1" min="6" max="6"/>
    <col width="3" customWidth="1" min="7" max="7"/>
    <col width="18" customWidth="1" min="8" max="8"/>
    <col width="14" customWidth="1" min="9" max="9"/>
    <col width="14" customWidth="1" min="10" max="10"/>
    <col width="14" customWidth="1" min="11" max="11"/>
    <col width="14" customWidth="1" min="12" max="12"/>
  </cols>
  <sheetData>
    <row r="1" ht="26" customHeight="1">
      <c r="A1" s="21" t="inlineStr">
        <is>
          <t>Package status — how many contracts are Under Review, Under Awarding, Under Construction, …</t>
        </is>
      </c>
      <c r="B1" s="22" t="n"/>
      <c r="C1" s="22" t="n"/>
      <c r="D1" s="22" t="n"/>
      <c r="E1" s="22" t="n"/>
      <c r="F1" s="22" t="n"/>
      <c r="G1" s="22" t="n"/>
      <c r="H1" s="22" t="n"/>
      <c r="I1" s="22" t="n"/>
      <c r="J1" s="22" t="n"/>
      <c r="K1" s="22" t="n"/>
      <c r="L1" s="22" t="n"/>
    </row>
    <row r="2" ht="40" customHeight="1">
      <c r="A2" s="68" t="inlineStr">
        <is>
          <t>Each package is counted once. A package with four canals is one contract, not four. Package status is the least-advanced step among unfinished sites (Completed only when every sub-project is completed). The Sub-projects column is the old row count — use Packages for reporting. 50 LLL units and 39 agroforestry rows are each one package Under Awarding.</t>
        </is>
      </c>
      <c r="B2" s="8" t="n"/>
      <c r="C2" s="8" t="n"/>
      <c r="D2" s="8" t="n"/>
      <c r="E2" s="8" t="n"/>
      <c r="F2" s="8" t="n"/>
      <c r="G2" s="8" t="n"/>
      <c r="H2" s="8" t="n"/>
      <c r="I2" s="8" t="n"/>
      <c r="J2" s="8" t="n"/>
      <c r="K2" s="8" t="n"/>
      <c r="L2" s="8" t="n"/>
    </row>
    <row r="4">
      <c r="A4" s="9" t="inlineStr">
        <is>
          <t>Unique packages</t>
        </is>
      </c>
      <c r="B4" s="69" t="n"/>
      <c r="C4" s="69" t="n"/>
      <c r="D4" s="24" t="inlineStr">
        <is>
          <t>Awarded packages</t>
        </is>
      </c>
      <c r="E4" s="99" t="n"/>
      <c r="F4" s="99" t="n"/>
      <c r="G4" s="26" t="inlineStr">
        <is>
          <t>Not awarded packages</t>
        </is>
      </c>
      <c r="H4" s="100" t="n"/>
      <c r="I4" s="100" t="n"/>
      <c r="J4" s="29" t="inlineStr">
        <is>
          <t>Packages with mixed site statuses</t>
        </is>
      </c>
      <c r="K4" s="101" t="n"/>
      <c r="L4" s="101" t="n"/>
    </row>
    <row r="5">
      <c r="A5" s="102">
        <f>COUNTA('03_Package_Summary'!$A$4:$A$85)</f>
        <v/>
      </c>
      <c r="B5" s="71" t="n"/>
      <c r="C5" s="71" t="n"/>
      <c r="D5" s="103">
        <f>COUNTIF('03_Package_Summary'!$D$4:$D$85,"Awarded")</f>
        <v/>
      </c>
      <c r="E5" s="104" t="n"/>
      <c r="F5" s="104" t="n"/>
      <c r="G5" s="105">
        <f>COUNTIF('03_Package_Summary'!$D$4:$D$85,"Not awarded")</f>
        <v/>
      </c>
      <c r="H5" s="106" t="n"/>
      <c r="I5" s="106" t="n"/>
      <c r="J5" s="102">
        <f>COUNTIF('03_Package_Summary'!$F$4:$F$85,"Yes")</f>
        <v/>
      </c>
      <c r="K5" s="71" t="n"/>
      <c r="L5" s="71" t="n"/>
    </row>
    <row r="7">
      <c r="A7" s="7" t="inlineStr">
        <is>
          <t>Packages by status</t>
        </is>
      </c>
      <c r="H7" s="107" t="inlineStr">
        <is>
          <t>Packages = unique Package IDs on 03_Package_Summary. Sub-projects = rows on 01_Scheme_Tracker (the old count). Example: Under Awarding has many sub-project rows (LLL units, agroforestry districts, drip plots) but only a few packages. Filter Package status on 03_Package_Summary to see which contracts sit in a step. Mixed sites? = Yes when canals or check dams of the same package are at different steps.</t>
        </is>
      </c>
    </row>
    <row r="8">
      <c r="A8" s="23" t="inlineStr">
        <is>
          <t>Status</t>
        </is>
      </c>
      <c r="B8" s="23" t="inlineStr">
        <is>
          <t>Packages</t>
        </is>
      </c>
      <c r="C8" s="23" t="inlineStr">
        <is>
          <t>Share of packages</t>
        </is>
      </c>
      <c r="D8" s="23" t="inlineStr">
        <is>
          <t>Sub-projects (rows)</t>
        </is>
      </c>
      <c r="E8" s="23" t="inlineStr">
        <is>
          <t>Awarded packages</t>
        </is>
      </c>
      <c r="F8" s="23" t="inlineStr">
        <is>
          <t>Not awarded packages</t>
        </is>
      </c>
    </row>
    <row r="9">
      <c r="A9" s="11" t="inlineStr">
        <is>
          <t>Under Design</t>
        </is>
      </c>
      <c r="B9" s="49">
        <f>COUNTIF('03_Package_Summary'!$E$4:$E$85,A9)</f>
        <v/>
      </c>
      <c r="C9" s="74">
        <f>IF($A$5=0,"",B9/$A$5)</f>
        <v/>
      </c>
      <c r="D9" s="49">
        <f>COUNTIF('01_Scheme_Tracker'!$AC$4:$AC$453,A9)</f>
        <v/>
      </c>
      <c r="E9" s="49">
        <f>COUNTIFS('03_Package_Summary'!$E$4:$E$85,A9,'03_Package_Summary'!$D$4:$D$85,"Awarded")</f>
        <v/>
      </c>
      <c r="F9" s="49">
        <f>COUNTIFS('03_Package_Summary'!$E$4:$E$85,A9,'03_Package_Summary'!$D$4:$D$85,"Not awarded")</f>
        <v/>
      </c>
    </row>
    <row r="10">
      <c r="A10" s="12" t="inlineStr">
        <is>
          <t>Under Review of WRI</t>
        </is>
      </c>
      <c r="B10" s="49">
        <f>COUNTIF('03_Package_Summary'!$E$4:$E$85,A10)</f>
        <v/>
      </c>
      <c r="C10" s="74">
        <f>IF($A$5=0,"",B10/$A$5)</f>
        <v/>
      </c>
      <c r="D10" s="49">
        <f>COUNTIF('01_Scheme_Tracker'!$AC$4:$AC$453,A10)</f>
        <v/>
      </c>
      <c r="E10" s="49">
        <f>COUNTIFS('03_Package_Summary'!$E$4:$E$85,A10,'03_Package_Summary'!$D$4:$D$85,"Awarded")</f>
        <v/>
      </c>
      <c r="F10" s="49">
        <f>COUNTIFS('03_Package_Summary'!$E$4:$E$85,A10,'03_Package_Summary'!$D$4:$D$85,"Not awarded")</f>
        <v/>
      </c>
    </row>
    <row r="11">
      <c r="A11" s="13" t="inlineStr">
        <is>
          <t>Under LTO Review</t>
        </is>
      </c>
      <c r="B11" s="49">
        <f>COUNTIF('03_Package_Summary'!$E$4:$E$85,A11)</f>
        <v/>
      </c>
      <c r="C11" s="74">
        <f>IF($A$5=0,"",B11/$A$5)</f>
        <v/>
      </c>
      <c r="D11" s="49">
        <f>COUNTIF('01_Scheme_Tracker'!$AC$4:$AC$453,A11)</f>
        <v/>
      </c>
      <c r="E11" s="49">
        <f>COUNTIFS('03_Package_Summary'!$E$4:$E$85,A11,'03_Package_Summary'!$D$4:$D$85,"Awarded")</f>
        <v/>
      </c>
      <c r="F11" s="49">
        <f>COUNTIFS('03_Package_Summary'!$E$4:$E$85,A11,'03_Package_Summary'!$D$4:$D$85,"Not awarded")</f>
        <v/>
      </c>
    </row>
    <row r="12">
      <c r="A12" s="14" t="inlineStr">
        <is>
          <t>PR to be Raised</t>
        </is>
      </c>
      <c r="B12" s="49">
        <f>COUNTIF('03_Package_Summary'!$E$4:$E$85,A12)</f>
        <v/>
      </c>
      <c r="C12" s="74">
        <f>IF($A$5=0,"",B12/$A$5)</f>
        <v/>
      </c>
      <c r="D12" s="49">
        <f>COUNTIF('01_Scheme_Tracker'!$AC$4:$AC$453,A12)</f>
        <v/>
      </c>
      <c r="E12" s="49">
        <f>COUNTIFS('03_Package_Summary'!$E$4:$E$85,A12,'03_Package_Summary'!$D$4:$D$85,"Awarded")</f>
        <v/>
      </c>
      <c r="F12" s="49">
        <f>COUNTIFS('03_Package_Summary'!$E$4:$E$85,A12,'03_Package_Summary'!$D$4:$D$85,"Not awarded")</f>
        <v/>
      </c>
    </row>
    <row r="13">
      <c r="A13" s="15" t="inlineStr">
        <is>
          <t>ITB Launched</t>
        </is>
      </c>
      <c r="B13" s="49">
        <f>COUNTIF('03_Package_Summary'!$E$4:$E$85,A13)</f>
        <v/>
      </c>
      <c r="C13" s="74">
        <f>IF($A$5=0,"",B13/$A$5)</f>
        <v/>
      </c>
      <c r="D13" s="49">
        <f>COUNTIF('01_Scheme_Tracker'!$AC$4:$AC$453,A13)</f>
        <v/>
      </c>
      <c r="E13" s="49">
        <f>COUNTIFS('03_Package_Summary'!$E$4:$E$85,A13,'03_Package_Summary'!$D$4:$D$85,"Awarded")</f>
        <v/>
      </c>
      <c r="F13" s="49">
        <f>COUNTIFS('03_Package_Summary'!$E$4:$E$85,A13,'03_Package_Summary'!$D$4:$D$85,"Not awarded")</f>
        <v/>
      </c>
    </row>
    <row r="14">
      <c r="A14" s="15" t="inlineStr">
        <is>
          <t>Retendered (Re-ITB)</t>
        </is>
      </c>
      <c r="B14" s="49">
        <f>COUNTIF('03_Package_Summary'!$E$4:$E$85,A14)</f>
        <v/>
      </c>
      <c r="C14" s="74">
        <f>IF($A$5=0,"",B14/$A$5)</f>
        <v/>
      </c>
      <c r="D14" s="49">
        <f>COUNTIF('01_Scheme_Tracker'!$AC$4:$AC$453,A14)</f>
        <v/>
      </c>
      <c r="E14" s="49">
        <f>COUNTIFS('03_Package_Summary'!$E$4:$E$85,A14,'03_Package_Summary'!$D$4:$D$85,"Awarded")</f>
        <v/>
      </c>
      <c r="F14" s="49">
        <f>COUNTIFS('03_Package_Summary'!$E$4:$E$85,A14,'03_Package_Summary'!$D$4:$D$85,"Not awarded")</f>
        <v/>
      </c>
    </row>
    <row r="15">
      <c r="A15" s="16" t="inlineStr">
        <is>
          <t>Under Technical Evaluation</t>
        </is>
      </c>
      <c r="B15" s="49">
        <f>COUNTIF('03_Package_Summary'!$E$4:$E$85,A15)</f>
        <v/>
      </c>
      <c r="C15" s="74">
        <f>IF($A$5=0,"",B15/$A$5)</f>
        <v/>
      </c>
      <c r="D15" s="49">
        <f>COUNTIF('01_Scheme_Tracker'!$AC$4:$AC$453,A15)</f>
        <v/>
      </c>
      <c r="E15" s="49">
        <f>COUNTIFS('03_Package_Summary'!$E$4:$E$85,A15,'03_Package_Summary'!$D$4:$D$85,"Awarded")</f>
        <v/>
      </c>
      <c r="F15" s="49">
        <f>COUNTIFS('03_Package_Summary'!$E$4:$E$85,A15,'03_Package_Summary'!$D$4:$D$85,"Not awarded")</f>
        <v/>
      </c>
    </row>
    <row r="16">
      <c r="A16" s="17" t="inlineStr">
        <is>
          <t>Under Awarding</t>
        </is>
      </c>
      <c r="B16" s="49">
        <f>COUNTIF('03_Package_Summary'!$E$4:$E$85,A16)</f>
        <v/>
      </c>
      <c r="C16" s="74">
        <f>IF($A$5=0,"",B16/$A$5)</f>
        <v/>
      </c>
      <c r="D16" s="49">
        <f>COUNTIF('01_Scheme_Tracker'!$AC$4:$AC$453,A16)</f>
        <v/>
      </c>
      <c r="E16" s="49">
        <f>COUNTIFS('03_Package_Summary'!$E$4:$E$85,A16,'03_Package_Summary'!$D$4:$D$85,"Awarded")</f>
        <v/>
      </c>
      <c r="F16" s="49">
        <f>COUNTIFS('03_Package_Summary'!$E$4:$E$85,A16,'03_Package_Summary'!$D$4:$D$85,"Not awarded")</f>
        <v/>
      </c>
    </row>
    <row r="17">
      <c r="A17" s="18" t="inlineStr">
        <is>
          <t>Awarded</t>
        </is>
      </c>
      <c r="B17" s="49">
        <f>COUNTIF('03_Package_Summary'!$E$4:$E$85,A17)</f>
        <v/>
      </c>
      <c r="C17" s="74">
        <f>IF($A$5=0,"",B17/$A$5)</f>
        <v/>
      </c>
      <c r="D17" s="49">
        <f>COUNTIF('01_Scheme_Tracker'!$AC$4:$AC$453,A17)</f>
        <v/>
      </c>
      <c r="E17" s="49">
        <f>COUNTIFS('03_Package_Summary'!$E$4:$E$85,A17,'03_Package_Summary'!$D$4:$D$85,"Awarded")</f>
        <v/>
      </c>
      <c r="F17" s="49">
        <f>COUNTIFS('03_Package_Summary'!$E$4:$E$85,A17,'03_Package_Summary'!$D$4:$D$85,"Not awarded")</f>
        <v/>
      </c>
    </row>
    <row r="18">
      <c r="A18" s="19" t="inlineStr">
        <is>
          <t>Under Construction</t>
        </is>
      </c>
      <c r="B18" s="49">
        <f>COUNTIF('03_Package_Summary'!$E$4:$E$85,A18)</f>
        <v/>
      </c>
      <c r="C18" s="74">
        <f>IF($A$5=0,"",B18/$A$5)</f>
        <v/>
      </c>
      <c r="D18" s="49">
        <f>COUNTIF('01_Scheme_Tracker'!$AC$4:$AC$453,A18)</f>
        <v/>
      </c>
      <c r="E18" s="49">
        <f>COUNTIFS('03_Package_Summary'!$E$4:$E$85,A18,'03_Package_Summary'!$D$4:$D$85,"Awarded")</f>
        <v/>
      </c>
      <c r="F18" s="49">
        <f>COUNTIFS('03_Package_Summary'!$E$4:$E$85,A18,'03_Package_Summary'!$D$4:$D$85,"Not awarded")</f>
        <v/>
      </c>
    </row>
    <row r="19">
      <c r="A19" s="20" t="inlineStr">
        <is>
          <t>Completed / Handover</t>
        </is>
      </c>
      <c r="B19" s="49">
        <f>COUNTIF('03_Package_Summary'!$E$4:$E$85,A19)</f>
        <v/>
      </c>
      <c r="C19" s="74">
        <f>IF($A$5=0,"",B19/$A$5)</f>
        <v/>
      </c>
      <c r="D19" s="49">
        <f>COUNTIF('01_Scheme_Tracker'!$AC$4:$AC$453,A19)</f>
        <v/>
      </c>
      <c r="E19" s="49">
        <f>COUNTIFS('03_Package_Summary'!$E$4:$E$85,A19,'03_Package_Summary'!$D$4:$D$85,"Awarded")</f>
        <v/>
      </c>
      <c r="F19" s="49">
        <f>COUNTIFS('03_Package_Summary'!$E$4:$E$85,A19,'03_Package_Summary'!$D$4:$D$85,"Not awarded")</f>
        <v/>
      </c>
    </row>
    <row r="20">
      <c r="A20" s="52" t="inlineStr">
        <is>
          <t>Not started</t>
        </is>
      </c>
      <c r="B20" s="49">
        <f>COUNTIF('03_Package_Summary'!$E$4:$E$85,A20)</f>
        <v/>
      </c>
      <c r="C20" s="74">
        <f>IF($A$5=0,"",B20/$A$5)</f>
        <v/>
      </c>
      <c r="D20" s="49">
        <f>COUNTIF('01_Scheme_Tracker'!$AC$4:$AC$453,A20)</f>
        <v/>
      </c>
      <c r="E20" s="49">
        <f>COUNTIFS('03_Package_Summary'!$E$4:$E$85,A20,'03_Package_Summary'!$D$4:$D$85,"Awarded")</f>
        <v/>
      </c>
      <c r="F20" s="49">
        <f>COUNTIFS('03_Package_Summary'!$E$4:$E$85,A20,'03_Package_Summary'!$D$4:$D$85,"Not awarded")</f>
        <v/>
      </c>
    </row>
    <row r="21">
      <c r="A21" s="108" t="inlineStr">
        <is>
          <t>Cancelled</t>
        </is>
      </c>
      <c r="B21" s="49">
        <f>COUNTIF('03_Package_Summary'!$E$4:$E$85,A21)</f>
        <v/>
      </c>
      <c r="C21" s="74">
        <f>IF($A$5=0,"",B21/$A$5)</f>
        <v/>
      </c>
      <c r="D21" s="49">
        <f>COUNTIF('01_Scheme_Tracker'!$AC$4:$AC$453,A21)</f>
        <v/>
      </c>
      <c r="E21" s="49">
        <f>COUNTIFS('03_Package_Summary'!$E$4:$E$85,A21,'03_Package_Summary'!$D$4:$D$85,"Awarded")</f>
        <v/>
      </c>
      <c r="F21" s="49">
        <f>COUNTIFS('03_Package_Summary'!$E$4:$E$85,A21,'03_Package_Summary'!$D$4:$D$85,"Not awarded")</f>
        <v/>
      </c>
    </row>
    <row r="22">
      <c r="A22" s="109" t="inlineStr">
        <is>
          <t>Total</t>
        </is>
      </c>
      <c r="B22" s="49">
        <f>SUM(B9:B21)</f>
        <v/>
      </c>
      <c r="D22" s="49">
        <f>SUM(D9:D21)</f>
        <v/>
      </c>
    </row>
  </sheetData>
  <mergeCells count="12">
    <mergeCell ref="J5:L5"/>
    <mergeCell ref="A2:L2"/>
    <mergeCell ref="H7:L10"/>
    <mergeCell ref="D5:F5"/>
    <mergeCell ref="A5:C5"/>
    <mergeCell ref="G5:I5"/>
    <mergeCell ref="A1:L1"/>
    <mergeCell ref="D4:F4"/>
    <mergeCell ref="G4:I4"/>
    <mergeCell ref="J4:L4"/>
    <mergeCell ref="A4:C4"/>
    <mergeCell ref="A7:F7"/>
  </mergeCells>
  <pageMargins left="0.75" right="0.75" top="1" bottom="1" header="0.5" footer="0.5"/>
  <pageSetup orientation="landscape" fitToHeight="0" fitToWidth="1"/>
  <headerFooter>
    <oddHeader/>
    <oddFooter>&amp;LPackage status — unique contracts in each pipeline step&amp;RPage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8A6D3B"/>
    <outlinePr summaryBelow="1" summaryRight="1"/>
    <pageSetUpPr fitToPage="1"/>
  </sheetPr>
  <dimension ref="B1:D2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2" customWidth="1" min="2" max="2"/>
    <col width="88" customWidth="1" min="3" max="3"/>
    <col width="28" customWidth="1" min="4" max="4"/>
  </cols>
  <sheetData>
    <row r="1" ht="26" customHeight="1">
      <c r="B1" s="21" t="inlineStr">
        <is>
          <t>Date conditions — what each date means and how schedule health is calculated</t>
        </is>
      </c>
      <c r="C1" s="2" t="n"/>
      <c r="D1" s="2" t="n"/>
    </row>
    <row r="2" ht="22" customHeight="1">
      <c r="B2" s="3" t="inlineStr">
        <is>
          <t>All health colours use Excel TODAY(), so they move as the calendar moves. Type the day a step was reached — not a forecast — unless the column says expected / planned.</t>
        </is>
      </c>
      <c r="C2" s="2" t="n"/>
      <c r="D2" s="2" t="n"/>
    </row>
    <row r="4" ht="22" customHeight="1">
      <c r="B4" s="7" t="inlineStr">
        <is>
          <t>What you type in a Date: column</t>
        </is>
      </c>
      <c r="C4" s="8" t="n"/>
      <c r="D4" s="8" t="n"/>
    </row>
    <row r="5" ht="68" customHeight="1">
      <c r="B5" s="4" t="inlineStr">
        <is>
          <t>Working date = day the step started</t>
        </is>
      </c>
      <c r="C5" s="5" t="inlineStr">
        <is>
          <t>In section 4 of 01_Scheme_Tracker, each 'Date: …' cell is the calendar day that step was reached (design started, WRI review started, ITB launched, contract signed, construction started, handover). Do not put the expected future date of a later step in that later column. Leave later dates blank until they happen. Current Status then becomes the latest dated step. If every Date: cell is empty, Current Status uses Reported Status.</t>
        </is>
      </c>
      <c r="D5" s="86" t="inlineStr">
        <is>
          <t>Section 4</t>
        </is>
      </c>
    </row>
    <row r="6" ht="68" customHeight="1">
      <c r="B6" s="4" t="inlineStr">
        <is>
          <t>Awarded Date</t>
        </is>
      </c>
      <c r="C6" s="5" t="inlineStr">
        <is>
          <t>This is a formula. It copies Date: Awarded. Type the signature / notice-of-award day in Date: Awarded, not in Awarded Date.</t>
        </is>
      </c>
      <c r="D6" s="86" t="inlineStr">
        <is>
          <t>Section 2 copies section 4</t>
        </is>
      </c>
    </row>
    <row r="7" ht="68" customHeight="1">
      <c r="B7" s="4" t="inlineStr">
        <is>
          <t>Expected award date (Not awarded rows)</t>
        </is>
      </c>
      <c r="C7" s="5" t="inlineStr">
        <is>
          <t>Forecast of when the contract should be awarded. This is the date schedule health watches for Not awarded packages. If TODAY() is after this date, the row is Behind — award date passed. If this date is within the next 30 days, the row is At risk — close to off track.</t>
        </is>
      </c>
      <c r="D7" s="86" t="inlineStr">
        <is>
          <t>Section 2</t>
        </is>
      </c>
    </row>
    <row r="8" ht="68" customHeight="1">
      <c r="B8" s="4" t="inlineStr">
        <is>
          <t>Contract / expected end date</t>
        </is>
      </c>
      <c r="C8" s="5" t="inlineStr">
        <is>
          <t>For Awarded rows this is the contractual completion date. For Not awarded rows it is the expected completion after award. Planned End Date uses this value when it is filled; otherwise it uses EDATE(Awarded Date, Contract Duration months).</t>
        </is>
      </c>
      <c r="D8" s="86" t="inlineStr">
        <is>
          <t>Section 2</t>
        </is>
      </c>
    </row>
    <row r="9" ht="68" customHeight="1">
      <c r="B9" s="4" t="inlineStr">
        <is>
          <t>Days between steps</t>
        </is>
      </c>
      <c r="C9" s="5" t="inlineStr">
        <is>
          <t>Days: A → B = Date of B minus the last previous filled date (a skipped step still measures from the last real date). Days in current status = TODAY() minus the latest filled Date:. This number changes every morning. Total days first → last = last filled Date: minus first filled Date:. Days over target = days in current status minus the target days on 06_Status_Pipeline. A negative day-count means a later step was dated earlier than a previous one — check the dates.</t>
        </is>
      </c>
      <c r="D9" s="86" t="inlineStr">
        <is>
          <t>Sections 3 and 5</t>
        </is>
      </c>
    </row>
    <row r="11" ht="22" customHeight="1">
      <c r="B11" s="7" t="inlineStr">
        <is>
          <t>Schedule health — conditions that use those dates</t>
        </is>
      </c>
      <c r="C11" s="8" t="n"/>
      <c r="D11" s="8" t="n"/>
    </row>
    <row r="12" ht="68" customHeight="1">
      <c r="B12" s="4" t="inlineStr">
        <is>
          <t>Cancelled</t>
        </is>
      </c>
      <c r="C12" s="5" t="inlineStr">
        <is>
          <t>If Reported Status or Current Status is Cancelled, health is Cancelled (grey). No date test is applied.</t>
        </is>
      </c>
      <c r="D12" s="110" t="inlineStr">
        <is>
          <t>Grey</t>
        </is>
      </c>
    </row>
    <row r="13" ht="68" customHeight="1">
      <c r="B13" s="4" t="inlineStr">
        <is>
          <t>Completed — on track</t>
        </is>
      </c>
      <c r="C13" s="5" t="inlineStr">
        <is>
          <t>If Current Status is Completed / Handover, or Actual completion date is filled, or Physical progress ≥ 100, health is Completed — on track (green). The planned end is not used once the work is finished.</t>
        </is>
      </c>
      <c r="D13" s="111" t="inlineStr">
        <is>
          <t>Green</t>
        </is>
      </c>
    </row>
    <row r="14" ht="68" customHeight="1">
      <c r="B14" s="4" t="inlineStr">
        <is>
          <t>Not awarded — Behind — award date passed</t>
        </is>
      </c>
      <c r="C14" s="5" t="inlineStr">
        <is>
          <t>Awarded / Not awarded = Not awarded, and Expected award date is filled, and TODAY() &gt; Expected award date. The package should already have been awarded.</t>
        </is>
      </c>
      <c r="D14" s="112" t="inlineStr">
        <is>
          <t>Red</t>
        </is>
      </c>
    </row>
    <row r="15" ht="68" customHeight="1">
      <c r="B15" s="4" t="inlineStr">
        <is>
          <t>Not awarded — At risk — close to off track</t>
        </is>
      </c>
      <c r="C15" s="5" t="inlineStr">
        <is>
          <t>Awarded / Not awarded = Not awarded, Expected award date is filled, and that date is today or within the next 30 days. Procurement needs attention now.</t>
        </is>
      </c>
      <c r="D15" s="113" t="inlineStr">
        <is>
          <t>Amber</t>
        </is>
      </c>
    </row>
    <row r="16" ht="68" customHeight="1">
      <c r="B16" s="4" t="inlineStr">
        <is>
          <t>Not awarded — On track</t>
        </is>
      </c>
      <c r="C16" s="5" t="inlineStr">
        <is>
          <t>Awarded / Not awarded = Not awarded, Expected award date is filled, and more than 30 days remain until that date.</t>
        </is>
      </c>
      <c r="D16" s="111" t="inlineStr">
        <is>
          <t>Green</t>
        </is>
      </c>
    </row>
    <row r="17" ht="68" customHeight="1">
      <c r="B17" s="4" t="inlineStr">
        <is>
          <t>Not awarded — no expected award date</t>
        </is>
      </c>
      <c r="C17" s="5" t="inlineStr">
        <is>
          <t>If Expected award date is blank, the same three tests (behind / at risk / on track) use Planned End Date (or Contract / expected end). If that is also blank, health is No planned date.</t>
        </is>
      </c>
      <c r="D17" s="86" t="inlineStr">
        <is>
          <t>Grey / date-based</t>
        </is>
      </c>
    </row>
    <row r="18" ht="68" customHeight="1">
      <c r="B18" s="4" t="inlineStr">
        <is>
          <t>Awarded — Behind — past end date</t>
        </is>
      </c>
      <c r="C18" s="5" t="inlineStr">
        <is>
          <t>Awarded / Not awarded = Awarded, Planned End Date is filled, TODAY() is after that date, and physical progress is blank or below 100. The contract period has expired and the work is not finished.</t>
        </is>
      </c>
      <c r="D18" s="112" t="inlineStr">
        <is>
          <t>Red</t>
        </is>
      </c>
    </row>
    <row r="19" ht="68" customHeight="1">
      <c r="B19" s="4" t="inlineStr">
        <is>
          <t>Awarded — Behind — progress lag</t>
        </is>
      </c>
      <c r="C19" s="5" t="inlineStr">
        <is>
          <t>Awarded, both Awarded Date and Planned End Date are filled, progress is below 100, and (elapsed days ÷ contract days × 100) − physical progress &gt; 15. Example: half the contract time has passed (50% elapsed) but progress is 20% → lag of 30 points → Behind.</t>
        </is>
      </c>
      <c r="D19" s="112" t="inlineStr">
        <is>
          <t>Red</t>
        </is>
      </c>
    </row>
    <row r="20" ht="68" customHeight="1">
      <c r="B20" s="4" t="inlineStr">
        <is>
          <t>Awarded — At risk — close to off track</t>
        </is>
      </c>
      <c r="C20" s="5" t="inlineStr">
        <is>
          <t>Awarded, Planned End Date is today or within the next 30 days, and progress is blank or below 90. The end date is close and the work is not nearly finished.</t>
        </is>
      </c>
      <c r="D20" s="113" t="inlineStr">
        <is>
          <t>Amber</t>
        </is>
      </c>
    </row>
    <row r="21" ht="68" customHeight="1">
      <c r="B21" s="4" t="inlineStr">
        <is>
          <t>Awarded — On track</t>
        </is>
      </c>
      <c r="C21" s="5" t="inlineStr">
        <is>
          <t>Awarded, Planned End Date is more than 30 days away, and there is no progress lag above 15 points (or the work is already complete — see Completed above).</t>
        </is>
      </c>
      <c r="D21" s="111" t="inlineStr">
        <is>
          <t>Green</t>
        </is>
      </c>
    </row>
    <row r="22" ht="68" customHeight="1">
      <c r="B22" s="4" t="inlineStr">
        <is>
          <t>Days vs planned date</t>
        </is>
      </c>
      <c r="C22" s="5" t="inlineStr">
        <is>
          <t>Not awarded: Expected award date − TODAY() (or Planned End Date − TODAY() if expected award is blank). Awarded: Planned End Date − TODAY(). Positive = days remaining (green if &gt; 30, amber if 0–30). Negative = days overdue (red). Blank when the row is Completed or Cancelled.</t>
        </is>
      </c>
      <c r="D22" s="86" t="inlineStr">
        <is>
          <t>Section 3</t>
        </is>
      </c>
    </row>
    <row r="24" ht="22" customHeight="1">
      <c r="B24" s="7" t="inlineStr">
        <is>
          <t>How this applies to AF-2 right now</t>
        </is>
      </c>
      <c r="C24" s="8" t="n"/>
      <c r="D24" s="8" t="n"/>
    </row>
    <row r="25" ht="68" customHeight="1">
      <c r="B25" s="4" t="inlineStr">
        <is>
          <t>Awarded packages from the master file</t>
        </is>
      </c>
      <c r="C25" s="5" t="inlineStr">
        <is>
          <t>Date: Awarded is filled from the signed-date column. Awarded Date copies it. Contract / expected end is the master-file end date. Planned End Date therefore equals that end date. If remarks started with 'Completed in …' or progress is 100, Reported Status is Completed / Handover. Otherwise progress &gt; 0 → Under Construction; progress 0 → Awarded. Phrases such as 'will be completed by …' do not mark the scheme complete.</t>
        </is>
      </c>
      <c r="D25" s="86" t="inlineStr">
        <is>
          <t>Master import</t>
        </is>
      </c>
    </row>
    <row r="26" ht="68" customHeight="1">
      <c r="B26" s="4" t="inlineStr">
        <is>
          <t>Not awarded packages from the master file</t>
        </is>
      </c>
      <c r="C26" s="5" t="inlineStr">
        <is>
          <t>Expected award date and expected end come from the remaining-contract sheets. There is usually no Date: Awarded yet, so Current Status follows Reported Status (Under Design, WRI Review, LTO, PR, ITB, Re-ITB, Technical Evaluation, Awarding). Health watches the expected award date against TODAY().</t>
        </is>
      </c>
      <c r="D26" s="86" t="inlineStr">
        <is>
          <t>Master import</t>
        </is>
      </c>
    </row>
    <row r="27" ht="68" customHeight="1">
      <c r="B27" s="4" t="inlineStr">
        <is>
          <t>Thresholds you can change</t>
        </is>
      </c>
      <c r="C27" s="5" t="inlineStr">
        <is>
          <t>Close-to-off-track window = 30 days. Progress-lag trigger = 15 percentage points. Days in current status turns red after 30 days. Edit NEAR_OFFTRACK_DAYS, PROGRESS_LAG_PCT, and STUCK_THRESHOLD_DAYS in tracker_config.py and regenerate.</t>
        </is>
      </c>
      <c r="D27" s="86" t="inlineStr">
        <is>
          <t>tracker_config.py</t>
        </is>
      </c>
    </row>
  </sheetData>
  <mergeCells count="5">
    <mergeCell ref="B11:D11"/>
    <mergeCell ref="B1:D1"/>
    <mergeCell ref="B4:D4"/>
    <mergeCell ref="B24:D24"/>
    <mergeCell ref="B2:D2"/>
  </mergeCells>
  <pageMargins left="0.75" right="0.75" top="1" bottom="1" header="0.5" footer="0.5"/>
  <pageSetup orientation="landscape" fitToHeight="0" fitToWidth="1"/>
  <headerFooter>
    <oddHeader/>
    <oddFooter>&amp;LDate conditions — WBK/AF-2 construction tracker&amp;RPage &amp;P of &amp;N</oddFooter>
    <evenHeader/>
    <evenFooter/>
    <firstHeader/>
    <firstFooter/>
  </headerFooter>
</worksheet>
</file>

<file path=xl/worksheets/sheet8.xml><?xml version="1.0" encoding="utf-8"?>
<worksheet xmlns="http://schemas.openxmlformats.org/spreadsheetml/2006/main">
  <sheetPr>
    <tabColor rgb="008A6D3B"/>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EXAMPLE ONLY — two worked schemes so you can see day counts. Do not use for reporting.</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DEMO-A</t>
        </is>
      </c>
      <c r="C4" s="33" t="inlineStr">
        <is>
          <t>DEMO Package A — full pipeline (delete from reports)</t>
        </is>
      </c>
      <c r="D4" s="33" t="inlineStr">
        <is>
          <t>1 of 1</t>
        </is>
      </c>
      <c r="E4" s="34" t="inlineStr">
        <is>
          <t>DEMO-01</t>
        </is>
      </c>
      <c r="F4" s="34" t="inlineStr">
        <is>
          <t>Demo Scheme: completed handover</t>
        </is>
      </c>
      <c r="G4" s="34" t="inlineStr">
        <is>
          <t>Watershed Management</t>
        </is>
      </c>
      <c r="H4" s="34" t="inlineStr">
        <is>
          <t>Check Dam</t>
        </is>
      </c>
      <c r="I4" s="34" t="inlineStr">
        <is>
          <t>Emergency Food Security Project (EFSP) – WBK/AF-2</t>
        </is>
      </c>
      <c r="J4" s="34" t="inlineStr">
        <is>
          <t>West / Herat</t>
        </is>
      </c>
      <c r="K4" s="34" t="inlineStr">
        <is>
          <t>Badghis</t>
        </is>
      </c>
      <c r="L4" s="34" t="inlineStr">
        <is>
          <t>Qadis</t>
        </is>
      </c>
      <c r="M4" s="34" t="inlineStr">
        <is>
          <t>Demo Village A</t>
        </is>
      </c>
      <c r="N4" s="34" t="inlineStr">
        <is>
          <t>World Bank (WBK/AF-2)</t>
        </is>
      </c>
      <c r="O4" s="34" t="inlineStr">
        <is>
          <t>Awarded</t>
        </is>
      </c>
      <c r="P4" s="34" t="n"/>
      <c r="Q4" s="34" t="inlineStr">
        <is>
          <t>Demo Contractor Ltd</t>
        </is>
      </c>
      <c r="R4" s="34" t="inlineStr">
        <is>
          <t>DEMO-CNT-001</t>
        </is>
      </c>
      <c r="S4" s="35" t="n">
        <v>120000</v>
      </c>
      <c r="T4" s="36" t="inlineStr">
        <is>
          <t>IF(AQ4="","",AQ4)</t>
        </is>
      </c>
      <c r="U4" s="37" t="n"/>
      <c r="V4" s="38" t="n">
        <v>5</v>
      </c>
      <c r="W4" s="37" t="n"/>
      <c r="X4" s="36" t="inlineStr">
        <is>
          <t>IF(W4&lt;&gt;"",W4,IF(OR(T4="",V4=""),"",EDATE(T4,V4)))</t>
        </is>
      </c>
      <c r="Y4" s="37" t="n"/>
      <c r="Z4" s="38" t="n">
        <v>100</v>
      </c>
      <c r="AA4" s="34" t="inlineStr">
        <is>
          <t>Completed / Handover</t>
        </is>
      </c>
      <c r="AB4" s="34" t="inlineStr">
        <is>
          <t>EXAMPLE ONLY — shows days between every step.</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66" t="n">
        <v>45667</v>
      </c>
      <c r="AJ4" s="66" t="n">
        <v>45692</v>
      </c>
      <c r="AK4" s="66" t="n">
        <v>45706</v>
      </c>
      <c r="AL4" s="66" t="n"/>
      <c r="AM4" s="66" t="n">
        <v>45718</v>
      </c>
      <c r="AN4" s="66" t="n"/>
      <c r="AO4" s="66" t="n">
        <v>45740</v>
      </c>
      <c r="AP4" s="66" t="n">
        <v>45755</v>
      </c>
      <c r="AQ4" s="66" t="n">
        <v>45769</v>
      </c>
      <c r="AR4" s="66" t="n">
        <v>45787</v>
      </c>
      <c r="AS4" s="66" t="n">
        <v>45930</v>
      </c>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ht="18" customHeight="1">
      <c r="A5" s="32" t="inlineStr">
        <is>
          <t>IF(F5="","",ROW()-3)</t>
        </is>
      </c>
      <c r="B5" s="56" t="inlineStr">
        <is>
          <t>DEMO-B</t>
        </is>
      </c>
      <c r="C5" s="56" t="inlineStr">
        <is>
          <t>DEMO Package B — mid pipeline (delete from reports)</t>
        </is>
      </c>
      <c r="D5" s="56" t="inlineStr">
        <is>
          <t>1 of 1</t>
        </is>
      </c>
      <c r="E5" s="57" t="inlineStr">
        <is>
          <t>DEMO-02</t>
        </is>
      </c>
      <c r="F5" s="57" t="inlineStr">
        <is>
          <t>Demo Scheme: currently under technical evaluation</t>
        </is>
      </c>
      <c r="G5" s="57" t="inlineStr">
        <is>
          <t>Watershed Management</t>
        </is>
      </c>
      <c r="H5" s="57" t="inlineStr">
        <is>
          <t>Boulder Check Dam</t>
        </is>
      </c>
      <c r="I5" s="57" t="inlineStr">
        <is>
          <t>Emergency Food Security Project (EFSP) – WBK/AF-2</t>
        </is>
      </c>
      <c r="J5" s="57" t="inlineStr">
        <is>
          <t>East / Jalalabad</t>
        </is>
      </c>
      <c r="K5" s="57" t="inlineStr">
        <is>
          <t>Kunar</t>
        </is>
      </c>
      <c r="L5" s="57" t="inlineStr">
        <is>
          <t>Narang</t>
        </is>
      </c>
      <c r="M5" s="57" t="inlineStr">
        <is>
          <t>Demo Village B</t>
        </is>
      </c>
      <c r="N5" s="57" t="inlineStr">
        <is>
          <t>World Bank (WBK/AF-2)</t>
        </is>
      </c>
      <c r="O5" s="57" t="inlineStr">
        <is>
          <t>Not awarded</t>
        </is>
      </c>
      <c r="P5" s="57" t="n"/>
      <c r="Q5" s="57" t="n"/>
      <c r="R5" s="57" t="n"/>
      <c r="S5" s="58" t="n">
        <v>98000</v>
      </c>
      <c r="T5" s="36" t="inlineStr">
        <is>
          <t>IF(AQ5="","",AQ5)</t>
        </is>
      </c>
      <c r="U5" s="59" t="n"/>
      <c r="V5" s="60" t="n"/>
      <c r="W5" s="59" t="n"/>
      <c r="X5" s="36" t="inlineStr">
        <is>
          <t>IF(W5&lt;&gt;"",W5,IF(OR(T5="",V5=""),"",EDATE(T5,V5)))</t>
        </is>
      </c>
      <c r="Y5" s="59" t="n"/>
      <c r="Z5" s="60" t="n"/>
      <c r="AA5" s="57" t="inlineStr">
        <is>
          <t>Under Technical Evaluation</t>
        </is>
      </c>
      <c r="AB5" s="57" t="inlineStr">
        <is>
          <t>EXAMPLE ONLY — later dates are blank; days in current step uses TODAY().</t>
        </is>
      </c>
      <c r="AC5" s="32" t="inlineStr">
        <is>
          <t>IF(F5="","",IF(COUNT(AI5:AV5)=0,IF(AA5="","Not started",AA5),SUBSTITUTE(LOOKUP(2,1/(AI5:AV5&lt;&gt;""),$AI$3:$AV$3),"Date: ","")))</t>
        </is>
      </c>
      <c r="AD5" s="39" t="inlineStr">
        <is>
          <t>IF(OR(F5="",COUNT(AI5:AV5)=0),"",TODAY()-LOOKUP(2,1/(AI5:AV5&lt;&gt;""),AI5:AV5))</t>
        </is>
      </c>
      <c r="AE5" s="39" t="inlineStr">
        <is>
          <t>IF(OR(F5="",COUNT(AI5:AV5)&lt;2),"",LOOKUP(2,1/(AI5:AV5&lt;&gt;""),AI5:AV5)-MIN(AI5:AV5))</t>
        </is>
      </c>
      <c r="AF5" s="39" t="inlineStr">
        <is>
          <t>IF(OR(AD5="",AC5="Not started",AC5=""),"",IFERROR(AD5-IF(VLOOKUP(AC5,'06_Status_Pipeline'!$B$3:$E$20,4,FALSE)="",0,VLOOKUP(AC5,'06_Status_Pipeline'!$B$3:$E$20,4,FALSE)),""))</t>
        </is>
      </c>
      <c r="AG5" s="3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39" t="inlineStr">
        <is>
          <t>IF(OR(F5="",AC5="Completed / Handover",AC5="Cancelled"),"",IF(O5="Not awarded",IF(U5&lt;&gt;"",U5-TODAY(),IF(X5="","",X5-TODAY())),IF(X5="","",X5-TODAY())))</t>
        </is>
      </c>
      <c r="AI5" s="66" t="n">
        <v>45809</v>
      </c>
      <c r="AJ5" s="66" t="n">
        <v>45828</v>
      </c>
      <c r="AK5" s="66" t="n">
        <v>45843</v>
      </c>
      <c r="AL5" s="66" t="n"/>
      <c r="AM5" s="66" t="n">
        <v>45858</v>
      </c>
      <c r="AN5" s="66" t="n"/>
      <c r="AO5" s="66" t="n">
        <v>45884</v>
      </c>
      <c r="AP5" s="66" t="n"/>
      <c r="AQ5" s="66" t="n"/>
      <c r="AR5" s="66" t="n"/>
      <c r="AS5" s="66" t="n"/>
      <c r="AT5" s="40" t="n"/>
      <c r="AU5" s="40" t="n"/>
      <c r="AV5" s="40" t="n"/>
      <c r="AW5" s="39" t="inlineStr">
        <is>
          <t>IF(OR(F5="",AJ5=""),"",IF(COUNT(AI5:AI5)=0,"",AJ5-LOOKUP(2,1/(AI5:AI5&lt;&gt;""),AI5:AI5)))</t>
        </is>
      </c>
      <c r="AX5" s="39" t="inlineStr">
        <is>
          <t>IF(OR(F5="",AK5=""),"",IF(COUNT(AI5:AJ5)=0,"",AK5-LOOKUP(2,1/(AI5:AJ5&lt;&gt;""),AI5:AJ5)))</t>
        </is>
      </c>
      <c r="AY5" s="39" t="inlineStr">
        <is>
          <t>IF(OR(F5="",AL5=""),"",IF(COUNT(AI5:AK5)=0,"",AL5-LOOKUP(2,1/(AI5:AK5&lt;&gt;""),AI5:AK5)))</t>
        </is>
      </c>
      <c r="AZ5" s="39" t="inlineStr">
        <is>
          <t>IF(OR(F5="",AM5=""),"",IF(COUNT(AI5:AL5)=0,"",AM5-LOOKUP(2,1/(AI5:AL5&lt;&gt;""),AI5:AL5)))</t>
        </is>
      </c>
      <c r="BA5" s="39" t="inlineStr">
        <is>
          <t>IF(OR(F5="",AN5=""),"",IF(COUNT(AI5:AM5)=0,"",AN5-LOOKUP(2,1/(AI5:AM5&lt;&gt;""),AI5:AM5)))</t>
        </is>
      </c>
      <c r="BB5" s="39" t="inlineStr">
        <is>
          <t>IF(OR(F5="",AO5=""),"",IF(COUNT(AI5:AN5)=0,"",AO5-LOOKUP(2,1/(AI5:AN5&lt;&gt;""),AI5:AN5)))</t>
        </is>
      </c>
      <c r="BC5" s="39" t="inlineStr">
        <is>
          <t>IF(OR(F5="",AP5=""),"",IF(COUNT(AI5:AO5)=0,"",AP5-LOOKUP(2,1/(AI5:AO5&lt;&gt;""),AI5:AO5)))</t>
        </is>
      </c>
      <c r="BD5" s="39" t="inlineStr">
        <is>
          <t>IF(OR(F5="",AQ5=""),"",IF(COUNT(AI5:AP5)=0,"",AQ5-LOOKUP(2,1/(AI5:AP5&lt;&gt;""),AI5:AP5)))</t>
        </is>
      </c>
      <c r="BE5" s="39" t="inlineStr">
        <is>
          <t>IF(OR(F5="",AR5=""),"",IF(COUNT(AI5:AQ5)=0,"",AR5-LOOKUP(2,1/(AI5:AQ5&lt;&gt;""),AI5:AQ5)))</t>
        </is>
      </c>
      <c r="BF5" s="39" t="inlineStr">
        <is>
          <t>IF(OR(F5="",AS5=""),"",IF(COUNT(AI5:AR5)=0,"",AS5-LOOKUP(2,1/(AI5:AR5&lt;&gt;""),AI5:AR5)))</t>
        </is>
      </c>
      <c r="BG5" s="39" t="inlineStr">
        <is>
          <t>IF(OR(F5="",AT5=""),"",IF(COUNT(AI5:AS5)=0,"",AT5-LOOKUP(2,1/(AI5:AS5&lt;&gt;""),AI5:AS5)))</t>
        </is>
      </c>
      <c r="BH5" s="39" t="inlineStr">
        <is>
          <t>IF(OR(F5="",AU5=""),"",IF(COUNT(AI5:AT5)=0,"",AU5-LOOKUP(2,1/(AI5:AT5&lt;&gt;""),AI5:AT5)))</t>
        </is>
      </c>
      <c r="BI5" s="39" t="inlineStr">
        <is>
          <t>IF(OR(F5="",AV5=""),"",IF(COUNT(AI5:AU5)=0,"",AV5-LOOKUP(2,1/(AI5:AU5&lt;&gt;""),AI5:AU5)))</t>
        </is>
      </c>
      <c r="BJ5" s="41" t="inlineStr">
        <is>
          <t>IF(J5="","All_Provinces",IFERROR(VLOOKUP(J5,'09_Lookups'!$A$4:$B$20,2,FALSE),"All_Provinces"))</t>
        </is>
      </c>
      <c r="BK5" s="41" t="inlineStr">
        <is>
          <t>IF(K5="","All_Districts",IFERROR(VLOOKUP(K5,'09_Lookups'!$E$4:$F$42,2,FALSE),"All_Districts"))</t>
        </is>
      </c>
    </row>
    <row r="6" ht="18" customHeight="1">
      <c r="A6" s="42" t="inlineStr">
        <is>
          <t>IF(F6="","",ROW()-3)</t>
        </is>
      </c>
      <c r="B6" s="52" t="n"/>
      <c r="C6" s="52" t="n"/>
      <c r="D6" s="52" t="n"/>
      <c r="E6" s="52" t="n"/>
      <c r="F6" s="52" t="n"/>
      <c r="G6" s="52" t="n"/>
      <c r="H6" s="52" t="n"/>
      <c r="I6" s="52" t="n"/>
      <c r="J6" s="52" t="n"/>
      <c r="K6" s="52" t="n"/>
      <c r="L6" s="52" t="n"/>
      <c r="M6" s="52" t="n"/>
      <c r="N6" s="52" t="n"/>
      <c r="O6" s="52" t="n"/>
      <c r="P6" s="52" t="n"/>
      <c r="Q6" s="52" t="n"/>
      <c r="R6" s="52" t="n"/>
      <c r="S6" s="53" t="n"/>
      <c r="T6" s="46" t="inlineStr">
        <is>
          <t>IF(AQ6="","",AQ6)</t>
        </is>
      </c>
      <c r="U6" s="54" t="n"/>
      <c r="V6" s="55" t="n"/>
      <c r="W6" s="54" t="n"/>
      <c r="X6" s="46" t="inlineStr">
        <is>
          <t>IF(W6&lt;&gt;"",W6,IF(OR(T6="",V6=""),"",EDATE(T6,V6)))</t>
        </is>
      </c>
      <c r="Y6" s="54" t="n"/>
      <c r="Z6" s="55" t="n"/>
      <c r="AA6" s="52" t="n"/>
      <c r="AB6" s="52" t="n"/>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ht="18" customHeight="1">
      <c r="A7" s="42" t="inlineStr">
        <is>
          <t>IF(F7="","",ROW()-3)</t>
        </is>
      </c>
      <c r="B7" s="44" t="n"/>
      <c r="C7" s="44" t="n"/>
      <c r="D7" s="44" t="n"/>
      <c r="E7" s="44" t="n"/>
      <c r="F7" s="44" t="n"/>
      <c r="G7" s="44" t="n"/>
      <c r="H7" s="44" t="n"/>
      <c r="I7" s="44" t="n"/>
      <c r="J7" s="44" t="n"/>
      <c r="K7" s="44" t="n"/>
      <c r="L7" s="44" t="n"/>
      <c r="M7" s="44" t="n"/>
      <c r="N7" s="44" t="n"/>
      <c r="O7" s="44" t="n"/>
      <c r="P7" s="44" t="n"/>
      <c r="Q7" s="44" t="n"/>
      <c r="R7" s="44" t="n"/>
      <c r="S7" s="45" t="n"/>
      <c r="T7" s="46" t="inlineStr">
        <is>
          <t>IF(AQ7="","",AQ7)</t>
        </is>
      </c>
      <c r="U7" s="47" t="n"/>
      <c r="V7" s="48" t="n"/>
      <c r="W7" s="47" t="n"/>
      <c r="X7" s="46" t="inlineStr">
        <is>
          <t>IF(W7&lt;&gt;"",W7,IF(OR(T7="",V7=""),"",EDATE(T7,V7)))</t>
        </is>
      </c>
      <c r="Y7" s="47" t="n"/>
      <c r="Z7" s="48" t="n"/>
      <c r="AA7" s="44" t="n"/>
      <c r="AB7" s="44" t="n"/>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ht="18" customHeight="1">
      <c r="A8" s="42" t="inlineStr">
        <is>
          <t>IF(F8="","",ROW()-3)</t>
        </is>
      </c>
      <c r="B8" s="52" t="n"/>
      <c r="C8" s="52" t="n"/>
      <c r="D8" s="52" t="n"/>
      <c r="E8" s="52" t="n"/>
      <c r="F8" s="52" t="n"/>
      <c r="G8" s="52" t="n"/>
      <c r="H8" s="52" t="n"/>
      <c r="I8" s="52" t="n"/>
      <c r="J8" s="52" t="n"/>
      <c r="K8" s="52" t="n"/>
      <c r="L8" s="52" t="n"/>
      <c r="M8" s="52" t="n"/>
      <c r="N8" s="52" t="n"/>
      <c r="O8" s="52" t="n"/>
      <c r="P8" s="52" t="n"/>
      <c r="Q8" s="52" t="n"/>
      <c r="R8" s="52" t="n"/>
      <c r="S8" s="53" t="n"/>
      <c r="T8" s="46" t="inlineStr">
        <is>
          <t>IF(AQ8="","",AQ8)</t>
        </is>
      </c>
      <c r="U8" s="54" t="n"/>
      <c r="V8" s="55" t="n"/>
      <c r="W8" s="54" t="n"/>
      <c r="X8" s="46" t="inlineStr">
        <is>
          <t>IF(W8&lt;&gt;"",W8,IF(OR(T8="",V8=""),"",EDATE(T8,V8)))</t>
        </is>
      </c>
      <c r="Y8" s="54" t="n"/>
      <c r="Z8" s="55" t="n"/>
      <c r="AA8" s="52" t="n"/>
      <c r="AB8" s="52" t="n"/>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ht="18" customHeight="1">
      <c r="A9" s="42" t="inlineStr">
        <is>
          <t>IF(F9="","",ROW()-3)</t>
        </is>
      </c>
      <c r="B9" s="44" t="n"/>
      <c r="C9" s="44" t="n"/>
      <c r="D9" s="44" t="n"/>
      <c r="E9" s="44" t="n"/>
      <c r="F9" s="44" t="n"/>
      <c r="G9" s="44" t="n"/>
      <c r="H9" s="44" t="n"/>
      <c r="I9" s="44" t="n"/>
      <c r="J9" s="44" t="n"/>
      <c r="K9" s="44" t="n"/>
      <c r="L9" s="44" t="n"/>
      <c r="M9" s="44" t="n"/>
      <c r="N9" s="44" t="n"/>
      <c r="O9" s="44" t="n"/>
      <c r="P9" s="44" t="n"/>
      <c r="Q9" s="44" t="n"/>
      <c r="R9" s="44" t="n"/>
      <c r="S9" s="45" t="n"/>
      <c r="T9" s="46" t="inlineStr">
        <is>
          <t>IF(AQ9="","",AQ9)</t>
        </is>
      </c>
      <c r="U9" s="47" t="n"/>
      <c r="V9" s="48" t="n"/>
      <c r="W9" s="47" t="n"/>
      <c r="X9" s="46" t="inlineStr">
        <is>
          <t>IF(W9&lt;&gt;"",W9,IF(OR(T9="",V9=""),"",EDATE(T9,V9)))</t>
        </is>
      </c>
      <c r="Y9" s="47" t="n"/>
      <c r="Z9" s="48" t="n"/>
      <c r="AA9" s="44" t="n"/>
      <c r="AB9" s="44" t="n"/>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ht="18" customHeight="1">
      <c r="A10" s="42" t="inlineStr">
        <is>
          <t>IF(F10="","",ROW()-3)</t>
        </is>
      </c>
      <c r="B10" s="52" t="n"/>
      <c r="C10" s="52" t="n"/>
      <c r="D10" s="52" t="n"/>
      <c r="E10" s="52" t="n"/>
      <c r="F10" s="52" t="n"/>
      <c r="G10" s="52" t="n"/>
      <c r="H10" s="52" t="n"/>
      <c r="I10" s="52" t="n"/>
      <c r="J10" s="52" t="n"/>
      <c r="K10" s="52" t="n"/>
      <c r="L10" s="52" t="n"/>
      <c r="M10" s="52" t="n"/>
      <c r="N10" s="52" t="n"/>
      <c r="O10" s="52" t="n"/>
      <c r="P10" s="52" t="n"/>
      <c r="Q10" s="52" t="n"/>
      <c r="R10" s="52" t="n"/>
      <c r="S10" s="53" t="n"/>
      <c r="T10" s="46" t="inlineStr">
        <is>
          <t>IF(AQ10="","",AQ10)</t>
        </is>
      </c>
      <c r="U10" s="54" t="n"/>
      <c r="V10" s="55" t="n"/>
      <c r="W10" s="54" t="n"/>
      <c r="X10" s="46" t="inlineStr">
        <is>
          <t>IF(W10&lt;&gt;"",W10,IF(OR(T10="",V10=""),"",EDATE(T10,V10)))</t>
        </is>
      </c>
      <c r="Y10" s="54" t="n"/>
      <c r="Z10" s="55" t="n"/>
      <c r="AA10" s="52" t="n"/>
      <c r="AB10" s="52" t="n"/>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ht="18" customHeight="1">
      <c r="A11" s="42" t="inlineStr">
        <is>
          <t>IF(F11="","",ROW()-3)</t>
        </is>
      </c>
      <c r="B11" s="44" t="n"/>
      <c r="C11" s="44" t="n"/>
      <c r="D11" s="44" t="n"/>
      <c r="E11" s="44" t="n"/>
      <c r="F11" s="44" t="n"/>
      <c r="G11" s="44" t="n"/>
      <c r="H11" s="44" t="n"/>
      <c r="I11" s="44" t="n"/>
      <c r="J11" s="44" t="n"/>
      <c r="K11" s="44" t="n"/>
      <c r="L11" s="44" t="n"/>
      <c r="M11" s="44" t="n"/>
      <c r="N11" s="44" t="n"/>
      <c r="O11" s="44" t="n"/>
      <c r="P11" s="44" t="n"/>
      <c r="Q11" s="44" t="n"/>
      <c r="R11" s="44" t="n"/>
      <c r="S11" s="45" t="n"/>
      <c r="T11" s="46" t="inlineStr">
        <is>
          <t>IF(AQ11="","",AQ11)</t>
        </is>
      </c>
      <c r="U11" s="47" t="n"/>
      <c r="V11" s="48" t="n"/>
      <c r="W11" s="47" t="n"/>
      <c r="X11" s="46" t="inlineStr">
        <is>
          <t>IF(W11&lt;&gt;"",W11,IF(OR(T11="",V11=""),"",EDATE(T11,V11)))</t>
        </is>
      </c>
      <c r="Y11" s="47" t="n"/>
      <c r="Z11" s="48" t="n"/>
      <c r="AA11" s="44" t="n"/>
      <c r="AB11" s="44" t="n"/>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ht="18" customHeight="1">
      <c r="A12" s="42" t="inlineStr">
        <is>
          <t>IF(F12="","",ROW()-3)</t>
        </is>
      </c>
      <c r="B12" s="52" t="n"/>
      <c r="C12" s="52" t="n"/>
      <c r="D12" s="52" t="n"/>
      <c r="E12" s="52" t="n"/>
      <c r="F12" s="52" t="n"/>
      <c r="G12" s="52" t="n"/>
      <c r="H12" s="52" t="n"/>
      <c r="I12" s="52" t="n"/>
      <c r="J12" s="52" t="n"/>
      <c r="K12" s="52" t="n"/>
      <c r="L12" s="52" t="n"/>
      <c r="M12" s="52" t="n"/>
      <c r="N12" s="52" t="n"/>
      <c r="O12" s="52" t="n"/>
      <c r="P12" s="52" t="n"/>
      <c r="Q12" s="52" t="n"/>
      <c r="R12" s="52" t="n"/>
      <c r="S12" s="53" t="n"/>
      <c r="T12" s="46" t="inlineStr">
        <is>
          <t>IF(AQ12="","",AQ12)</t>
        </is>
      </c>
      <c r="U12" s="54" t="n"/>
      <c r="V12" s="55" t="n"/>
      <c r="W12" s="54" t="n"/>
      <c r="X12" s="46" t="inlineStr">
        <is>
          <t>IF(W12&lt;&gt;"",W12,IF(OR(T12="",V12=""),"",EDATE(T12,V12)))</t>
        </is>
      </c>
      <c r="Y12" s="54" t="n"/>
      <c r="Z12" s="55" t="n"/>
      <c r="AA12" s="52" t="n"/>
      <c r="AB12" s="52" t="n"/>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ht="18" customHeight="1">
      <c r="A13" s="42" t="inlineStr">
        <is>
          <t>IF(F13="","",ROW()-3)</t>
        </is>
      </c>
      <c r="B13" s="44" t="n"/>
      <c r="C13" s="44" t="n"/>
      <c r="D13" s="44" t="n"/>
      <c r="E13" s="44" t="n"/>
      <c r="F13" s="44" t="n"/>
      <c r="G13" s="44" t="n"/>
      <c r="H13" s="44" t="n"/>
      <c r="I13" s="44" t="n"/>
      <c r="J13" s="44" t="n"/>
      <c r="K13" s="44" t="n"/>
      <c r="L13" s="44" t="n"/>
      <c r="M13" s="44" t="n"/>
      <c r="N13" s="44" t="n"/>
      <c r="O13" s="44" t="n"/>
      <c r="P13" s="44" t="n"/>
      <c r="Q13" s="44" t="n"/>
      <c r="R13" s="44" t="n"/>
      <c r="S13" s="45" t="n"/>
      <c r="T13" s="46" t="inlineStr">
        <is>
          <t>IF(AQ13="","",AQ13)</t>
        </is>
      </c>
      <c r="U13" s="47" t="n"/>
      <c r="V13" s="48" t="n"/>
      <c r="W13" s="47" t="n"/>
      <c r="X13" s="46" t="inlineStr">
        <is>
          <t>IF(W13&lt;&gt;"",W13,IF(OR(T13="",V13=""),"",EDATE(T13,V13)))</t>
        </is>
      </c>
      <c r="Y13" s="47" t="n"/>
      <c r="Z13" s="48" t="n"/>
      <c r="AA13" s="44" t="n"/>
      <c r="AB13" s="44" t="n"/>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ht="18" customHeight="1">
      <c r="A14" s="42" t="inlineStr">
        <is>
          <t>IF(F14="","",ROW()-3)</t>
        </is>
      </c>
      <c r="B14" s="52" t="n"/>
      <c r="C14" s="52" t="n"/>
      <c r="D14" s="52" t="n"/>
      <c r="E14" s="52" t="n"/>
      <c r="F14" s="52" t="n"/>
      <c r="G14" s="52" t="n"/>
      <c r="H14" s="52" t="n"/>
      <c r="I14" s="52" t="n"/>
      <c r="J14" s="52" t="n"/>
      <c r="K14" s="52" t="n"/>
      <c r="L14" s="52" t="n"/>
      <c r="M14" s="52" t="n"/>
      <c r="N14" s="52" t="n"/>
      <c r="O14" s="52" t="n"/>
      <c r="P14" s="52" t="n"/>
      <c r="Q14" s="52" t="n"/>
      <c r="R14" s="52" t="n"/>
      <c r="S14" s="53" t="n"/>
      <c r="T14" s="46" t="inlineStr">
        <is>
          <t>IF(AQ14="","",AQ14)</t>
        </is>
      </c>
      <c r="U14" s="54" t="n"/>
      <c r="V14" s="55" t="n"/>
      <c r="W14" s="54" t="n"/>
      <c r="X14" s="46" t="inlineStr">
        <is>
          <t>IF(W14&lt;&gt;"",W14,IF(OR(T14="",V14=""),"",EDATE(T14,V14)))</t>
        </is>
      </c>
      <c r="Y14" s="54" t="n"/>
      <c r="Z14" s="55" t="n"/>
      <c r="AA14" s="52" t="n"/>
      <c r="AB14" s="52" t="n"/>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ht="18" customHeight="1">
      <c r="A15" s="42" t="inlineStr">
        <is>
          <t>IF(F15="","",ROW()-3)</t>
        </is>
      </c>
      <c r="B15" s="44" t="n"/>
      <c r="C15" s="44" t="n"/>
      <c r="D15" s="44" t="n"/>
      <c r="E15" s="44" t="n"/>
      <c r="F15" s="44" t="n"/>
      <c r="G15" s="44" t="n"/>
      <c r="H15" s="44" t="n"/>
      <c r="I15" s="44" t="n"/>
      <c r="J15" s="44" t="n"/>
      <c r="K15" s="44" t="n"/>
      <c r="L15" s="44" t="n"/>
      <c r="M15" s="44" t="n"/>
      <c r="N15" s="44" t="n"/>
      <c r="O15" s="44" t="n"/>
      <c r="P15" s="44" t="n"/>
      <c r="Q15" s="44" t="n"/>
      <c r="R15" s="44" t="n"/>
      <c r="S15" s="45" t="n"/>
      <c r="T15" s="46" t="inlineStr">
        <is>
          <t>IF(AQ15="","",AQ15)</t>
        </is>
      </c>
      <c r="U15" s="47" t="n"/>
      <c r="V15" s="48" t="n"/>
      <c r="W15" s="47" t="n"/>
      <c r="X15" s="46" t="inlineStr">
        <is>
          <t>IF(W15&lt;&gt;"",W15,IF(OR(T15="",V15=""),"",EDATE(T15,V15)))</t>
        </is>
      </c>
      <c r="Y15" s="47" t="n"/>
      <c r="Z15" s="48" t="n"/>
      <c r="AA15" s="44" t="n"/>
      <c r="AB15" s="44" t="n"/>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ht="18" customHeight="1">
      <c r="A16" s="42" t="inlineStr">
        <is>
          <t>IF(F16="","",ROW()-3)</t>
        </is>
      </c>
      <c r="B16" s="52" t="n"/>
      <c r="C16" s="52" t="n"/>
      <c r="D16" s="52" t="n"/>
      <c r="E16" s="52" t="n"/>
      <c r="F16" s="52" t="n"/>
      <c r="G16" s="52" t="n"/>
      <c r="H16" s="52" t="n"/>
      <c r="I16" s="52" t="n"/>
      <c r="J16" s="52" t="n"/>
      <c r="K16" s="52" t="n"/>
      <c r="L16" s="52" t="n"/>
      <c r="M16" s="52" t="n"/>
      <c r="N16" s="52" t="n"/>
      <c r="O16" s="52" t="n"/>
      <c r="P16" s="52" t="n"/>
      <c r="Q16" s="52" t="n"/>
      <c r="R16" s="52" t="n"/>
      <c r="S16" s="53" t="n"/>
      <c r="T16" s="46" t="inlineStr">
        <is>
          <t>IF(AQ16="","",AQ16)</t>
        </is>
      </c>
      <c r="U16" s="54" t="n"/>
      <c r="V16" s="55" t="n"/>
      <c r="W16" s="54" t="n"/>
      <c r="X16" s="46" t="inlineStr">
        <is>
          <t>IF(W16&lt;&gt;"",W16,IF(OR(T16="",V16=""),"",EDATE(T16,V16)))</t>
        </is>
      </c>
      <c r="Y16" s="54" t="n"/>
      <c r="Z16" s="55" t="n"/>
      <c r="AA16" s="52" t="n"/>
      <c r="AB16" s="52" t="n"/>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ht="18" customHeight="1">
      <c r="A17" s="42" t="inlineStr">
        <is>
          <t>IF(F17="","",ROW()-3)</t>
        </is>
      </c>
      <c r="B17" s="44" t="n"/>
      <c r="C17" s="44" t="n"/>
      <c r="D17" s="44" t="n"/>
      <c r="E17" s="44" t="n"/>
      <c r="F17" s="44" t="n"/>
      <c r="G17" s="44" t="n"/>
      <c r="H17" s="44" t="n"/>
      <c r="I17" s="44" t="n"/>
      <c r="J17" s="44" t="n"/>
      <c r="K17" s="44" t="n"/>
      <c r="L17" s="44" t="n"/>
      <c r="M17" s="44" t="n"/>
      <c r="N17" s="44" t="n"/>
      <c r="O17" s="44" t="n"/>
      <c r="P17" s="44" t="n"/>
      <c r="Q17" s="44" t="n"/>
      <c r="R17" s="44" t="n"/>
      <c r="S17" s="45" t="n"/>
      <c r="T17" s="46" t="inlineStr">
        <is>
          <t>IF(AQ17="","",AQ17)</t>
        </is>
      </c>
      <c r="U17" s="47" t="n"/>
      <c r="V17" s="48" t="n"/>
      <c r="W17" s="47" t="n"/>
      <c r="X17" s="46" t="inlineStr">
        <is>
          <t>IF(W17&lt;&gt;"",W17,IF(OR(T17="",V17=""),"",EDATE(T17,V17)))</t>
        </is>
      </c>
      <c r="Y17" s="47" t="n"/>
      <c r="Z17" s="48" t="n"/>
      <c r="AA17" s="44" t="n"/>
      <c r="AB17" s="44" t="n"/>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ht="18" customHeight="1">
      <c r="A18" s="42" t="inlineStr">
        <is>
          <t>IF(F18="","",ROW()-3)</t>
        </is>
      </c>
      <c r="B18" s="52" t="n"/>
      <c r="C18" s="52" t="n"/>
      <c r="D18" s="52" t="n"/>
      <c r="E18" s="52" t="n"/>
      <c r="F18" s="52" t="n"/>
      <c r="G18" s="52" t="n"/>
      <c r="H18" s="52" t="n"/>
      <c r="I18" s="52" t="n"/>
      <c r="J18" s="52" t="n"/>
      <c r="K18" s="52" t="n"/>
      <c r="L18" s="52" t="n"/>
      <c r="M18" s="52" t="n"/>
      <c r="N18" s="52" t="n"/>
      <c r="O18" s="52" t="n"/>
      <c r="P18" s="52" t="n"/>
      <c r="Q18" s="52" t="n"/>
      <c r="R18" s="52" t="n"/>
      <c r="S18" s="53" t="n"/>
      <c r="T18" s="46" t="inlineStr">
        <is>
          <t>IF(AQ18="","",AQ18)</t>
        </is>
      </c>
      <c r="U18" s="54" t="n"/>
      <c r="V18" s="55" t="n"/>
      <c r="W18" s="54" t="n"/>
      <c r="X18" s="46" t="inlineStr">
        <is>
          <t>IF(W18&lt;&gt;"",W18,IF(OR(T18="",V18=""),"",EDATE(T18,V18)))</t>
        </is>
      </c>
      <c r="Y18" s="54" t="n"/>
      <c r="Z18" s="55" t="n"/>
      <c r="AA18" s="52" t="n"/>
      <c r="AB18" s="52" t="n"/>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ht="18" customHeight="1">
      <c r="A19" s="42" t="inlineStr">
        <is>
          <t>IF(F19="","",ROW()-3)</t>
        </is>
      </c>
      <c r="B19" s="44" t="n"/>
      <c r="C19" s="44" t="n"/>
      <c r="D19" s="44" t="n"/>
      <c r="E19" s="44" t="n"/>
      <c r="F19" s="44" t="n"/>
      <c r="G19" s="44" t="n"/>
      <c r="H19" s="44" t="n"/>
      <c r="I19" s="44" t="n"/>
      <c r="J19" s="44" t="n"/>
      <c r="K19" s="44" t="n"/>
      <c r="L19" s="44" t="n"/>
      <c r="M19" s="44" t="n"/>
      <c r="N19" s="44" t="n"/>
      <c r="O19" s="44" t="n"/>
      <c r="P19" s="44" t="n"/>
      <c r="Q19" s="44" t="n"/>
      <c r="R19" s="44" t="n"/>
      <c r="S19" s="45" t="n"/>
      <c r="T19" s="46" t="inlineStr">
        <is>
          <t>IF(AQ19="","",AQ19)</t>
        </is>
      </c>
      <c r="U19" s="47" t="n"/>
      <c r="V19" s="48" t="n"/>
      <c r="W19" s="47" t="n"/>
      <c r="X19" s="46" t="inlineStr">
        <is>
          <t>IF(W19&lt;&gt;"",W19,IF(OR(T19="",V19=""),"",EDATE(T19,V19)))</t>
        </is>
      </c>
      <c r="Y19" s="47" t="n"/>
      <c r="Z19" s="48" t="n"/>
      <c r="AA19" s="44" t="n"/>
      <c r="AB19" s="44" t="n"/>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ht="18" customHeight="1">
      <c r="A20" s="42" t="inlineStr">
        <is>
          <t>IF(F20="","",ROW()-3)</t>
        </is>
      </c>
      <c r="B20" s="52" t="n"/>
      <c r="C20" s="52" t="n"/>
      <c r="D20" s="52" t="n"/>
      <c r="E20" s="52" t="n"/>
      <c r="F20" s="52" t="n"/>
      <c r="G20" s="52" t="n"/>
      <c r="H20" s="52" t="n"/>
      <c r="I20" s="52" t="n"/>
      <c r="J20" s="52" t="n"/>
      <c r="K20" s="52" t="n"/>
      <c r="L20" s="52" t="n"/>
      <c r="M20" s="52" t="n"/>
      <c r="N20" s="52" t="n"/>
      <c r="O20" s="52" t="n"/>
      <c r="P20" s="52" t="n"/>
      <c r="Q20" s="52" t="n"/>
      <c r="R20" s="52" t="n"/>
      <c r="S20" s="53" t="n"/>
      <c r="T20" s="46" t="inlineStr">
        <is>
          <t>IF(AQ20="","",AQ20)</t>
        </is>
      </c>
      <c r="U20" s="54" t="n"/>
      <c r="V20" s="55" t="n"/>
      <c r="W20" s="54" t="n"/>
      <c r="X20" s="46" t="inlineStr">
        <is>
          <t>IF(W20&lt;&gt;"",W20,IF(OR(T20="",V20=""),"",EDATE(T20,V20)))</t>
        </is>
      </c>
      <c r="Y20" s="54" t="n"/>
      <c r="Z20" s="55" t="n"/>
      <c r="AA20" s="52" t="n"/>
      <c r="AB20" s="52" t="n"/>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ht="18" customHeight="1">
      <c r="A21" s="42" t="inlineStr">
        <is>
          <t>IF(F21="","",ROW()-3)</t>
        </is>
      </c>
      <c r="B21" s="44" t="n"/>
      <c r="C21" s="44" t="n"/>
      <c r="D21" s="44" t="n"/>
      <c r="E21" s="44" t="n"/>
      <c r="F21" s="44" t="n"/>
      <c r="G21" s="44" t="n"/>
      <c r="H21" s="44" t="n"/>
      <c r="I21" s="44" t="n"/>
      <c r="J21" s="44" t="n"/>
      <c r="K21" s="44" t="n"/>
      <c r="L21" s="44" t="n"/>
      <c r="M21" s="44" t="n"/>
      <c r="N21" s="44" t="n"/>
      <c r="O21" s="44" t="n"/>
      <c r="P21" s="44" t="n"/>
      <c r="Q21" s="44" t="n"/>
      <c r="R21" s="44" t="n"/>
      <c r="S21" s="45" t="n"/>
      <c r="T21" s="46" t="inlineStr">
        <is>
          <t>IF(AQ21="","",AQ21)</t>
        </is>
      </c>
      <c r="U21" s="47" t="n"/>
      <c r="V21" s="48" t="n"/>
      <c r="W21" s="47" t="n"/>
      <c r="X21" s="46" t="inlineStr">
        <is>
          <t>IF(W21&lt;&gt;"",W21,IF(OR(T21="",V21=""),"",EDATE(T21,V21)))</t>
        </is>
      </c>
      <c r="Y21" s="47" t="n"/>
      <c r="Z21" s="48" t="n"/>
      <c r="AA21" s="44" t="n"/>
      <c r="AB21" s="44" t="n"/>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ht="18" customHeight="1">
      <c r="A22" s="42" t="inlineStr">
        <is>
          <t>IF(F22="","",ROW()-3)</t>
        </is>
      </c>
      <c r="B22" s="52" t="n"/>
      <c r="C22" s="52" t="n"/>
      <c r="D22" s="52" t="n"/>
      <c r="E22" s="52" t="n"/>
      <c r="F22" s="52" t="n"/>
      <c r="G22" s="52" t="n"/>
      <c r="H22" s="52" t="n"/>
      <c r="I22" s="52" t="n"/>
      <c r="J22" s="52" t="n"/>
      <c r="K22" s="52" t="n"/>
      <c r="L22" s="52" t="n"/>
      <c r="M22" s="52" t="n"/>
      <c r="N22" s="52" t="n"/>
      <c r="O22" s="52" t="n"/>
      <c r="P22" s="52" t="n"/>
      <c r="Q22" s="52" t="n"/>
      <c r="R22" s="52" t="n"/>
      <c r="S22" s="53" t="n"/>
      <c r="T22" s="46" t="inlineStr">
        <is>
          <t>IF(AQ22="","",AQ22)</t>
        </is>
      </c>
      <c r="U22" s="54" t="n"/>
      <c r="V22" s="55" t="n"/>
      <c r="W22" s="54" t="n"/>
      <c r="X22" s="46" t="inlineStr">
        <is>
          <t>IF(W22&lt;&gt;"",W22,IF(OR(T22="",V22=""),"",EDATE(T22,V22)))</t>
        </is>
      </c>
      <c r="Y22" s="54" t="n"/>
      <c r="Z22" s="55" t="n"/>
      <c r="AA22" s="52" t="n"/>
      <c r="AB22" s="52" t="n"/>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ht="18" customHeight="1">
      <c r="A23" s="42" t="inlineStr">
        <is>
          <t>IF(F23="","",ROW()-3)</t>
        </is>
      </c>
      <c r="B23" s="44" t="n"/>
      <c r="C23" s="44" t="n"/>
      <c r="D23" s="44" t="n"/>
      <c r="E23" s="44" t="n"/>
      <c r="F23" s="44" t="n"/>
      <c r="G23" s="44" t="n"/>
      <c r="H23" s="44" t="n"/>
      <c r="I23" s="44" t="n"/>
      <c r="J23" s="44" t="n"/>
      <c r="K23" s="44" t="n"/>
      <c r="L23" s="44" t="n"/>
      <c r="M23" s="44" t="n"/>
      <c r="N23" s="44" t="n"/>
      <c r="O23" s="44" t="n"/>
      <c r="P23" s="44" t="n"/>
      <c r="Q23" s="44" t="n"/>
      <c r="R23" s="44" t="n"/>
      <c r="S23" s="45" t="n"/>
      <c r="T23" s="46" t="inlineStr">
        <is>
          <t>IF(AQ23="","",AQ23)</t>
        </is>
      </c>
      <c r="U23" s="47" t="n"/>
      <c r="V23" s="48" t="n"/>
      <c r="W23" s="47" t="n"/>
      <c r="X23" s="46" t="inlineStr">
        <is>
          <t>IF(W23&lt;&gt;"",W23,IF(OR(T23="",V23=""),"",EDATE(T23,V23)))</t>
        </is>
      </c>
      <c r="Y23" s="47" t="n"/>
      <c r="Z23" s="48" t="n"/>
      <c r="AA23" s="44" t="n"/>
      <c r="AB23" s="44" t="n"/>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ht="18" customHeight="1">
      <c r="A24" s="42" t="inlineStr">
        <is>
          <t>IF(F24="","",ROW()-3)</t>
        </is>
      </c>
      <c r="B24" s="52" t="n"/>
      <c r="C24" s="52" t="n"/>
      <c r="D24" s="52" t="n"/>
      <c r="E24" s="52" t="n"/>
      <c r="F24" s="52" t="n"/>
      <c r="G24" s="52" t="n"/>
      <c r="H24" s="52" t="n"/>
      <c r="I24" s="52" t="n"/>
      <c r="J24" s="52" t="n"/>
      <c r="K24" s="52" t="n"/>
      <c r="L24" s="52" t="n"/>
      <c r="M24" s="52" t="n"/>
      <c r="N24" s="52" t="n"/>
      <c r="O24" s="52" t="n"/>
      <c r="P24" s="52" t="n"/>
      <c r="Q24" s="52" t="n"/>
      <c r="R24" s="52" t="n"/>
      <c r="S24" s="53" t="n"/>
      <c r="T24" s="46" t="inlineStr">
        <is>
          <t>IF(AQ24="","",AQ24)</t>
        </is>
      </c>
      <c r="U24" s="54" t="n"/>
      <c r="V24" s="55" t="n"/>
      <c r="W24" s="54" t="n"/>
      <c r="X24" s="46" t="inlineStr">
        <is>
          <t>IF(W24&lt;&gt;"",W24,IF(OR(T24="",V24=""),"",EDATE(T24,V24)))</t>
        </is>
      </c>
      <c r="Y24" s="54" t="n"/>
      <c r="Z24" s="55" t="n"/>
      <c r="AA24" s="52" t="n"/>
      <c r="AB24" s="52" t="n"/>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ht="18" customHeight="1">
      <c r="A25" s="42" t="inlineStr">
        <is>
          <t>IF(F25="","",ROW()-3)</t>
        </is>
      </c>
      <c r="B25" s="44" t="n"/>
      <c r="C25" s="44" t="n"/>
      <c r="D25" s="44" t="n"/>
      <c r="E25" s="44" t="n"/>
      <c r="F25" s="44" t="n"/>
      <c r="G25" s="44" t="n"/>
      <c r="H25" s="44" t="n"/>
      <c r="I25" s="44" t="n"/>
      <c r="J25" s="44" t="n"/>
      <c r="K25" s="44" t="n"/>
      <c r="L25" s="44" t="n"/>
      <c r="M25" s="44" t="n"/>
      <c r="N25" s="44" t="n"/>
      <c r="O25" s="44" t="n"/>
      <c r="P25" s="44" t="n"/>
      <c r="Q25" s="44" t="n"/>
      <c r="R25" s="44" t="n"/>
      <c r="S25" s="45" t="n"/>
      <c r="T25" s="46" t="inlineStr">
        <is>
          <t>IF(AQ25="","",AQ25)</t>
        </is>
      </c>
      <c r="U25" s="47" t="n"/>
      <c r="V25" s="48" t="n"/>
      <c r="W25" s="47" t="n"/>
      <c r="X25" s="46" t="inlineStr">
        <is>
          <t>IF(W25&lt;&gt;"",W25,IF(OR(T25="",V25=""),"",EDATE(T25,V25)))</t>
        </is>
      </c>
      <c r="Y25" s="47" t="n"/>
      <c r="Z25" s="48" t="n"/>
      <c r="AA25" s="44" t="n"/>
      <c r="AB25" s="44" t="n"/>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ht="18" customHeight="1">
      <c r="A26" s="42" t="inlineStr">
        <is>
          <t>IF(F26="","",ROW()-3)</t>
        </is>
      </c>
      <c r="B26" s="52" t="n"/>
      <c r="C26" s="52" t="n"/>
      <c r="D26" s="52" t="n"/>
      <c r="E26" s="52" t="n"/>
      <c r="F26" s="52" t="n"/>
      <c r="G26" s="52" t="n"/>
      <c r="H26" s="52" t="n"/>
      <c r="I26" s="52" t="n"/>
      <c r="J26" s="52" t="n"/>
      <c r="K26" s="52" t="n"/>
      <c r="L26" s="52" t="n"/>
      <c r="M26" s="52" t="n"/>
      <c r="N26" s="52" t="n"/>
      <c r="O26" s="52" t="n"/>
      <c r="P26" s="52" t="n"/>
      <c r="Q26" s="52" t="n"/>
      <c r="R26" s="52" t="n"/>
      <c r="S26" s="53" t="n"/>
      <c r="T26" s="46" t="inlineStr">
        <is>
          <t>IF(AQ26="","",AQ26)</t>
        </is>
      </c>
      <c r="U26" s="54" t="n"/>
      <c r="V26" s="55" t="n"/>
      <c r="W26" s="54" t="n"/>
      <c r="X26" s="46" t="inlineStr">
        <is>
          <t>IF(W26&lt;&gt;"",W26,IF(OR(T26="",V26=""),"",EDATE(T26,V26)))</t>
        </is>
      </c>
      <c r="Y26" s="54" t="n"/>
      <c r="Z26" s="55" t="n"/>
      <c r="AA26" s="52" t="n"/>
      <c r="AB26" s="52" t="n"/>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ht="18" customHeight="1">
      <c r="A27" s="42" t="inlineStr">
        <is>
          <t>IF(F27="","",ROW()-3)</t>
        </is>
      </c>
      <c r="B27" s="44" t="n"/>
      <c r="C27" s="44" t="n"/>
      <c r="D27" s="44" t="n"/>
      <c r="E27" s="44" t="n"/>
      <c r="F27" s="44" t="n"/>
      <c r="G27" s="44" t="n"/>
      <c r="H27" s="44" t="n"/>
      <c r="I27" s="44" t="n"/>
      <c r="J27" s="44" t="n"/>
      <c r="K27" s="44" t="n"/>
      <c r="L27" s="44" t="n"/>
      <c r="M27" s="44" t="n"/>
      <c r="N27" s="44" t="n"/>
      <c r="O27" s="44" t="n"/>
      <c r="P27" s="44" t="n"/>
      <c r="Q27" s="44" t="n"/>
      <c r="R27" s="44" t="n"/>
      <c r="S27" s="45" t="n"/>
      <c r="T27" s="46" t="inlineStr">
        <is>
          <t>IF(AQ27="","",AQ27)</t>
        </is>
      </c>
      <c r="U27" s="47" t="n"/>
      <c r="V27" s="48" t="n"/>
      <c r="W27" s="47" t="n"/>
      <c r="X27" s="46" t="inlineStr">
        <is>
          <t>IF(W27&lt;&gt;"",W27,IF(OR(T27="",V27=""),"",EDATE(T27,V27)))</t>
        </is>
      </c>
      <c r="Y27" s="47" t="n"/>
      <c r="Z27" s="48" t="n"/>
      <c r="AA27" s="44" t="n"/>
      <c r="AB27" s="44" t="n"/>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ht="18" customHeight="1">
      <c r="A28" s="42" t="inlineStr">
        <is>
          <t>IF(F28="","",ROW()-3)</t>
        </is>
      </c>
      <c r="B28" s="52" t="n"/>
      <c r="C28" s="52" t="n"/>
      <c r="D28" s="52" t="n"/>
      <c r="E28" s="52" t="n"/>
      <c r="F28" s="52" t="n"/>
      <c r="G28" s="52" t="n"/>
      <c r="H28" s="52" t="n"/>
      <c r="I28" s="52" t="n"/>
      <c r="J28" s="52" t="n"/>
      <c r="K28" s="52" t="n"/>
      <c r="L28" s="52" t="n"/>
      <c r="M28" s="52" t="n"/>
      <c r="N28" s="52" t="n"/>
      <c r="O28" s="52" t="n"/>
      <c r="P28" s="52" t="n"/>
      <c r="Q28" s="52" t="n"/>
      <c r="R28" s="52" t="n"/>
      <c r="S28" s="53" t="n"/>
      <c r="T28" s="46" t="inlineStr">
        <is>
          <t>IF(AQ28="","",AQ28)</t>
        </is>
      </c>
      <c r="U28" s="54" t="n"/>
      <c r="V28" s="55" t="n"/>
      <c r="W28" s="54" t="n"/>
      <c r="X28" s="46" t="inlineStr">
        <is>
          <t>IF(W28&lt;&gt;"",W28,IF(OR(T28="",V28=""),"",EDATE(T28,V28)))</t>
        </is>
      </c>
      <c r="Y28" s="54" t="n"/>
      <c r="Z28" s="55" t="n"/>
      <c r="AA28" s="52" t="n"/>
      <c r="AB28" s="52" t="n"/>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ht="18" customHeight="1">
      <c r="A29" s="42" t="inlineStr">
        <is>
          <t>IF(F29="","",ROW()-3)</t>
        </is>
      </c>
      <c r="B29" s="44" t="n"/>
      <c r="C29" s="44" t="n"/>
      <c r="D29" s="44" t="n"/>
      <c r="E29" s="44" t="n"/>
      <c r="F29" s="44" t="n"/>
      <c r="G29" s="44" t="n"/>
      <c r="H29" s="44" t="n"/>
      <c r="I29" s="44" t="n"/>
      <c r="J29" s="44" t="n"/>
      <c r="K29" s="44" t="n"/>
      <c r="L29" s="44" t="n"/>
      <c r="M29" s="44" t="n"/>
      <c r="N29" s="44" t="n"/>
      <c r="O29" s="44" t="n"/>
      <c r="P29" s="44" t="n"/>
      <c r="Q29" s="44" t="n"/>
      <c r="R29" s="44" t="n"/>
      <c r="S29" s="45" t="n"/>
      <c r="T29" s="46" t="inlineStr">
        <is>
          <t>IF(AQ29="","",AQ29)</t>
        </is>
      </c>
      <c r="U29" s="47" t="n"/>
      <c r="V29" s="48" t="n"/>
      <c r="W29" s="47" t="n"/>
      <c r="X29" s="46" t="inlineStr">
        <is>
          <t>IF(W29&lt;&gt;"",W29,IF(OR(T29="",V29=""),"",EDATE(T29,V29)))</t>
        </is>
      </c>
      <c r="Y29" s="47" t="n"/>
      <c r="Z29" s="48" t="n"/>
      <c r="AA29" s="44" t="n"/>
      <c r="AB29" s="44" t="n"/>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ht="18" customHeight="1">
      <c r="A30" s="42" t="inlineStr">
        <is>
          <t>IF(F30="","",ROW()-3)</t>
        </is>
      </c>
      <c r="B30" s="52" t="n"/>
      <c r="C30" s="52" t="n"/>
      <c r="D30" s="52" t="n"/>
      <c r="E30" s="52" t="n"/>
      <c r="F30" s="52" t="n"/>
      <c r="G30" s="52" t="n"/>
      <c r="H30" s="52" t="n"/>
      <c r="I30" s="52" t="n"/>
      <c r="J30" s="52" t="n"/>
      <c r="K30" s="52" t="n"/>
      <c r="L30" s="52" t="n"/>
      <c r="M30" s="52" t="n"/>
      <c r="N30" s="52" t="n"/>
      <c r="O30" s="52" t="n"/>
      <c r="P30" s="52" t="n"/>
      <c r="Q30" s="52" t="n"/>
      <c r="R30" s="52" t="n"/>
      <c r="S30" s="53" t="n"/>
      <c r="T30" s="46" t="inlineStr">
        <is>
          <t>IF(AQ30="","",AQ30)</t>
        </is>
      </c>
      <c r="U30" s="54" t="n"/>
      <c r="V30" s="55" t="n"/>
      <c r="W30" s="54" t="n"/>
      <c r="X30" s="46" t="inlineStr">
        <is>
          <t>IF(W30&lt;&gt;"",W30,IF(OR(T30="",V30=""),"",EDATE(T30,V30)))</t>
        </is>
      </c>
      <c r="Y30" s="54" t="n"/>
      <c r="Z30" s="55" t="n"/>
      <c r="AA30" s="52" t="n"/>
      <c r="AB30" s="52" t="n"/>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ht="18" customHeight="1">
      <c r="A31" s="42" t="inlineStr">
        <is>
          <t>IF(F31="","",ROW()-3)</t>
        </is>
      </c>
      <c r="B31" s="44" t="n"/>
      <c r="C31" s="44" t="n"/>
      <c r="D31" s="44" t="n"/>
      <c r="E31" s="44" t="n"/>
      <c r="F31" s="44" t="n"/>
      <c r="G31" s="44" t="n"/>
      <c r="H31" s="44" t="n"/>
      <c r="I31" s="44" t="n"/>
      <c r="J31" s="44" t="n"/>
      <c r="K31" s="44" t="n"/>
      <c r="L31" s="44" t="n"/>
      <c r="M31" s="44" t="n"/>
      <c r="N31" s="44" t="n"/>
      <c r="O31" s="44" t="n"/>
      <c r="P31" s="44" t="n"/>
      <c r="Q31" s="44" t="n"/>
      <c r="R31" s="44" t="n"/>
      <c r="S31" s="45" t="n"/>
      <c r="T31" s="46" t="inlineStr">
        <is>
          <t>IF(AQ31="","",AQ31)</t>
        </is>
      </c>
      <c r="U31" s="47" t="n"/>
      <c r="V31" s="48" t="n"/>
      <c r="W31" s="47" t="n"/>
      <c r="X31" s="46" t="inlineStr">
        <is>
          <t>IF(W31&lt;&gt;"",W31,IF(OR(T31="",V31=""),"",EDATE(T31,V31)))</t>
        </is>
      </c>
      <c r="Y31" s="47" t="n"/>
      <c r="Z31" s="48" t="n"/>
      <c r="AA31" s="44" t="n"/>
      <c r="AB31" s="44" t="n"/>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ht="18" customHeight="1">
      <c r="A32" s="42" t="inlineStr">
        <is>
          <t>IF(F32="","",ROW()-3)</t>
        </is>
      </c>
      <c r="B32" s="52" t="n"/>
      <c r="C32" s="52" t="n"/>
      <c r="D32" s="52" t="n"/>
      <c r="E32" s="52" t="n"/>
      <c r="F32" s="52" t="n"/>
      <c r="G32" s="52" t="n"/>
      <c r="H32" s="52" t="n"/>
      <c r="I32" s="52" t="n"/>
      <c r="J32" s="52" t="n"/>
      <c r="K32" s="52" t="n"/>
      <c r="L32" s="52" t="n"/>
      <c r="M32" s="52" t="n"/>
      <c r="N32" s="52" t="n"/>
      <c r="O32" s="52" t="n"/>
      <c r="P32" s="52" t="n"/>
      <c r="Q32" s="52" t="n"/>
      <c r="R32" s="52" t="n"/>
      <c r="S32" s="53" t="n"/>
      <c r="T32" s="46" t="inlineStr">
        <is>
          <t>IF(AQ32="","",AQ32)</t>
        </is>
      </c>
      <c r="U32" s="54" t="n"/>
      <c r="V32" s="55" t="n"/>
      <c r="W32" s="54" t="n"/>
      <c r="X32" s="46" t="inlineStr">
        <is>
          <t>IF(W32&lt;&gt;"",W32,IF(OR(T32="",V32=""),"",EDATE(T32,V32)))</t>
        </is>
      </c>
      <c r="Y32" s="54" t="n"/>
      <c r="Z32" s="55" t="n"/>
      <c r="AA32" s="52" t="n"/>
      <c r="AB32" s="52" t="n"/>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ht="18" customHeight="1">
      <c r="A33" s="42" t="inlineStr">
        <is>
          <t>IF(F33="","",ROW()-3)</t>
        </is>
      </c>
      <c r="B33" s="44" t="n"/>
      <c r="C33" s="44" t="n"/>
      <c r="D33" s="44" t="n"/>
      <c r="E33" s="44" t="n"/>
      <c r="F33" s="44" t="n"/>
      <c r="G33" s="44" t="n"/>
      <c r="H33" s="44" t="n"/>
      <c r="I33" s="44" t="n"/>
      <c r="J33" s="44" t="n"/>
      <c r="K33" s="44" t="n"/>
      <c r="L33" s="44" t="n"/>
      <c r="M33" s="44" t="n"/>
      <c r="N33" s="44" t="n"/>
      <c r="O33" s="44" t="n"/>
      <c r="P33" s="44" t="n"/>
      <c r="Q33" s="44" t="n"/>
      <c r="R33" s="44" t="n"/>
      <c r="S33" s="45" t="n"/>
      <c r="T33" s="46" t="inlineStr">
        <is>
          <t>IF(AQ33="","",AQ33)</t>
        </is>
      </c>
      <c r="U33" s="47" t="n"/>
      <c r="V33" s="48" t="n"/>
      <c r="W33" s="47" t="n"/>
      <c r="X33" s="46" t="inlineStr">
        <is>
          <t>IF(W33&lt;&gt;"",W33,IF(OR(T33="",V33=""),"",EDATE(T33,V33)))</t>
        </is>
      </c>
      <c r="Y33" s="47" t="n"/>
      <c r="Z33" s="48" t="n"/>
      <c r="AA33" s="44" t="n"/>
      <c r="AB33" s="44" t="n"/>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ht="18" customHeight="1">
      <c r="A34" s="42" t="inlineStr">
        <is>
          <t>IF(F34="","",ROW()-3)</t>
        </is>
      </c>
      <c r="B34" s="52" t="n"/>
      <c r="C34" s="52" t="n"/>
      <c r="D34" s="52" t="n"/>
      <c r="E34" s="52" t="n"/>
      <c r="F34" s="52" t="n"/>
      <c r="G34" s="52" t="n"/>
      <c r="H34" s="52" t="n"/>
      <c r="I34" s="52" t="n"/>
      <c r="J34" s="52" t="n"/>
      <c r="K34" s="52" t="n"/>
      <c r="L34" s="52" t="n"/>
      <c r="M34" s="52" t="n"/>
      <c r="N34" s="52" t="n"/>
      <c r="O34" s="52" t="n"/>
      <c r="P34" s="52" t="n"/>
      <c r="Q34" s="52" t="n"/>
      <c r="R34" s="52" t="n"/>
      <c r="S34" s="53" t="n"/>
      <c r="T34" s="46" t="inlineStr">
        <is>
          <t>IF(AQ34="","",AQ34)</t>
        </is>
      </c>
      <c r="U34" s="54" t="n"/>
      <c r="V34" s="55" t="n"/>
      <c r="W34" s="54" t="n"/>
      <c r="X34" s="46" t="inlineStr">
        <is>
          <t>IF(W34&lt;&gt;"",W34,IF(OR(T34="",V34=""),"",EDATE(T34,V34)))</t>
        </is>
      </c>
      <c r="Y34" s="54" t="n"/>
      <c r="Z34" s="55" t="n"/>
      <c r="AA34" s="52" t="n"/>
      <c r="AB34" s="52" t="n"/>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ht="18" customHeight="1">
      <c r="A35" s="42" t="inlineStr">
        <is>
          <t>IF(F35="","",ROW()-3)</t>
        </is>
      </c>
      <c r="B35" s="44" t="n"/>
      <c r="C35" s="44" t="n"/>
      <c r="D35" s="44" t="n"/>
      <c r="E35" s="44" t="n"/>
      <c r="F35" s="44" t="n"/>
      <c r="G35" s="44" t="n"/>
      <c r="H35" s="44" t="n"/>
      <c r="I35" s="44" t="n"/>
      <c r="J35" s="44" t="n"/>
      <c r="K35" s="44" t="n"/>
      <c r="L35" s="44" t="n"/>
      <c r="M35" s="44" t="n"/>
      <c r="N35" s="44" t="n"/>
      <c r="O35" s="44" t="n"/>
      <c r="P35" s="44" t="n"/>
      <c r="Q35" s="44" t="n"/>
      <c r="R35" s="44" t="n"/>
      <c r="S35" s="45" t="n"/>
      <c r="T35" s="46" t="inlineStr">
        <is>
          <t>IF(AQ35="","",AQ35)</t>
        </is>
      </c>
      <c r="U35" s="47" t="n"/>
      <c r="V35" s="48" t="n"/>
      <c r="W35" s="47" t="n"/>
      <c r="X35" s="46" t="inlineStr">
        <is>
          <t>IF(W35&lt;&gt;"",W35,IF(OR(T35="",V35=""),"",EDATE(T35,V35)))</t>
        </is>
      </c>
      <c r="Y35" s="47" t="n"/>
      <c r="Z35" s="48" t="n"/>
      <c r="AA35" s="44" t="n"/>
      <c r="AB35" s="44" t="n"/>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ht="18" customHeight="1">
      <c r="A36" s="42" t="inlineStr">
        <is>
          <t>IF(F36="","",ROW()-3)</t>
        </is>
      </c>
      <c r="B36" s="52" t="n"/>
      <c r="C36" s="52" t="n"/>
      <c r="D36" s="52" t="n"/>
      <c r="E36" s="52" t="n"/>
      <c r="F36" s="52" t="n"/>
      <c r="G36" s="52" t="n"/>
      <c r="H36" s="52" t="n"/>
      <c r="I36" s="52" t="n"/>
      <c r="J36" s="52" t="n"/>
      <c r="K36" s="52" t="n"/>
      <c r="L36" s="52" t="n"/>
      <c r="M36" s="52" t="n"/>
      <c r="N36" s="52" t="n"/>
      <c r="O36" s="52" t="n"/>
      <c r="P36" s="52" t="n"/>
      <c r="Q36" s="52" t="n"/>
      <c r="R36" s="52" t="n"/>
      <c r="S36" s="53" t="n"/>
      <c r="T36" s="46" t="inlineStr">
        <is>
          <t>IF(AQ36="","",AQ36)</t>
        </is>
      </c>
      <c r="U36" s="54" t="n"/>
      <c r="V36" s="55" t="n"/>
      <c r="W36" s="54" t="n"/>
      <c r="X36" s="46" t="inlineStr">
        <is>
          <t>IF(W36&lt;&gt;"",W36,IF(OR(T36="",V36=""),"",EDATE(T36,V36)))</t>
        </is>
      </c>
      <c r="Y36" s="54" t="n"/>
      <c r="Z36" s="55" t="n"/>
      <c r="AA36" s="52" t="n"/>
      <c r="AB36" s="52" t="n"/>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ht="18" customHeight="1">
      <c r="A37" s="42" t="inlineStr">
        <is>
          <t>IF(F37="","",ROW()-3)</t>
        </is>
      </c>
      <c r="B37" s="44" t="n"/>
      <c r="C37" s="44" t="n"/>
      <c r="D37" s="44" t="n"/>
      <c r="E37" s="44" t="n"/>
      <c r="F37" s="44" t="n"/>
      <c r="G37" s="44" t="n"/>
      <c r="H37" s="44" t="n"/>
      <c r="I37" s="44" t="n"/>
      <c r="J37" s="44" t="n"/>
      <c r="K37" s="44" t="n"/>
      <c r="L37" s="44" t="n"/>
      <c r="M37" s="44" t="n"/>
      <c r="N37" s="44" t="n"/>
      <c r="O37" s="44" t="n"/>
      <c r="P37" s="44" t="n"/>
      <c r="Q37" s="44" t="n"/>
      <c r="R37" s="44" t="n"/>
      <c r="S37" s="45" t="n"/>
      <c r="T37" s="46" t="inlineStr">
        <is>
          <t>IF(AQ37="","",AQ37)</t>
        </is>
      </c>
      <c r="U37" s="47" t="n"/>
      <c r="V37" s="48" t="n"/>
      <c r="W37" s="47" t="n"/>
      <c r="X37" s="46" t="inlineStr">
        <is>
          <t>IF(W37&lt;&gt;"",W37,IF(OR(T37="",V37=""),"",EDATE(T37,V37)))</t>
        </is>
      </c>
      <c r="Y37" s="47" t="n"/>
      <c r="Z37" s="48" t="n"/>
      <c r="AA37" s="44" t="n"/>
      <c r="AB37" s="44" t="n"/>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ht="18" customHeight="1">
      <c r="A38" s="42" t="inlineStr">
        <is>
          <t>IF(F38="","",ROW()-3)</t>
        </is>
      </c>
      <c r="B38" s="52" t="n"/>
      <c r="C38" s="52" t="n"/>
      <c r="D38" s="52" t="n"/>
      <c r="E38" s="52" t="n"/>
      <c r="F38" s="52" t="n"/>
      <c r="G38" s="52" t="n"/>
      <c r="H38" s="52" t="n"/>
      <c r="I38" s="52" t="n"/>
      <c r="J38" s="52" t="n"/>
      <c r="K38" s="52" t="n"/>
      <c r="L38" s="52" t="n"/>
      <c r="M38" s="52" t="n"/>
      <c r="N38" s="52" t="n"/>
      <c r="O38" s="52" t="n"/>
      <c r="P38" s="52" t="n"/>
      <c r="Q38" s="52" t="n"/>
      <c r="R38" s="52" t="n"/>
      <c r="S38" s="53" t="n"/>
      <c r="T38" s="46" t="inlineStr">
        <is>
          <t>IF(AQ38="","",AQ38)</t>
        </is>
      </c>
      <c r="U38" s="54" t="n"/>
      <c r="V38" s="55" t="n"/>
      <c r="W38" s="54" t="n"/>
      <c r="X38" s="46" t="inlineStr">
        <is>
          <t>IF(W38&lt;&gt;"",W38,IF(OR(T38="",V38=""),"",EDATE(T38,V38)))</t>
        </is>
      </c>
      <c r="Y38" s="54" t="n"/>
      <c r="Z38" s="55" t="n"/>
      <c r="AA38" s="52" t="n"/>
      <c r="AB38" s="52" t="n"/>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ht="18" customHeight="1">
      <c r="A39" s="42" t="inlineStr">
        <is>
          <t>IF(F39="","",ROW()-3)</t>
        </is>
      </c>
      <c r="B39" s="44" t="n"/>
      <c r="C39" s="44" t="n"/>
      <c r="D39" s="44" t="n"/>
      <c r="E39" s="44" t="n"/>
      <c r="F39" s="44" t="n"/>
      <c r="G39" s="44" t="n"/>
      <c r="H39" s="44" t="n"/>
      <c r="I39" s="44" t="n"/>
      <c r="J39" s="44" t="n"/>
      <c r="K39" s="44" t="n"/>
      <c r="L39" s="44" t="n"/>
      <c r="M39" s="44" t="n"/>
      <c r="N39" s="44" t="n"/>
      <c r="O39" s="44" t="n"/>
      <c r="P39" s="44" t="n"/>
      <c r="Q39" s="44" t="n"/>
      <c r="R39" s="44" t="n"/>
      <c r="S39" s="45" t="n"/>
      <c r="T39" s="46" t="inlineStr">
        <is>
          <t>IF(AQ39="","",AQ39)</t>
        </is>
      </c>
      <c r="U39" s="47" t="n"/>
      <c r="V39" s="48" t="n"/>
      <c r="W39" s="47" t="n"/>
      <c r="X39" s="46" t="inlineStr">
        <is>
          <t>IF(W39&lt;&gt;"",W39,IF(OR(T39="",V39=""),"",EDATE(T39,V39)))</t>
        </is>
      </c>
      <c r="Y39" s="47" t="n"/>
      <c r="Z39" s="48" t="n"/>
      <c r="AA39" s="44" t="n"/>
      <c r="AB39" s="44" t="n"/>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ht="18" customHeight="1">
      <c r="A40" s="42" t="inlineStr">
        <is>
          <t>IF(F40="","",ROW()-3)</t>
        </is>
      </c>
      <c r="B40" s="52" t="n"/>
      <c r="C40" s="52" t="n"/>
      <c r="D40" s="52" t="n"/>
      <c r="E40" s="52" t="n"/>
      <c r="F40" s="52" t="n"/>
      <c r="G40" s="52" t="n"/>
      <c r="H40" s="52" t="n"/>
      <c r="I40" s="52" t="n"/>
      <c r="J40" s="52" t="n"/>
      <c r="K40" s="52" t="n"/>
      <c r="L40" s="52" t="n"/>
      <c r="M40" s="52" t="n"/>
      <c r="N40" s="52" t="n"/>
      <c r="O40" s="52" t="n"/>
      <c r="P40" s="52" t="n"/>
      <c r="Q40" s="52" t="n"/>
      <c r="R40" s="52" t="n"/>
      <c r="S40" s="53" t="n"/>
      <c r="T40" s="46" t="inlineStr">
        <is>
          <t>IF(AQ40="","",AQ40)</t>
        </is>
      </c>
      <c r="U40" s="54" t="n"/>
      <c r="V40" s="55" t="n"/>
      <c r="W40" s="54" t="n"/>
      <c r="X40" s="46" t="inlineStr">
        <is>
          <t>IF(W40&lt;&gt;"",W40,IF(OR(T40="",V40=""),"",EDATE(T40,V40)))</t>
        </is>
      </c>
      <c r="Y40" s="54" t="n"/>
      <c r="Z40" s="55" t="n"/>
      <c r="AA40" s="52" t="n"/>
      <c r="AB40" s="52" t="n"/>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ht="18" customHeight="1">
      <c r="A41" s="42" t="inlineStr">
        <is>
          <t>IF(F41="","",ROW()-3)</t>
        </is>
      </c>
      <c r="B41" s="44" t="n"/>
      <c r="C41" s="44" t="n"/>
      <c r="D41" s="44" t="n"/>
      <c r="E41" s="44" t="n"/>
      <c r="F41" s="44" t="n"/>
      <c r="G41" s="44" t="n"/>
      <c r="H41" s="44" t="n"/>
      <c r="I41" s="44" t="n"/>
      <c r="J41" s="44" t="n"/>
      <c r="K41" s="44" t="n"/>
      <c r="L41" s="44" t="n"/>
      <c r="M41" s="44" t="n"/>
      <c r="N41" s="44" t="n"/>
      <c r="O41" s="44" t="n"/>
      <c r="P41" s="44" t="n"/>
      <c r="Q41" s="44" t="n"/>
      <c r="R41" s="44" t="n"/>
      <c r="S41" s="45" t="n"/>
      <c r="T41" s="46" t="inlineStr">
        <is>
          <t>IF(AQ41="","",AQ41)</t>
        </is>
      </c>
      <c r="U41" s="47" t="n"/>
      <c r="V41" s="48" t="n"/>
      <c r="W41" s="47" t="n"/>
      <c r="X41" s="46" t="inlineStr">
        <is>
          <t>IF(W41&lt;&gt;"",W41,IF(OR(T41="",V41=""),"",EDATE(T41,V41)))</t>
        </is>
      </c>
      <c r="Y41" s="47" t="n"/>
      <c r="Z41" s="48" t="n"/>
      <c r="AA41" s="44" t="n"/>
      <c r="AB41" s="44" t="n"/>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ht="18" customHeight="1">
      <c r="A42" s="42" t="inlineStr">
        <is>
          <t>IF(F42="","",ROW()-3)</t>
        </is>
      </c>
      <c r="B42" s="52" t="n"/>
      <c r="C42" s="52" t="n"/>
      <c r="D42" s="52" t="n"/>
      <c r="E42" s="52" t="n"/>
      <c r="F42" s="52" t="n"/>
      <c r="G42" s="52" t="n"/>
      <c r="H42" s="52" t="n"/>
      <c r="I42" s="52" t="n"/>
      <c r="J42" s="52" t="n"/>
      <c r="K42" s="52" t="n"/>
      <c r="L42" s="52" t="n"/>
      <c r="M42" s="52" t="n"/>
      <c r="N42" s="52" t="n"/>
      <c r="O42" s="52" t="n"/>
      <c r="P42" s="52" t="n"/>
      <c r="Q42" s="52" t="n"/>
      <c r="R42" s="52" t="n"/>
      <c r="S42" s="53" t="n"/>
      <c r="T42" s="46" t="inlineStr">
        <is>
          <t>IF(AQ42="","",AQ42)</t>
        </is>
      </c>
      <c r="U42" s="54" t="n"/>
      <c r="V42" s="55" t="n"/>
      <c r="W42" s="54" t="n"/>
      <c r="X42" s="46" t="inlineStr">
        <is>
          <t>IF(W42&lt;&gt;"",W42,IF(OR(T42="",V42=""),"",EDATE(T42,V42)))</t>
        </is>
      </c>
      <c r="Y42" s="54" t="n"/>
      <c r="Z42" s="55" t="n"/>
      <c r="AA42" s="52" t="n"/>
      <c r="AB42" s="52" t="n"/>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42" t="inlineStr">
        <is>
          <t>IF(F43="","",ROW()-3)</t>
        </is>
      </c>
      <c r="B43" s="44" t="n"/>
      <c r="C43" s="44" t="n"/>
      <c r="D43" s="44" t="n"/>
      <c r="E43" s="44" t="n"/>
      <c r="F43" s="44" t="n"/>
      <c r="G43" s="44" t="n"/>
      <c r="H43" s="44" t="n"/>
      <c r="I43" s="44" t="n"/>
      <c r="J43" s="44" t="n"/>
      <c r="K43" s="44" t="n"/>
      <c r="L43" s="44" t="n"/>
      <c r="M43" s="44" t="n"/>
      <c r="N43" s="44" t="n"/>
      <c r="O43" s="44" t="n"/>
      <c r="P43" s="44" t="n"/>
      <c r="Q43" s="44" t="n"/>
      <c r="R43" s="44" t="n"/>
      <c r="S43" s="45" t="n"/>
      <c r="T43" s="46" t="inlineStr">
        <is>
          <t>IF(AQ43="","",AQ43)</t>
        </is>
      </c>
      <c r="U43" s="47" t="n"/>
      <c r="V43" s="48" t="n"/>
      <c r="W43" s="47" t="n"/>
      <c r="X43" s="46" t="inlineStr">
        <is>
          <t>IF(W43&lt;&gt;"",W43,IF(OR(T43="",V43=""),"",EDATE(T43,V43)))</t>
        </is>
      </c>
      <c r="Y43" s="47" t="n"/>
      <c r="Z43" s="48" t="n"/>
      <c r="AA43" s="44" t="n"/>
      <c r="AB43" s="44" t="n"/>
      <c r="AC43" s="42" t="inlineStr">
        <is>
          <t>IF(F43="","",IF(COUNT(AI43:AV43)=0,IF(AA43="","Not started",AA43),SUBSTITUTE(LOOKUP(2,1/(AI43:AV43&lt;&gt;""),$AI$3:$AV$3),"Date: ","")))</t>
        </is>
      </c>
      <c r="AD43" s="49" t="inlineStr">
        <is>
          <t>IF(OR(F43="",COUNT(AI43:AV43)=0),"",TODAY()-LOOKUP(2,1/(AI43:AV43&lt;&gt;""),AI43:AV43))</t>
        </is>
      </c>
      <c r="AE43" s="49" t="inlineStr">
        <is>
          <t>IF(OR(F43="",COUNT(AI43:AV43)&lt;2),"",LOOKUP(2,1/(AI43:AV43&lt;&gt;""),AI43:AV43)-MIN(AI43:AV43))</t>
        </is>
      </c>
      <c r="AF43" s="49" t="inlineStr">
        <is>
          <t>IF(OR(AD43="",AC43="Not started",AC43=""),"",IFERROR(AD43-IF(VLOOKUP(AC43,'06_Status_Pipeline'!$B$3:$E$20,4,FALSE)="",0,VLOOKUP(AC43,'06_Status_Pipeline'!$B$3:$E$20,4,FALSE)),""))</t>
        </is>
      </c>
      <c r="AG43" s="4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49" t="inlineStr">
        <is>
          <t>IF(OR(F43="",AC43="Completed / Handover",AC43="Cancelled"),"",IF(O43="Not awarded",IF(U43&lt;&gt;"",U43-TODAY(),IF(X43="","",X43-TODAY())),IF(X43="","",X43-TODAY())))</t>
        </is>
      </c>
      <c r="AI43" s="47" t="n"/>
      <c r="AJ43" s="47" t="n"/>
      <c r="AK43" s="47" t="n"/>
      <c r="AL43" s="47" t="n"/>
      <c r="AM43" s="47" t="n"/>
      <c r="AN43" s="47" t="n"/>
      <c r="AO43" s="47" t="n"/>
      <c r="AP43" s="47" t="n"/>
      <c r="AQ43" s="47" t="n"/>
      <c r="AR43" s="47" t="n"/>
      <c r="AS43" s="47" t="n"/>
      <c r="AT43" s="50" t="n"/>
      <c r="AU43" s="50" t="n"/>
      <c r="AV43" s="50" t="n"/>
      <c r="AW43" s="49" t="inlineStr">
        <is>
          <t>IF(OR(F43="",AJ43=""),"",IF(COUNT(AI43:AI43)=0,"",AJ43-LOOKUP(2,1/(AI43:AI43&lt;&gt;""),AI43:AI43)))</t>
        </is>
      </c>
      <c r="AX43" s="49" t="inlineStr">
        <is>
          <t>IF(OR(F43="",AK43=""),"",IF(COUNT(AI43:AJ43)=0,"",AK43-LOOKUP(2,1/(AI43:AJ43&lt;&gt;""),AI43:AJ43)))</t>
        </is>
      </c>
      <c r="AY43" s="49" t="inlineStr">
        <is>
          <t>IF(OR(F43="",AL43=""),"",IF(COUNT(AI43:AK43)=0,"",AL43-LOOKUP(2,1/(AI43:AK43&lt;&gt;""),AI43:AK43)))</t>
        </is>
      </c>
      <c r="AZ43" s="49" t="inlineStr">
        <is>
          <t>IF(OR(F43="",AM43=""),"",IF(COUNT(AI43:AL43)=0,"",AM43-LOOKUP(2,1/(AI43:AL43&lt;&gt;""),AI43:AL43)))</t>
        </is>
      </c>
      <c r="BA43" s="49" t="inlineStr">
        <is>
          <t>IF(OR(F43="",AN43=""),"",IF(COUNT(AI43:AM43)=0,"",AN43-LOOKUP(2,1/(AI43:AM43&lt;&gt;""),AI43:AM43)))</t>
        </is>
      </c>
      <c r="BB43" s="49" t="inlineStr">
        <is>
          <t>IF(OR(F43="",AO43=""),"",IF(COUNT(AI43:AN43)=0,"",AO43-LOOKUP(2,1/(AI43:AN43&lt;&gt;""),AI43:AN43)))</t>
        </is>
      </c>
      <c r="BC43" s="49" t="inlineStr">
        <is>
          <t>IF(OR(F43="",AP43=""),"",IF(COUNT(AI43:AO43)=0,"",AP43-LOOKUP(2,1/(AI43:AO43&lt;&gt;""),AI43:AO43)))</t>
        </is>
      </c>
      <c r="BD43" s="49" t="inlineStr">
        <is>
          <t>IF(OR(F43="",AQ43=""),"",IF(COUNT(AI43:AP43)=0,"",AQ43-LOOKUP(2,1/(AI43:AP43&lt;&gt;""),AI43:AP43)))</t>
        </is>
      </c>
      <c r="BE43" s="49" t="inlineStr">
        <is>
          <t>IF(OR(F43="",AR43=""),"",IF(COUNT(AI43:AQ43)=0,"",AR43-LOOKUP(2,1/(AI43:AQ43&lt;&gt;""),AI43:AQ43)))</t>
        </is>
      </c>
      <c r="BF43" s="49" t="inlineStr">
        <is>
          <t>IF(OR(F43="",AS43=""),"",IF(COUNT(AI43:AR43)=0,"",AS43-LOOKUP(2,1/(AI43:AR43&lt;&gt;""),AI43:AR43)))</t>
        </is>
      </c>
      <c r="BG43" s="49" t="inlineStr">
        <is>
          <t>IF(OR(F43="",AT43=""),"",IF(COUNT(AI43:AS43)=0,"",AT43-LOOKUP(2,1/(AI43:AS43&lt;&gt;""),AI43:AS43)))</t>
        </is>
      </c>
      <c r="BH43" s="49" t="inlineStr">
        <is>
          <t>IF(OR(F43="",AU43=""),"",IF(COUNT(AI43:AT43)=0,"",AU43-LOOKUP(2,1/(AI43:AT43&lt;&gt;""),AI43:AT43)))</t>
        </is>
      </c>
      <c r="BI43" s="49" t="inlineStr">
        <is>
          <t>IF(OR(F43="",AV43=""),"",IF(COUNT(AI43:AU43)=0,"",AV43-LOOKUP(2,1/(AI43:AU43&lt;&gt;""),AI43:AU43)))</t>
        </is>
      </c>
      <c r="BJ43" s="51" t="inlineStr">
        <is>
          <t>IF(J43="","All_Provinces",IFERROR(VLOOKUP(J43,'09_Lookups'!$A$4:$B$20,2,FALSE),"All_Provinces"))</t>
        </is>
      </c>
      <c r="BK43" s="51" t="inlineStr">
        <is>
          <t>IF(K43="","All_Districts",IFERROR(VLOOKUP(K43,'09_Lookups'!$E$4:$F$42,2,FALSE),"All_Districts"))</t>
        </is>
      </c>
    </row>
    <row r="44" ht="18" customHeight="1">
      <c r="A44" s="42" t="inlineStr">
        <is>
          <t>IF(F44="","",ROW()-3)</t>
        </is>
      </c>
      <c r="B44" s="52" t="n"/>
      <c r="C44" s="52" t="n"/>
      <c r="D44" s="52" t="n"/>
      <c r="E44" s="52" t="n"/>
      <c r="F44" s="52" t="n"/>
      <c r="G44" s="52" t="n"/>
      <c r="H44" s="52" t="n"/>
      <c r="I44" s="52" t="n"/>
      <c r="J44" s="52" t="n"/>
      <c r="K44" s="52" t="n"/>
      <c r="L44" s="52" t="n"/>
      <c r="M44" s="52" t="n"/>
      <c r="N44" s="52" t="n"/>
      <c r="O44" s="52" t="n"/>
      <c r="P44" s="52" t="n"/>
      <c r="Q44" s="52" t="n"/>
      <c r="R44" s="52" t="n"/>
      <c r="S44" s="53" t="n"/>
      <c r="T44" s="46" t="inlineStr">
        <is>
          <t>IF(AQ44="","",AQ44)</t>
        </is>
      </c>
      <c r="U44" s="54" t="n"/>
      <c r="V44" s="55" t="n"/>
      <c r="W44" s="54" t="n"/>
      <c r="X44" s="46" t="inlineStr">
        <is>
          <t>IF(W44&lt;&gt;"",W44,IF(OR(T44="",V44=""),"",EDATE(T44,V44)))</t>
        </is>
      </c>
      <c r="Y44" s="54" t="n"/>
      <c r="Z44" s="55" t="n"/>
      <c r="AA44" s="52" t="n"/>
      <c r="AB44" s="52" t="n"/>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ht="18" customHeight="1">
      <c r="A45" s="42" t="inlineStr">
        <is>
          <t>IF(F45="","",ROW()-3)</t>
        </is>
      </c>
      <c r="B45" s="44" t="n"/>
      <c r="C45" s="44" t="n"/>
      <c r="D45" s="44" t="n"/>
      <c r="E45" s="44" t="n"/>
      <c r="F45" s="44" t="n"/>
      <c r="G45" s="44" t="n"/>
      <c r="H45" s="44" t="n"/>
      <c r="I45" s="44" t="n"/>
      <c r="J45" s="44" t="n"/>
      <c r="K45" s="44" t="n"/>
      <c r="L45" s="44" t="n"/>
      <c r="M45" s="44" t="n"/>
      <c r="N45" s="44" t="n"/>
      <c r="O45" s="44" t="n"/>
      <c r="P45" s="44" t="n"/>
      <c r="Q45" s="44" t="n"/>
      <c r="R45" s="44" t="n"/>
      <c r="S45" s="45" t="n"/>
      <c r="T45" s="46" t="inlineStr">
        <is>
          <t>IF(AQ45="","",AQ45)</t>
        </is>
      </c>
      <c r="U45" s="47" t="n"/>
      <c r="V45" s="48" t="n"/>
      <c r="W45" s="47" t="n"/>
      <c r="X45" s="46" t="inlineStr">
        <is>
          <t>IF(W45&lt;&gt;"",W45,IF(OR(T45="",V45=""),"",EDATE(T45,V45)))</t>
        </is>
      </c>
      <c r="Y45" s="47" t="n"/>
      <c r="Z45" s="48" t="n"/>
      <c r="AA45" s="44" t="n"/>
      <c r="AB45" s="44" t="n"/>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ht="18" customHeight="1">
      <c r="A46" s="42" t="inlineStr">
        <is>
          <t>IF(F46="","",ROW()-3)</t>
        </is>
      </c>
      <c r="B46" s="52" t="n"/>
      <c r="C46" s="52" t="n"/>
      <c r="D46" s="52" t="n"/>
      <c r="E46" s="52" t="n"/>
      <c r="F46" s="52" t="n"/>
      <c r="G46" s="52" t="n"/>
      <c r="H46" s="52" t="n"/>
      <c r="I46" s="52" t="n"/>
      <c r="J46" s="52" t="n"/>
      <c r="K46" s="52" t="n"/>
      <c r="L46" s="52" t="n"/>
      <c r="M46" s="52" t="n"/>
      <c r="N46" s="52" t="n"/>
      <c r="O46" s="52" t="n"/>
      <c r="P46" s="52" t="n"/>
      <c r="Q46" s="52" t="n"/>
      <c r="R46" s="52" t="n"/>
      <c r="S46" s="53" t="n"/>
      <c r="T46" s="46" t="inlineStr">
        <is>
          <t>IF(AQ46="","",AQ46)</t>
        </is>
      </c>
      <c r="U46" s="54" t="n"/>
      <c r="V46" s="55" t="n"/>
      <c r="W46" s="54" t="n"/>
      <c r="X46" s="46" t="inlineStr">
        <is>
          <t>IF(W46&lt;&gt;"",W46,IF(OR(T46="",V46=""),"",EDATE(T46,V46)))</t>
        </is>
      </c>
      <c r="Y46" s="54" t="n"/>
      <c r="Z46" s="55" t="n"/>
      <c r="AA46" s="52" t="n"/>
      <c r="AB46" s="52" t="n"/>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ht="18" customHeight="1">
      <c r="A47" s="42" t="inlineStr">
        <is>
          <t>IF(F47="","",ROW()-3)</t>
        </is>
      </c>
      <c r="B47" s="44" t="n"/>
      <c r="C47" s="44" t="n"/>
      <c r="D47" s="44" t="n"/>
      <c r="E47" s="44" t="n"/>
      <c r="F47" s="44" t="n"/>
      <c r="G47" s="44" t="n"/>
      <c r="H47" s="44" t="n"/>
      <c r="I47" s="44" t="n"/>
      <c r="J47" s="44" t="n"/>
      <c r="K47" s="44" t="n"/>
      <c r="L47" s="44" t="n"/>
      <c r="M47" s="44" t="n"/>
      <c r="N47" s="44" t="n"/>
      <c r="O47" s="44" t="n"/>
      <c r="P47" s="44" t="n"/>
      <c r="Q47" s="44" t="n"/>
      <c r="R47" s="44" t="n"/>
      <c r="S47" s="45" t="n"/>
      <c r="T47" s="46" t="inlineStr">
        <is>
          <t>IF(AQ47="","",AQ47)</t>
        </is>
      </c>
      <c r="U47" s="47" t="n"/>
      <c r="V47" s="48" t="n"/>
      <c r="W47" s="47" t="n"/>
      <c r="X47" s="46" t="inlineStr">
        <is>
          <t>IF(W47&lt;&gt;"",W47,IF(OR(T47="",V47=""),"",EDATE(T47,V47)))</t>
        </is>
      </c>
      <c r="Y47" s="47" t="n"/>
      <c r="Z47" s="48" t="n"/>
      <c r="AA47" s="44" t="n"/>
      <c r="AB47" s="44" t="n"/>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ht="18" customHeight="1">
      <c r="A48" s="42" t="inlineStr">
        <is>
          <t>IF(F48="","",ROW()-3)</t>
        </is>
      </c>
      <c r="B48" s="52" t="n"/>
      <c r="C48" s="52" t="n"/>
      <c r="D48" s="52" t="n"/>
      <c r="E48" s="52" t="n"/>
      <c r="F48" s="52" t="n"/>
      <c r="G48" s="52" t="n"/>
      <c r="H48" s="52" t="n"/>
      <c r="I48" s="52" t="n"/>
      <c r="J48" s="52" t="n"/>
      <c r="K48" s="52" t="n"/>
      <c r="L48" s="52" t="n"/>
      <c r="M48" s="52" t="n"/>
      <c r="N48" s="52" t="n"/>
      <c r="O48" s="52" t="n"/>
      <c r="P48" s="52" t="n"/>
      <c r="Q48" s="52" t="n"/>
      <c r="R48" s="52" t="n"/>
      <c r="S48" s="53" t="n"/>
      <c r="T48" s="46" t="inlineStr">
        <is>
          <t>IF(AQ48="","",AQ48)</t>
        </is>
      </c>
      <c r="U48" s="54" t="n"/>
      <c r="V48" s="55" t="n"/>
      <c r="W48" s="54" t="n"/>
      <c r="X48" s="46" t="inlineStr">
        <is>
          <t>IF(W48&lt;&gt;"",W48,IF(OR(T48="",V48=""),"",EDATE(T48,V48)))</t>
        </is>
      </c>
      <c r="Y48" s="54" t="n"/>
      <c r="Z48" s="55" t="n"/>
      <c r="AA48" s="52" t="n"/>
      <c r="AB48" s="52" t="n"/>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ht="18" customHeight="1">
      <c r="A49" s="42" t="inlineStr">
        <is>
          <t>IF(F49="","",ROW()-3)</t>
        </is>
      </c>
      <c r="B49" s="44" t="n"/>
      <c r="C49" s="44" t="n"/>
      <c r="D49" s="44" t="n"/>
      <c r="E49" s="44" t="n"/>
      <c r="F49" s="44" t="n"/>
      <c r="G49" s="44" t="n"/>
      <c r="H49" s="44" t="n"/>
      <c r="I49" s="44" t="n"/>
      <c r="J49" s="44" t="n"/>
      <c r="K49" s="44" t="n"/>
      <c r="L49" s="44" t="n"/>
      <c r="M49" s="44" t="n"/>
      <c r="N49" s="44" t="n"/>
      <c r="O49" s="44" t="n"/>
      <c r="P49" s="44" t="n"/>
      <c r="Q49" s="44" t="n"/>
      <c r="R49" s="44" t="n"/>
      <c r="S49" s="45" t="n"/>
      <c r="T49" s="46" t="inlineStr">
        <is>
          <t>IF(AQ49="","",AQ49)</t>
        </is>
      </c>
      <c r="U49" s="47" t="n"/>
      <c r="V49" s="48" t="n"/>
      <c r="W49" s="47" t="n"/>
      <c r="X49" s="46" t="inlineStr">
        <is>
          <t>IF(W49&lt;&gt;"",W49,IF(OR(T49="",V49=""),"",EDATE(T49,V49)))</t>
        </is>
      </c>
      <c r="Y49" s="47" t="n"/>
      <c r="Z49" s="48" t="n"/>
      <c r="AA49" s="44" t="n"/>
      <c r="AB49" s="44" t="n"/>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42" t="inlineStr">
        <is>
          <t>IF(F50="","",ROW()-3)</t>
        </is>
      </c>
      <c r="B50" s="52" t="n"/>
      <c r="C50" s="52" t="n"/>
      <c r="D50" s="52" t="n"/>
      <c r="E50" s="52" t="n"/>
      <c r="F50" s="52" t="n"/>
      <c r="G50" s="52" t="n"/>
      <c r="H50" s="52" t="n"/>
      <c r="I50" s="52" t="n"/>
      <c r="J50" s="52" t="n"/>
      <c r="K50" s="52" t="n"/>
      <c r="L50" s="52" t="n"/>
      <c r="M50" s="52" t="n"/>
      <c r="N50" s="52" t="n"/>
      <c r="O50" s="52" t="n"/>
      <c r="P50" s="52" t="n"/>
      <c r="Q50" s="52" t="n"/>
      <c r="R50" s="52" t="n"/>
      <c r="S50" s="53" t="n"/>
      <c r="T50" s="46" t="inlineStr">
        <is>
          <t>IF(AQ50="","",AQ50)</t>
        </is>
      </c>
      <c r="U50" s="54" t="n"/>
      <c r="V50" s="55" t="n"/>
      <c r="W50" s="54" t="n"/>
      <c r="X50" s="46" t="inlineStr">
        <is>
          <t>IF(W50&lt;&gt;"",W50,IF(OR(T50="",V50=""),"",EDATE(T50,V50)))</t>
        </is>
      </c>
      <c r="Y50" s="54" t="n"/>
      <c r="Z50" s="55" t="n"/>
      <c r="AA50" s="52" t="n"/>
      <c r="AB50" s="52" t="n"/>
      <c r="AC50" s="42" t="inlineStr">
        <is>
          <t>IF(F50="","",IF(COUNT(AI50:AV50)=0,IF(AA50="","Not started",AA50),SUBSTITUTE(LOOKUP(2,1/(AI50:AV50&lt;&gt;""),$AI$3:$AV$3),"Date: ","")))</t>
        </is>
      </c>
      <c r="AD50" s="49" t="inlineStr">
        <is>
          <t>IF(OR(F50="",COUNT(AI50:AV50)=0),"",TODAY()-LOOKUP(2,1/(AI50:AV50&lt;&gt;""),AI50:AV50))</t>
        </is>
      </c>
      <c r="AE50" s="49" t="inlineStr">
        <is>
          <t>IF(OR(F50="",COUNT(AI50:AV50)&lt;2),"",LOOKUP(2,1/(AI50:AV50&lt;&gt;""),AI50:AV50)-MIN(AI50:AV50))</t>
        </is>
      </c>
      <c r="AF50" s="49" t="inlineStr">
        <is>
          <t>IF(OR(AD50="",AC50="Not started",AC50=""),"",IFERROR(AD50-IF(VLOOKUP(AC50,'06_Status_Pipeline'!$B$3:$E$20,4,FALSE)="",0,VLOOKUP(AC50,'06_Status_Pipeline'!$B$3:$E$20,4,FALSE)),""))</t>
        </is>
      </c>
      <c r="AG50" s="4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49" t="inlineStr">
        <is>
          <t>IF(OR(F50="",AC50="Completed / Handover",AC50="Cancelled"),"",IF(O50="Not awarded",IF(U50&lt;&gt;"",U50-TODAY(),IF(X50="","",X50-TODAY())),IF(X50="","",X50-TODAY())))</t>
        </is>
      </c>
      <c r="AI50" s="54" t="n"/>
      <c r="AJ50" s="54" t="n"/>
      <c r="AK50" s="54" t="n"/>
      <c r="AL50" s="54" t="n"/>
      <c r="AM50" s="54" t="n"/>
      <c r="AN50" s="54" t="n"/>
      <c r="AO50" s="54" t="n"/>
      <c r="AP50" s="54" t="n"/>
      <c r="AQ50" s="54" t="n"/>
      <c r="AR50" s="54" t="n"/>
      <c r="AS50" s="54" t="n"/>
      <c r="AT50" s="50" t="n"/>
      <c r="AU50" s="50" t="n"/>
      <c r="AV50" s="50" t="n"/>
      <c r="AW50" s="49" t="inlineStr">
        <is>
          <t>IF(OR(F50="",AJ50=""),"",IF(COUNT(AI50:AI50)=0,"",AJ50-LOOKUP(2,1/(AI50:AI50&lt;&gt;""),AI50:AI50)))</t>
        </is>
      </c>
      <c r="AX50" s="49" t="inlineStr">
        <is>
          <t>IF(OR(F50="",AK50=""),"",IF(COUNT(AI50:AJ50)=0,"",AK50-LOOKUP(2,1/(AI50:AJ50&lt;&gt;""),AI50:AJ50)))</t>
        </is>
      </c>
      <c r="AY50" s="49" t="inlineStr">
        <is>
          <t>IF(OR(F50="",AL50=""),"",IF(COUNT(AI50:AK50)=0,"",AL50-LOOKUP(2,1/(AI50:AK50&lt;&gt;""),AI50:AK50)))</t>
        </is>
      </c>
      <c r="AZ50" s="49" t="inlineStr">
        <is>
          <t>IF(OR(F50="",AM50=""),"",IF(COUNT(AI50:AL50)=0,"",AM50-LOOKUP(2,1/(AI50:AL50&lt;&gt;""),AI50:AL50)))</t>
        </is>
      </c>
      <c r="BA50" s="49" t="inlineStr">
        <is>
          <t>IF(OR(F50="",AN50=""),"",IF(COUNT(AI50:AM50)=0,"",AN50-LOOKUP(2,1/(AI50:AM50&lt;&gt;""),AI50:AM50)))</t>
        </is>
      </c>
      <c r="BB50" s="49" t="inlineStr">
        <is>
          <t>IF(OR(F50="",AO50=""),"",IF(COUNT(AI50:AN50)=0,"",AO50-LOOKUP(2,1/(AI50:AN50&lt;&gt;""),AI50:AN50)))</t>
        </is>
      </c>
      <c r="BC50" s="49" t="inlineStr">
        <is>
          <t>IF(OR(F50="",AP50=""),"",IF(COUNT(AI50:AO50)=0,"",AP50-LOOKUP(2,1/(AI50:AO50&lt;&gt;""),AI50:AO50)))</t>
        </is>
      </c>
      <c r="BD50" s="49" t="inlineStr">
        <is>
          <t>IF(OR(F50="",AQ50=""),"",IF(COUNT(AI50:AP50)=0,"",AQ50-LOOKUP(2,1/(AI50:AP50&lt;&gt;""),AI50:AP50)))</t>
        </is>
      </c>
      <c r="BE50" s="49" t="inlineStr">
        <is>
          <t>IF(OR(F50="",AR50=""),"",IF(COUNT(AI50:AQ50)=0,"",AR50-LOOKUP(2,1/(AI50:AQ50&lt;&gt;""),AI50:AQ50)))</t>
        </is>
      </c>
      <c r="BF50" s="49" t="inlineStr">
        <is>
          <t>IF(OR(F50="",AS50=""),"",IF(COUNT(AI50:AR50)=0,"",AS50-LOOKUP(2,1/(AI50:AR50&lt;&gt;""),AI50:AR50)))</t>
        </is>
      </c>
      <c r="BG50" s="49" t="inlineStr">
        <is>
          <t>IF(OR(F50="",AT50=""),"",IF(COUNT(AI50:AS50)=0,"",AT50-LOOKUP(2,1/(AI50:AS50&lt;&gt;""),AI50:AS50)))</t>
        </is>
      </c>
      <c r="BH50" s="49" t="inlineStr">
        <is>
          <t>IF(OR(F50="",AU50=""),"",IF(COUNT(AI50:AT50)=0,"",AU50-LOOKUP(2,1/(AI50:AT50&lt;&gt;""),AI50:AT50)))</t>
        </is>
      </c>
      <c r="BI50" s="49" t="inlineStr">
        <is>
          <t>IF(OR(F50="",AV50=""),"",IF(COUNT(AI50:AU50)=0,"",AV50-LOOKUP(2,1/(AI50:AU50&lt;&gt;""),AI50:AU50)))</t>
        </is>
      </c>
      <c r="BJ50" s="51" t="inlineStr">
        <is>
          <t>IF(J50="","All_Provinces",IFERROR(VLOOKUP(J50,'09_Lookups'!$A$4:$B$20,2,FALSE),"All_Provinces"))</t>
        </is>
      </c>
      <c r="BK50" s="51" t="inlineStr">
        <is>
          <t>IF(K50="","All_Districts",IFERROR(VLOOKUP(K50,'09_Lookups'!$E$4:$F$42,2,FALSE),"All_Districts"))</t>
        </is>
      </c>
    </row>
    <row r="51" ht="18" customHeight="1">
      <c r="A51" s="42" t="inlineStr">
        <is>
          <t>IF(F51="","",ROW()-3)</t>
        </is>
      </c>
      <c r="B51" s="44" t="n"/>
      <c r="C51" s="44" t="n"/>
      <c r="D51" s="44" t="n"/>
      <c r="E51" s="44" t="n"/>
      <c r="F51" s="44" t="n"/>
      <c r="G51" s="44" t="n"/>
      <c r="H51" s="44" t="n"/>
      <c r="I51" s="44" t="n"/>
      <c r="J51" s="44" t="n"/>
      <c r="K51" s="44" t="n"/>
      <c r="L51" s="44" t="n"/>
      <c r="M51" s="44" t="n"/>
      <c r="N51" s="44" t="n"/>
      <c r="O51" s="44" t="n"/>
      <c r="P51" s="44" t="n"/>
      <c r="Q51" s="44" t="n"/>
      <c r="R51" s="44" t="n"/>
      <c r="S51" s="45" t="n"/>
      <c r="T51" s="46" t="inlineStr">
        <is>
          <t>IF(AQ51="","",AQ51)</t>
        </is>
      </c>
      <c r="U51" s="47" t="n"/>
      <c r="V51" s="48" t="n"/>
      <c r="W51" s="47" t="n"/>
      <c r="X51" s="46" t="inlineStr">
        <is>
          <t>IF(W51&lt;&gt;"",W51,IF(OR(T51="",V51=""),"",EDATE(T51,V51)))</t>
        </is>
      </c>
      <c r="Y51" s="47" t="n"/>
      <c r="Z51" s="48" t="n"/>
      <c r="AA51" s="44" t="n"/>
      <c r="AB51" s="44" t="n"/>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ht="18" customHeight="1">
      <c r="A52" s="42" t="inlineStr">
        <is>
          <t>IF(F52="","",ROW()-3)</t>
        </is>
      </c>
      <c r="B52" s="52" t="n"/>
      <c r="C52" s="52" t="n"/>
      <c r="D52" s="52" t="n"/>
      <c r="E52" s="52" t="n"/>
      <c r="F52" s="52" t="n"/>
      <c r="G52" s="52" t="n"/>
      <c r="H52" s="52" t="n"/>
      <c r="I52" s="52" t="n"/>
      <c r="J52" s="52" t="n"/>
      <c r="K52" s="52" t="n"/>
      <c r="L52" s="52" t="n"/>
      <c r="M52" s="52" t="n"/>
      <c r="N52" s="52" t="n"/>
      <c r="O52" s="52" t="n"/>
      <c r="P52" s="52" t="n"/>
      <c r="Q52" s="52" t="n"/>
      <c r="R52" s="52" t="n"/>
      <c r="S52" s="53" t="n"/>
      <c r="T52" s="46" t="inlineStr">
        <is>
          <t>IF(AQ52="","",AQ52)</t>
        </is>
      </c>
      <c r="U52" s="54" t="n"/>
      <c r="V52" s="55" t="n"/>
      <c r="W52" s="54" t="n"/>
      <c r="X52" s="46" t="inlineStr">
        <is>
          <t>IF(W52&lt;&gt;"",W52,IF(OR(T52="",V52=""),"",EDATE(T52,V52)))</t>
        </is>
      </c>
      <c r="Y52" s="54" t="n"/>
      <c r="Z52" s="55" t="n"/>
      <c r="AA52" s="52" t="n"/>
      <c r="AB52" s="52" t="n"/>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ht="18" customHeight="1">
      <c r="A53" s="42" t="inlineStr">
        <is>
          <t>IF(F53="","",ROW()-3)</t>
        </is>
      </c>
      <c r="B53" s="44" t="n"/>
      <c r="C53" s="44" t="n"/>
      <c r="D53" s="44" t="n"/>
      <c r="E53" s="44" t="n"/>
      <c r="F53" s="44" t="n"/>
      <c r="G53" s="44" t="n"/>
      <c r="H53" s="44" t="n"/>
      <c r="I53" s="44" t="n"/>
      <c r="J53" s="44" t="n"/>
      <c r="K53" s="44" t="n"/>
      <c r="L53" s="44" t="n"/>
      <c r="M53" s="44" t="n"/>
      <c r="N53" s="44" t="n"/>
      <c r="O53" s="44" t="n"/>
      <c r="P53" s="44" t="n"/>
      <c r="Q53" s="44" t="n"/>
      <c r="R53" s="44" t="n"/>
      <c r="S53" s="45" t="n"/>
      <c r="T53" s="46" t="inlineStr">
        <is>
          <t>IF(AQ53="","",AQ53)</t>
        </is>
      </c>
      <c r="U53" s="47" t="n"/>
      <c r="V53" s="48" t="n"/>
      <c r="W53" s="47" t="n"/>
      <c r="X53" s="46" t="inlineStr">
        <is>
          <t>IF(W53&lt;&gt;"",W53,IF(OR(T53="",V53=""),"",EDATE(T53,V53)))</t>
        </is>
      </c>
      <c r="Y53" s="47" t="n"/>
      <c r="Z53" s="48" t="n"/>
      <c r="AA53" s="44" t="n"/>
      <c r="AB53" s="44" t="n"/>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ht="18" customHeight="1">
      <c r="A54" s="42" t="inlineStr">
        <is>
          <t>IF(F54="","",ROW()-3)</t>
        </is>
      </c>
      <c r="B54" s="52" t="n"/>
      <c r="C54" s="52" t="n"/>
      <c r="D54" s="52" t="n"/>
      <c r="E54" s="52" t="n"/>
      <c r="F54" s="52" t="n"/>
      <c r="G54" s="52" t="n"/>
      <c r="H54" s="52" t="n"/>
      <c r="I54" s="52" t="n"/>
      <c r="J54" s="52" t="n"/>
      <c r="K54" s="52" t="n"/>
      <c r="L54" s="52" t="n"/>
      <c r="M54" s="52" t="n"/>
      <c r="N54" s="52" t="n"/>
      <c r="O54" s="52" t="n"/>
      <c r="P54" s="52" t="n"/>
      <c r="Q54" s="52" t="n"/>
      <c r="R54" s="52" t="n"/>
      <c r="S54" s="53" t="n"/>
      <c r="T54" s="46" t="inlineStr">
        <is>
          <t>IF(AQ54="","",AQ54)</t>
        </is>
      </c>
      <c r="U54" s="54" t="n"/>
      <c r="V54" s="55" t="n"/>
      <c r="W54" s="54" t="n"/>
      <c r="X54" s="46" t="inlineStr">
        <is>
          <t>IF(W54&lt;&gt;"",W54,IF(OR(T54="",V54=""),"",EDATE(T54,V54)))</t>
        </is>
      </c>
      <c r="Y54" s="54" t="n"/>
      <c r="Z54" s="55" t="n"/>
      <c r="AA54" s="52" t="n"/>
      <c r="AB54" s="52" t="n"/>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ht="18" customHeight="1">
      <c r="A55" s="42" t="inlineStr">
        <is>
          <t>IF(F55="","",ROW()-3)</t>
        </is>
      </c>
      <c r="B55" s="44" t="n"/>
      <c r="C55" s="44" t="n"/>
      <c r="D55" s="44" t="n"/>
      <c r="E55" s="44" t="n"/>
      <c r="F55" s="44" t="n"/>
      <c r="G55" s="44" t="n"/>
      <c r="H55" s="44" t="n"/>
      <c r="I55" s="44" t="n"/>
      <c r="J55" s="44" t="n"/>
      <c r="K55" s="44" t="n"/>
      <c r="L55" s="44" t="n"/>
      <c r="M55" s="44" t="n"/>
      <c r="N55" s="44" t="n"/>
      <c r="O55" s="44" t="n"/>
      <c r="P55" s="44" t="n"/>
      <c r="Q55" s="44" t="n"/>
      <c r="R55" s="44" t="n"/>
      <c r="S55" s="45" t="n"/>
      <c r="T55" s="46" t="inlineStr">
        <is>
          <t>IF(AQ55="","",AQ55)</t>
        </is>
      </c>
      <c r="U55" s="47" t="n"/>
      <c r="V55" s="48" t="n"/>
      <c r="W55" s="47" t="n"/>
      <c r="X55" s="46" t="inlineStr">
        <is>
          <t>IF(W55&lt;&gt;"",W55,IF(OR(T55="",V55=""),"",EDATE(T55,V55)))</t>
        </is>
      </c>
      <c r="Y55" s="47" t="n"/>
      <c r="Z55" s="48" t="n"/>
      <c r="AA55" s="44" t="n"/>
      <c r="AB55" s="44" t="n"/>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ht="18" customHeight="1">
      <c r="A56" s="42" t="inlineStr">
        <is>
          <t>IF(F56="","",ROW()-3)</t>
        </is>
      </c>
      <c r="B56" s="52" t="n"/>
      <c r="C56" s="52" t="n"/>
      <c r="D56" s="52" t="n"/>
      <c r="E56" s="52" t="n"/>
      <c r="F56" s="52" t="n"/>
      <c r="G56" s="52" t="n"/>
      <c r="H56" s="52" t="n"/>
      <c r="I56" s="52" t="n"/>
      <c r="J56" s="52" t="n"/>
      <c r="K56" s="52" t="n"/>
      <c r="L56" s="52" t="n"/>
      <c r="M56" s="52" t="n"/>
      <c r="N56" s="52" t="n"/>
      <c r="O56" s="52" t="n"/>
      <c r="P56" s="52" t="n"/>
      <c r="Q56" s="52" t="n"/>
      <c r="R56" s="52" t="n"/>
      <c r="S56" s="53" t="n"/>
      <c r="T56" s="46" t="inlineStr">
        <is>
          <t>IF(AQ56="","",AQ56)</t>
        </is>
      </c>
      <c r="U56" s="54" t="n"/>
      <c r="V56" s="55" t="n"/>
      <c r="W56" s="54" t="n"/>
      <c r="X56" s="46" t="inlineStr">
        <is>
          <t>IF(W56&lt;&gt;"",W56,IF(OR(T56="",V56=""),"",EDATE(T56,V56)))</t>
        </is>
      </c>
      <c r="Y56" s="54" t="n"/>
      <c r="Z56" s="55" t="n"/>
      <c r="AA56" s="52" t="n"/>
      <c r="AB56" s="52" t="n"/>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42" t="inlineStr">
        <is>
          <t>IF(F57="","",ROW()-3)</t>
        </is>
      </c>
      <c r="B57" s="44" t="n"/>
      <c r="C57" s="44" t="n"/>
      <c r="D57" s="44" t="n"/>
      <c r="E57" s="44" t="n"/>
      <c r="F57" s="44" t="n"/>
      <c r="G57" s="44" t="n"/>
      <c r="H57" s="44" t="n"/>
      <c r="I57" s="44" t="n"/>
      <c r="J57" s="44" t="n"/>
      <c r="K57" s="44" t="n"/>
      <c r="L57" s="44" t="n"/>
      <c r="M57" s="44" t="n"/>
      <c r="N57" s="44" t="n"/>
      <c r="O57" s="44" t="n"/>
      <c r="P57" s="44" t="n"/>
      <c r="Q57" s="44" t="n"/>
      <c r="R57" s="44" t="n"/>
      <c r="S57" s="45" t="n"/>
      <c r="T57" s="46" t="inlineStr">
        <is>
          <t>IF(AQ57="","",AQ57)</t>
        </is>
      </c>
      <c r="U57" s="47" t="n"/>
      <c r="V57" s="48" t="n"/>
      <c r="W57" s="47" t="n"/>
      <c r="X57" s="46" t="inlineStr">
        <is>
          <t>IF(W57&lt;&gt;"",W57,IF(OR(T57="",V57=""),"",EDATE(T57,V57)))</t>
        </is>
      </c>
      <c r="Y57" s="47" t="n"/>
      <c r="Z57" s="48" t="n"/>
      <c r="AA57" s="44" t="n"/>
      <c r="AB57" s="44" t="n"/>
      <c r="AC57" s="42" t="inlineStr">
        <is>
          <t>IF(F57="","",IF(COUNT(AI57:AV57)=0,IF(AA57="","Not started",AA57),SUBSTITUTE(LOOKUP(2,1/(AI57:AV57&lt;&gt;""),$AI$3:$AV$3),"Date: ","")))</t>
        </is>
      </c>
      <c r="AD57" s="49" t="inlineStr">
        <is>
          <t>IF(OR(F57="",COUNT(AI57:AV57)=0),"",TODAY()-LOOKUP(2,1/(AI57:AV57&lt;&gt;""),AI57:AV57))</t>
        </is>
      </c>
      <c r="AE57" s="49" t="inlineStr">
        <is>
          <t>IF(OR(F57="",COUNT(AI57:AV57)&lt;2),"",LOOKUP(2,1/(AI57:AV57&lt;&gt;""),AI57:AV57)-MIN(AI57:AV57))</t>
        </is>
      </c>
      <c r="AF57" s="49" t="inlineStr">
        <is>
          <t>IF(OR(AD57="",AC57="Not started",AC57=""),"",IFERROR(AD57-IF(VLOOKUP(AC57,'06_Status_Pipeline'!$B$3:$E$20,4,FALSE)="",0,VLOOKUP(AC57,'06_Status_Pipeline'!$B$3:$E$20,4,FALSE)),""))</t>
        </is>
      </c>
      <c r="AG57" s="4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49" t="inlineStr">
        <is>
          <t>IF(OR(F57="",AC57="Completed / Handover",AC57="Cancelled"),"",IF(O57="Not awarded",IF(U57&lt;&gt;"",U57-TODAY(),IF(X57="","",X57-TODAY())),IF(X57="","",X57-TODAY())))</t>
        </is>
      </c>
      <c r="AI57" s="47" t="n"/>
      <c r="AJ57" s="47" t="n"/>
      <c r="AK57" s="47" t="n"/>
      <c r="AL57" s="47" t="n"/>
      <c r="AM57" s="47" t="n"/>
      <c r="AN57" s="47" t="n"/>
      <c r="AO57" s="47" t="n"/>
      <c r="AP57" s="47" t="n"/>
      <c r="AQ57" s="47" t="n"/>
      <c r="AR57" s="47" t="n"/>
      <c r="AS57" s="47" t="n"/>
      <c r="AT57" s="50" t="n"/>
      <c r="AU57" s="50" t="n"/>
      <c r="AV57" s="50" t="n"/>
      <c r="AW57" s="49" t="inlineStr">
        <is>
          <t>IF(OR(F57="",AJ57=""),"",IF(COUNT(AI57:AI57)=0,"",AJ57-LOOKUP(2,1/(AI57:AI57&lt;&gt;""),AI57:AI57)))</t>
        </is>
      </c>
      <c r="AX57" s="49" t="inlineStr">
        <is>
          <t>IF(OR(F57="",AK57=""),"",IF(COUNT(AI57:AJ57)=0,"",AK57-LOOKUP(2,1/(AI57:AJ57&lt;&gt;""),AI57:AJ57)))</t>
        </is>
      </c>
      <c r="AY57" s="49" t="inlineStr">
        <is>
          <t>IF(OR(F57="",AL57=""),"",IF(COUNT(AI57:AK57)=0,"",AL57-LOOKUP(2,1/(AI57:AK57&lt;&gt;""),AI57:AK57)))</t>
        </is>
      </c>
      <c r="AZ57" s="49" t="inlineStr">
        <is>
          <t>IF(OR(F57="",AM57=""),"",IF(COUNT(AI57:AL57)=0,"",AM57-LOOKUP(2,1/(AI57:AL57&lt;&gt;""),AI57:AL57)))</t>
        </is>
      </c>
      <c r="BA57" s="49" t="inlineStr">
        <is>
          <t>IF(OR(F57="",AN57=""),"",IF(COUNT(AI57:AM57)=0,"",AN57-LOOKUP(2,1/(AI57:AM57&lt;&gt;""),AI57:AM57)))</t>
        </is>
      </c>
      <c r="BB57" s="49" t="inlineStr">
        <is>
          <t>IF(OR(F57="",AO57=""),"",IF(COUNT(AI57:AN57)=0,"",AO57-LOOKUP(2,1/(AI57:AN57&lt;&gt;""),AI57:AN57)))</t>
        </is>
      </c>
      <c r="BC57" s="49" t="inlineStr">
        <is>
          <t>IF(OR(F57="",AP57=""),"",IF(COUNT(AI57:AO57)=0,"",AP57-LOOKUP(2,1/(AI57:AO57&lt;&gt;""),AI57:AO57)))</t>
        </is>
      </c>
      <c r="BD57" s="49" t="inlineStr">
        <is>
          <t>IF(OR(F57="",AQ57=""),"",IF(COUNT(AI57:AP57)=0,"",AQ57-LOOKUP(2,1/(AI57:AP57&lt;&gt;""),AI57:AP57)))</t>
        </is>
      </c>
      <c r="BE57" s="49" t="inlineStr">
        <is>
          <t>IF(OR(F57="",AR57=""),"",IF(COUNT(AI57:AQ57)=0,"",AR57-LOOKUP(2,1/(AI57:AQ57&lt;&gt;""),AI57:AQ57)))</t>
        </is>
      </c>
      <c r="BF57" s="49" t="inlineStr">
        <is>
          <t>IF(OR(F57="",AS57=""),"",IF(COUNT(AI57:AR57)=0,"",AS57-LOOKUP(2,1/(AI57:AR57&lt;&gt;""),AI57:AR57)))</t>
        </is>
      </c>
      <c r="BG57" s="49" t="inlineStr">
        <is>
          <t>IF(OR(F57="",AT57=""),"",IF(COUNT(AI57:AS57)=0,"",AT57-LOOKUP(2,1/(AI57:AS57&lt;&gt;""),AI57:AS57)))</t>
        </is>
      </c>
      <c r="BH57" s="49" t="inlineStr">
        <is>
          <t>IF(OR(F57="",AU57=""),"",IF(COUNT(AI57:AT57)=0,"",AU57-LOOKUP(2,1/(AI57:AT57&lt;&gt;""),AI57:AT57)))</t>
        </is>
      </c>
      <c r="BI57" s="49" t="inlineStr">
        <is>
          <t>IF(OR(F57="",AV57=""),"",IF(COUNT(AI57:AU57)=0,"",AV57-LOOKUP(2,1/(AI57:AU57&lt;&gt;""),AI57:AU57)))</t>
        </is>
      </c>
      <c r="BJ57" s="51" t="inlineStr">
        <is>
          <t>IF(J57="","All_Provinces",IFERROR(VLOOKUP(J57,'09_Lookups'!$A$4:$B$20,2,FALSE),"All_Provinces"))</t>
        </is>
      </c>
      <c r="BK57" s="51" t="inlineStr">
        <is>
          <t>IF(K57="","All_Districts",IFERROR(VLOOKUP(K57,'09_Lookups'!$E$4:$F$42,2,FALSE),"All_Districts"))</t>
        </is>
      </c>
    </row>
    <row r="58" ht="18" customHeight="1">
      <c r="A58" s="42" t="inlineStr">
        <is>
          <t>IF(F58="","",ROW()-3)</t>
        </is>
      </c>
      <c r="B58" s="52" t="n"/>
      <c r="C58" s="52" t="n"/>
      <c r="D58" s="52" t="n"/>
      <c r="E58" s="52" t="n"/>
      <c r="F58" s="52" t="n"/>
      <c r="G58" s="52" t="n"/>
      <c r="H58" s="52" t="n"/>
      <c r="I58" s="52" t="n"/>
      <c r="J58" s="52" t="n"/>
      <c r="K58" s="52" t="n"/>
      <c r="L58" s="52" t="n"/>
      <c r="M58" s="52" t="n"/>
      <c r="N58" s="52" t="n"/>
      <c r="O58" s="52" t="n"/>
      <c r="P58" s="52" t="n"/>
      <c r="Q58" s="52" t="n"/>
      <c r="R58" s="52" t="n"/>
      <c r="S58" s="53" t="n"/>
      <c r="T58" s="46" t="inlineStr">
        <is>
          <t>IF(AQ58="","",AQ58)</t>
        </is>
      </c>
      <c r="U58" s="54" t="n"/>
      <c r="V58" s="55" t="n"/>
      <c r="W58" s="54" t="n"/>
      <c r="X58" s="46" t="inlineStr">
        <is>
          <t>IF(W58&lt;&gt;"",W58,IF(OR(T58="",V58=""),"",EDATE(T58,V58)))</t>
        </is>
      </c>
      <c r="Y58" s="54" t="n"/>
      <c r="Z58" s="55" t="n"/>
      <c r="AA58" s="52" t="n"/>
      <c r="AB58" s="52" t="n"/>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ht="18" customHeight="1">
      <c r="A59" s="42" t="inlineStr">
        <is>
          <t>IF(F59="","",ROW()-3)</t>
        </is>
      </c>
      <c r="B59" s="44" t="n"/>
      <c r="C59" s="44" t="n"/>
      <c r="D59" s="44" t="n"/>
      <c r="E59" s="44" t="n"/>
      <c r="F59" s="44" t="n"/>
      <c r="G59" s="44" t="n"/>
      <c r="H59" s="44" t="n"/>
      <c r="I59" s="44" t="n"/>
      <c r="J59" s="44" t="n"/>
      <c r="K59" s="44" t="n"/>
      <c r="L59" s="44" t="n"/>
      <c r="M59" s="44" t="n"/>
      <c r="N59" s="44" t="n"/>
      <c r="O59" s="44" t="n"/>
      <c r="P59" s="44" t="n"/>
      <c r="Q59" s="44" t="n"/>
      <c r="R59" s="44" t="n"/>
      <c r="S59" s="45" t="n"/>
      <c r="T59" s="46" t="inlineStr">
        <is>
          <t>IF(AQ59="","",AQ59)</t>
        </is>
      </c>
      <c r="U59" s="47" t="n"/>
      <c r="V59" s="48" t="n"/>
      <c r="W59" s="47" t="n"/>
      <c r="X59" s="46" t="inlineStr">
        <is>
          <t>IF(W59&lt;&gt;"",W59,IF(OR(T59="",V59=""),"",EDATE(T59,V59)))</t>
        </is>
      </c>
      <c r="Y59" s="47" t="n"/>
      <c r="Z59" s="48" t="n"/>
      <c r="AA59" s="44" t="n"/>
      <c r="AB59" s="44" t="n"/>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ht="18" customHeight="1">
      <c r="A60" s="42" t="inlineStr">
        <is>
          <t>IF(F60="","",ROW()-3)</t>
        </is>
      </c>
      <c r="B60" s="52" t="n"/>
      <c r="C60" s="52" t="n"/>
      <c r="D60" s="52" t="n"/>
      <c r="E60" s="52" t="n"/>
      <c r="F60" s="52" t="n"/>
      <c r="G60" s="52" t="n"/>
      <c r="H60" s="52" t="n"/>
      <c r="I60" s="52" t="n"/>
      <c r="J60" s="52" t="n"/>
      <c r="K60" s="52" t="n"/>
      <c r="L60" s="52" t="n"/>
      <c r="M60" s="52" t="n"/>
      <c r="N60" s="52" t="n"/>
      <c r="O60" s="52" t="n"/>
      <c r="P60" s="52" t="n"/>
      <c r="Q60" s="52" t="n"/>
      <c r="R60" s="52" t="n"/>
      <c r="S60" s="53" t="n"/>
      <c r="T60" s="46" t="inlineStr">
        <is>
          <t>IF(AQ60="","",AQ60)</t>
        </is>
      </c>
      <c r="U60" s="54" t="n"/>
      <c r="V60" s="55" t="n"/>
      <c r="W60" s="54" t="n"/>
      <c r="X60" s="46" t="inlineStr">
        <is>
          <t>IF(W60&lt;&gt;"",W60,IF(OR(T60="",V60=""),"",EDATE(T60,V60)))</t>
        </is>
      </c>
      <c r="Y60" s="54" t="n"/>
      <c r="Z60" s="55" t="n"/>
      <c r="AA60" s="52" t="n"/>
      <c r="AB60" s="52" t="n"/>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ht="18" customHeight="1">
      <c r="A61" s="42" t="inlineStr">
        <is>
          <t>IF(F61="","",ROW()-3)</t>
        </is>
      </c>
      <c r="B61" s="44" t="n"/>
      <c r="C61" s="44" t="n"/>
      <c r="D61" s="44" t="n"/>
      <c r="E61" s="44" t="n"/>
      <c r="F61" s="44" t="n"/>
      <c r="G61" s="44" t="n"/>
      <c r="H61" s="44" t="n"/>
      <c r="I61" s="44" t="n"/>
      <c r="J61" s="44" t="n"/>
      <c r="K61" s="44" t="n"/>
      <c r="L61" s="44" t="n"/>
      <c r="M61" s="44" t="n"/>
      <c r="N61" s="44" t="n"/>
      <c r="O61" s="44" t="n"/>
      <c r="P61" s="44" t="n"/>
      <c r="Q61" s="44" t="n"/>
      <c r="R61" s="44" t="n"/>
      <c r="S61" s="45" t="n"/>
      <c r="T61" s="46" t="inlineStr">
        <is>
          <t>IF(AQ61="","",AQ61)</t>
        </is>
      </c>
      <c r="U61" s="47" t="n"/>
      <c r="V61" s="48" t="n"/>
      <c r="W61" s="47" t="n"/>
      <c r="X61" s="46" t="inlineStr">
        <is>
          <t>IF(W61&lt;&gt;"",W61,IF(OR(T61="",V61=""),"",EDATE(T61,V61)))</t>
        </is>
      </c>
      <c r="Y61" s="47" t="n"/>
      <c r="Z61" s="48" t="n"/>
      <c r="AA61" s="44" t="n"/>
      <c r="AB61" s="44" t="n"/>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ht="18" customHeight="1">
      <c r="A62" s="42" t="inlineStr">
        <is>
          <t>IF(F62="","",ROW()-3)</t>
        </is>
      </c>
      <c r="B62" s="52" t="n"/>
      <c r="C62" s="52" t="n"/>
      <c r="D62" s="52" t="n"/>
      <c r="E62" s="52" t="n"/>
      <c r="F62" s="52" t="n"/>
      <c r="G62" s="52" t="n"/>
      <c r="H62" s="52" t="n"/>
      <c r="I62" s="52" t="n"/>
      <c r="J62" s="52" t="n"/>
      <c r="K62" s="52" t="n"/>
      <c r="L62" s="52" t="n"/>
      <c r="M62" s="52" t="n"/>
      <c r="N62" s="52" t="n"/>
      <c r="O62" s="52" t="n"/>
      <c r="P62" s="52" t="n"/>
      <c r="Q62" s="52" t="n"/>
      <c r="R62" s="52" t="n"/>
      <c r="S62" s="53" t="n"/>
      <c r="T62" s="46" t="inlineStr">
        <is>
          <t>IF(AQ62="","",AQ62)</t>
        </is>
      </c>
      <c r="U62" s="54" t="n"/>
      <c r="V62" s="55" t="n"/>
      <c r="W62" s="54" t="n"/>
      <c r="X62" s="46" t="inlineStr">
        <is>
          <t>IF(W62&lt;&gt;"",W62,IF(OR(T62="",V62=""),"",EDATE(T62,V62)))</t>
        </is>
      </c>
      <c r="Y62" s="54" t="n"/>
      <c r="Z62" s="55" t="n"/>
      <c r="AA62" s="52" t="n"/>
      <c r="AB62" s="52" t="n"/>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ht="18" customHeight="1">
      <c r="A63" s="42" t="inlineStr">
        <is>
          <t>IF(F63="","",ROW()-3)</t>
        </is>
      </c>
      <c r="B63" s="44" t="n"/>
      <c r="C63" s="44" t="n"/>
      <c r="D63" s="44" t="n"/>
      <c r="E63" s="44" t="n"/>
      <c r="F63" s="44" t="n"/>
      <c r="G63" s="44" t="n"/>
      <c r="H63" s="44" t="n"/>
      <c r="I63" s="44" t="n"/>
      <c r="J63" s="44" t="n"/>
      <c r="K63" s="44" t="n"/>
      <c r="L63" s="44" t="n"/>
      <c r="M63" s="44" t="n"/>
      <c r="N63" s="44" t="n"/>
      <c r="O63" s="44" t="n"/>
      <c r="P63" s="44" t="n"/>
      <c r="Q63" s="44" t="n"/>
      <c r="R63" s="44" t="n"/>
      <c r="S63" s="45" t="n"/>
      <c r="T63" s="46" t="inlineStr">
        <is>
          <t>IF(AQ63="","",AQ63)</t>
        </is>
      </c>
      <c r="U63" s="47" t="n"/>
      <c r="V63" s="48" t="n"/>
      <c r="W63" s="47" t="n"/>
      <c r="X63" s="46" t="inlineStr">
        <is>
          <t>IF(W63&lt;&gt;"",W63,IF(OR(T63="",V63=""),"",EDATE(T63,V63)))</t>
        </is>
      </c>
      <c r="Y63" s="47" t="n"/>
      <c r="Z63" s="48" t="n"/>
      <c r="AA63" s="44" t="n"/>
      <c r="AB63" s="44" t="n"/>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ht="18" customHeight="1">
      <c r="A64" s="42" t="inlineStr">
        <is>
          <t>IF(F64="","",ROW()-3)</t>
        </is>
      </c>
      <c r="B64" s="52" t="n"/>
      <c r="C64" s="52" t="n"/>
      <c r="D64" s="52" t="n"/>
      <c r="E64" s="52" t="n"/>
      <c r="F64" s="52" t="n"/>
      <c r="G64" s="52" t="n"/>
      <c r="H64" s="52" t="n"/>
      <c r="I64" s="52" t="n"/>
      <c r="J64" s="52" t="n"/>
      <c r="K64" s="52" t="n"/>
      <c r="L64" s="52" t="n"/>
      <c r="M64" s="52" t="n"/>
      <c r="N64" s="52" t="n"/>
      <c r="O64" s="52" t="n"/>
      <c r="P64" s="52" t="n"/>
      <c r="Q64" s="52" t="n"/>
      <c r="R64" s="52" t="n"/>
      <c r="S64" s="53" t="n"/>
      <c r="T64" s="46" t="inlineStr">
        <is>
          <t>IF(AQ64="","",AQ64)</t>
        </is>
      </c>
      <c r="U64" s="54" t="n"/>
      <c r="V64" s="55" t="n"/>
      <c r="W64" s="54" t="n"/>
      <c r="X64" s="46" t="inlineStr">
        <is>
          <t>IF(W64&lt;&gt;"",W64,IF(OR(T64="",V64=""),"",EDATE(T64,V64)))</t>
        </is>
      </c>
      <c r="Y64" s="54" t="n"/>
      <c r="Z64" s="55" t="n"/>
      <c r="AA64" s="52" t="n"/>
      <c r="AB64" s="52" t="n"/>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ht="18" customHeight="1">
      <c r="A65" s="42" t="inlineStr">
        <is>
          <t>IF(F65="","",ROW()-3)</t>
        </is>
      </c>
      <c r="B65" s="44" t="n"/>
      <c r="C65" s="44" t="n"/>
      <c r="D65" s="44" t="n"/>
      <c r="E65" s="44" t="n"/>
      <c r="F65" s="44" t="n"/>
      <c r="G65" s="44" t="n"/>
      <c r="H65" s="44" t="n"/>
      <c r="I65" s="44" t="n"/>
      <c r="J65" s="44" t="n"/>
      <c r="K65" s="44" t="n"/>
      <c r="L65" s="44" t="n"/>
      <c r="M65" s="44" t="n"/>
      <c r="N65" s="44" t="n"/>
      <c r="O65" s="44" t="n"/>
      <c r="P65" s="44" t="n"/>
      <c r="Q65" s="44" t="n"/>
      <c r="R65" s="44" t="n"/>
      <c r="S65" s="45" t="n"/>
      <c r="T65" s="46" t="inlineStr">
        <is>
          <t>IF(AQ65="","",AQ65)</t>
        </is>
      </c>
      <c r="U65" s="47" t="n"/>
      <c r="V65" s="48" t="n"/>
      <c r="W65" s="47" t="n"/>
      <c r="X65" s="46" t="inlineStr">
        <is>
          <t>IF(W65&lt;&gt;"",W65,IF(OR(T65="",V65=""),"",EDATE(T65,V65)))</t>
        </is>
      </c>
      <c r="Y65" s="47" t="n"/>
      <c r="Z65" s="48" t="n"/>
      <c r="AA65" s="44" t="n"/>
      <c r="AB65" s="44" t="n"/>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ht="18" customHeight="1">
      <c r="A66" s="42" t="inlineStr">
        <is>
          <t>IF(F66="","",ROW()-3)</t>
        </is>
      </c>
      <c r="B66" s="52" t="n"/>
      <c r="C66" s="52" t="n"/>
      <c r="D66" s="52" t="n"/>
      <c r="E66" s="52" t="n"/>
      <c r="F66" s="52" t="n"/>
      <c r="G66" s="52" t="n"/>
      <c r="H66" s="52" t="n"/>
      <c r="I66" s="52" t="n"/>
      <c r="J66" s="52" t="n"/>
      <c r="K66" s="52" t="n"/>
      <c r="L66" s="52" t="n"/>
      <c r="M66" s="52" t="n"/>
      <c r="N66" s="52" t="n"/>
      <c r="O66" s="52" t="n"/>
      <c r="P66" s="52" t="n"/>
      <c r="Q66" s="52" t="n"/>
      <c r="R66" s="52" t="n"/>
      <c r="S66" s="53" t="n"/>
      <c r="T66" s="46" t="inlineStr">
        <is>
          <t>IF(AQ66="","",AQ66)</t>
        </is>
      </c>
      <c r="U66" s="54" t="n"/>
      <c r="V66" s="55" t="n"/>
      <c r="W66" s="54" t="n"/>
      <c r="X66" s="46" t="inlineStr">
        <is>
          <t>IF(W66&lt;&gt;"",W66,IF(OR(T66="",V66=""),"",EDATE(T66,V66)))</t>
        </is>
      </c>
      <c r="Y66" s="54" t="n"/>
      <c r="Z66" s="55" t="n"/>
      <c r="AA66" s="52" t="n"/>
      <c r="AB66" s="52" t="n"/>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ht="18" customHeight="1">
      <c r="A67" s="42" t="inlineStr">
        <is>
          <t>IF(F67="","",ROW()-3)</t>
        </is>
      </c>
      <c r="B67" s="44" t="n"/>
      <c r="C67" s="44" t="n"/>
      <c r="D67" s="44" t="n"/>
      <c r="E67" s="44" t="n"/>
      <c r="F67" s="44" t="n"/>
      <c r="G67" s="44" t="n"/>
      <c r="H67" s="44" t="n"/>
      <c r="I67" s="44" t="n"/>
      <c r="J67" s="44" t="n"/>
      <c r="K67" s="44" t="n"/>
      <c r="L67" s="44" t="n"/>
      <c r="M67" s="44" t="n"/>
      <c r="N67" s="44" t="n"/>
      <c r="O67" s="44" t="n"/>
      <c r="P67" s="44" t="n"/>
      <c r="Q67" s="44" t="n"/>
      <c r="R67" s="44" t="n"/>
      <c r="S67" s="45" t="n"/>
      <c r="T67" s="46" t="inlineStr">
        <is>
          <t>IF(AQ67="","",AQ67)</t>
        </is>
      </c>
      <c r="U67" s="47" t="n"/>
      <c r="V67" s="48" t="n"/>
      <c r="W67" s="47" t="n"/>
      <c r="X67" s="46" t="inlineStr">
        <is>
          <t>IF(W67&lt;&gt;"",W67,IF(OR(T67="",V67=""),"",EDATE(T67,V67)))</t>
        </is>
      </c>
      <c r="Y67" s="47" t="n"/>
      <c r="Z67" s="48" t="n"/>
      <c r="AA67" s="44" t="n"/>
      <c r="AB67" s="44" t="n"/>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ht="18" customHeight="1">
      <c r="A68" s="42" t="inlineStr">
        <is>
          <t>IF(F68="","",ROW()-3)</t>
        </is>
      </c>
      <c r="B68" s="52" t="n"/>
      <c r="C68" s="52" t="n"/>
      <c r="D68" s="52" t="n"/>
      <c r="E68" s="52" t="n"/>
      <c r="F68" s="52" t="n"/>
      <c r="G68" s="52" t="n"/>
      <c r="H68" s="52" t="n"/>
      <c r="I68" s="52" t="n"/>
      <c r="J68" s="52" t="n"/>
      <c r="K68" s="52" t="n"/>
      <c r="L68" s="52" t="n"/>
      <c r="M68" s="52" t="n"/>
      <c r="N68" s="52" t="n"/>
      <c r="O68" s="52" t="n"/>
      <c r="P68" s="52" t="n"/>
      <c r="Q68" s="52" t="n"/>
      <c r="R68" s="52" t="n"/>
      <c r="S68" s="53" t="n"/>
      <c r="T68" s="46" t="inlineStr">
        <is>
          <t>IF(AQ68="","",AQ68)</t>
        </is>
      </c>
      <c r="U68" s="54" t="n"/>
      <c r="V68" s="55" t="n"/>
      <c r="W68" s="54" t="n"/>
      <c r="X68" s="46" t="inlineStr">
        <is>
          <t>IF(W68&lt;&gt;"",W68,IF(OR(T68="",V68=""),"",EDATE(T68,V68)))</t>
        </is>
      </c>
      <c r="Y68" s="54" t="n"/>
      <c r="Z68" s="55" t="n"/>
      <c r="AA68" s="52" t="n"/>
      <c r="AB68" s="52" t="n"/>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42" t="inlineStr">
        <is>
          <t>IF(F69="","",ROW()-3)</t>
        </is>
      </c>
      <c r="B69" s="44" t="n"/>
      <c r="C69" s="44" t="n"/>
      <c r="D69" s="44" t="n"/>
      <c r="E69" s="44" t="n"/>
      <c r="F69" s="44" t="n"/>
      <c r="G69" s="44" t="n"/>
      <c r="H69" s="44" t="n"/>
      <c r="I69" s="44" t="n"/>
      <c r="J69" s="44" t="n"/>
      <c r="K69" s="44" t="n"/>
      <c r="L69" s="44" t="n"/>
      <c r="M69" s="44" t="n"/>
      <c r="N69" s="44" t="n"/>
      <c r="O69" s="44" t="n"/>
      <c r="P69" s="44" t="n"/>
      <c r="Q69" s="44" t="n"/>
      <c r="R69" s="44" t="n"/>
      <c r="S69" s="45" t="n"/>
      <c r="T69" s="46" t="inlineStr">
        <is>
          <t>IF(AQ69="","",AQ69)</t>
        </is>
      </c>
      <c r="U69" s="47" t="n"/>
      <c r="V69" s="48" t="n"/>
      <c r="W69" s="47" t="n"/>
      <c r="X69" s="46" t="inlineStr">
        <is>
          <t>IF(W69&lt;&gt;"",W69,IF(OR(T69="",V69=""),"",EDATE(T69,V69)))</t>
        </is>
      </c>
      <c r="Y69" s="47" t="n"/>
      <c r="Z69" s="48" t="n"/>
      <c r="AA69" s="44" t="n"/>
      <c r="AB69" s="44" t="n"/>
      <c r="AC69" s="42" t="inlineStr">
        <is>
          <t>IF(F69="","",IF(COUNT(AI69:AV69)=0,IF(AA69="","Not started",AA69),SUBSTITUTE(LOOKUP(2,1/(AI69:AV69&lt;&gt;""),$AI$3:$AV$3),"Date: ","")))</t>
        </is>
      </c>
      <c r="AD69" s="49" t="inlineStr">
        <is>
          <t>IF(OR(F69="",COUNT(AI69:AV69)=0),"",TODAY()-LOOKUP(2,1/(AI69:AV69&lt;&gt;""),AI69:AV69))</t>
        </is>
      </c>
      <c r="AE69" s="49" t="inlineStr">
        <is>
          <t>IF(OR(F69="",COUNT(AI69:AV69)&lt;2),"",LOOKUP(2,1/(AI69:AV69&lt;&gt;""),AI69:AV69)-MIN(AI69:AV69))</t>
        </is>
      </c>
      <c r="AF69" s="49" t="inlineStr">
        <is>
          <t>IF(OR(AD69="",AC69="Not started",AC69=""),"",IFERROR(AD69-IF(VLOOKUP(AC69,'06_Status_Pipeline'!$B$3:$E$20,4,FALSE)="",0,VLOOKUP(AC69,'06_Status_Pipeline'!$B$3:$E$20,4,FALSE)),""))</t>
        </is>
      </c>
      <c r="AG69" s="4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49" t="inlineStr">
        <is>
          <t>IF(OR(F69="",AC69="Completed / Handover",AC69="Cancelled"),"",IF(O69="Not awarded",IF(U69&lt;&gt;"",U69-TODAY(),IF(X69="","",X69-TODAY())),IF(X69="","",X69-TODAY())))</t>
        </is>
      </c>
      <c r="AI69" s="47" t="n"/>
      <c r="AJ69" s="47" t="n"/>
      <c r="AK69" s="47" t="n"/>
      <c r="AL69" s="47" t="n"/>
      <c r="AM69" s="47" t="n"/>
      <c r="AN69" s="47" t="n"/>
      <c r="AO69" s="47" t="n"/>
      <c r="AP69" s="47" t="n"/>
      <c r="AQ69" s="47" t="n"/>
      <c r="AR69" s="47" t="n"/>
      <c r="AS69" s="47" t="n"/>
      <c r="AT69" s="50" t="n"/>
      <c r="AU69" s="50" t="n"/>
      <c r="AV69" s="50" t="n"/>
      <c r="AW69" s="49" t="inlineStr">
        <is>
          <t>IF(OR(F69="",AJ69=""),"",IF(COUNT(AI69:AI69)=0,"",AJ69-LOOKUP(2,1/(AI69:AI69&lt;&gt;""),AI69:AI69)))</t>
        </is>
      </c>
      <c r="AX69" s="49" t="inlineStr">
        <is>
          <t>IF(OR(F69="",AK69=""),"",IF(COUNT(AI69:AJ69)=0,"",AK69-LOOKUP(2,1/(AI69:AJ69&lt;&gt;""),AI69:AJ69)))</t>
        </is>
      </c>
      <c r="AY69" s="49" t="inlineStr">
        <is>
          <t>IF(OR(F69="",AL69=""),"",IF(COUNT(AI69:AK69)=0,"",AL69-LOOKUP(2,1/(AI69:AK69&lt;&gt;""),AI69:AK69)))</t>
        </is>
      </c>
      <c r="AZ69" s="49" t="inlineStr">
        <is>
          <t>IF(OR(F69="",AM69=""),"",IF(COUNT(AI69:AL69)=0,"",AM69-LOOKUP(2,1/(AI69:AL69&lt;&gt;""),AI69:AL69)))</t>
        </is>
      </c>
      <c r="BA69" s="49" t="inlineStr">
        <is>
          <t>IF(OR(F69="",AN69=""),"",IF(COUNT(AI69:AM69)=0,"",AN69-LOOKUP(2,1/(AI69:AM69&lt;&gt;""),AI69:AM69)))</t>
        </is>
      </c>
      <c r="BB69" s="49" t="inlineStr">
        <is>
          <t>IF(OR(F69="",AO69=""),"",IF(COUNT(AI69:AN69)=0,"",AO69-LOOKUP(2,1/(AI69:AN69&lt;&gt;""),AI69:AN69)))</t>
        </is>
      </c>
      <c r="BC69" s="49" t="inlineStr">
        <is>
          <t>IF(OR(F69="",AP69=""),"",IF(COUNT(AI69:AO69)=0,"",AP69-LOOKUP(2,1/(AI69:AO69&lt;&gt;""),AI69:AO69)))</t>
        </is>
      </c>
      <c r="BD69" s="49" t="inlineStr">
        <is>
          <t>IF(OR(F69="",AQ69=""),"",IF(COUNT(AI69:AP69)=0,"",AQ69-LOOKUP(2,1/(AI69:AP69&lt;&gt;""),AI69:AP69)))</t>
        </is>
      </c>
      <c r="BE69" s="49" t="inlineStr">
        <is>
          <t>IF(OR(F69="",AR69=""),"",IF(COUNT(AI69:AQ69)=0,"",AR69-LOOKUP(2,1/(AI69:AQ69&lt;&gt;""),AI69:AQ69)))</t>
        </is>
      </c>
      <c r="BF69" s="49" t="inlineStr">
        <is>
          <t>IF(OR(F69="",AS69=""),"",IF(COUNT(AI69:AR69)=0,"",AS69-LOOKUP(2,1/(AI69:AR69&lt;&gt;""),AI69:AR69)))</t>
        </is>
      </c>
      <c r="BG69" s="49" t="inlineStr">
        <is>
          <t>IF(OR(F69="",AT69=""),"",IF(COUNT(AI69:AS69)=0,"",AT69-LOOKUP(2,1/(AI69:AS69&lt;&gt;""),AI69:AS69)))</t>
        </is>
      </c>
      <c r="BH69" s="49" t="inlineStr">
        <is>
          <t>IF(OR(F69="",AU69=""),"",IF(COUNT(AI69:AT69)=0,"",AU69-LOOKUP(2,1/(AI69:AT69&lt;&gt;""),AI69:AT69)))</t>
        </is>
      </c>
      <c r="BI69" s="49" t="inlineStr">
        <is>
          <t>IF(OR(F69="",AV69=""),"",IF(COUNT(AI69:AU69)=0,"",AV69-LOOKUP(2,1/(AI69:AU69&lt;&gt;""),AI69:AU69)))</t>
        </is>
      </c>
      <c r="BJ69" s="51" t="inlineStr">
        <is>
          <t>IF(J69="","All_Provinces",IFERROR(VLOOKUP(J69,'09_Lookups'!$A$4:$B$20,2,FALSE),"All_Provinces"))</t>
        </is>
      </c>
      <c r="BK69" s="51" t="inlineStr">
        <is>
          <t>IF(K69="","All_Districts",IFERROR(VLOOKUP(K69,'09_Lookups'!$E$4:$F$42,2,FALSE),"All_Districts"))</t>
        </is>
      </c>
    </row>
    <row r="70" ht="18" customHeight="1">
      <c r="A70" s="42" t="inlineStr">
        <is>
          <t>IF(F70="","",ROW()-3)</t>
        </is>
      </c>
      <c r="B70" s="52" t="n"/>
      <c r="C70" s="52" t="n"/>
      <c r="D70" s="52" t="n"/>
      <c r="E70" s="52" t="n"/>
      <c r="F70" s="52" t="n"/>
      <c r="G70" s="52" t="n"/>
      <c r="H70" s="52" t="n"/>
      <c r="I70" s="52" t="n"/>
      <c r="J70" s="52" t="n"/>
      <c r="K70" s="52" t="n"/>
      <c r="L70" s="52" t="n"/>
      <c r="M70" s="52" t="n"/>
      <c r="N70" s="52" t="n"/>
      <c r="O70" s="52" t="n"/>
      <c r="P70" s="52" t="n"/>
      <c r="Q70" s="52" t="n"/>
      <c r="R70" s="52" t="n"/>
      <c r="S70" s="53" t="n"/>
      <c r="T70" s="46" t="inlineStr">
        <is>
          <t>IF(AQ70="","",AQ70)</t>
        </is>
      </c>
      <c r="U70" s="54" t="n"/>
      <c r="V70" s="55" t="n"/>
      <c r="W70" s="54" t="n"/>
      <c r="X70" s="46" t="inlineStr">
        <is>
          <t>IF(W70&lt;&gt;"",W70,IF(OR(T70="",V70=""),"",EDATE(T70,V70)))</t>
        </is>
      </c>
      <c r="Y70" s="54" t="n"/>
      <c r="Z70" s="55" t="n"/>
      <c r="AA70" s="52" t="n"/>
      <c r="AB70" s="52" t="n"/>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ht="18" customHeight="1">
      <c r="A71" s="42" t="inlineStr">
        <is>
          <t>IF(F71="","",ROW()-3)</t>
        </is>
      </c>
      <c r="B71" s="44" t="n"/>
      <c r="C71" s="44" t="n"/>
      <c r="D71" s="44" t="n"/>
      <c r="E71" s="44" t="n"/>
      <c r="F71" s="44" t="n"/>
      <c r="G71" s="44" t="n"/>
      <c r="H71" s="44" t="n"/>
      <c r="I71" s="44" t="n"/>
      <c r="J71" s="44" t="n"/>
      <c r="K71" s="44" t="n"/>
      <c r="L71" s="44" t="n"/>
      <c r="M71" s="44" t="n"/>
      <c r="N71" s="44" t="n"/>
      <c r="O71" s="44" t="n"/>
      <c r="P71" s="44" t="n"/>
      <c r="Q71" s="44" t="n"/>
      <c r="R71" s="44" t="n"/>
      <c r="S71" s="45" t="n"/>
      <c r="T71" s="46" t="inlineStr">
        <is>
          <t>IF(AQ71="","",AQ71)</t>
        </is>
      </c>
      <c r="U71" s="47" t="n"/>
      <c r="V71" s="48" t="n"/>
      <c r="W71" s="47" t="n"/>
      <c r="X71" s="46" t="inlineStr">
        <is>
          <t>IF(W71&lt;&gt;"",W71,IF(OR(T71="",V71=""),"",EDATE(T71,V71)))</t>
        </is>
      </c>
      <c r="Y71" s="47" t="n"/>
      <c r="Z71" s="48" t="n"/>
      <c r="AA71" s="44" t="n"/>
      <c r="AB71" s="44" t="n"/>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ht="18" customHeight="1">
      <c r="A72" s="42" t="inlineStr">
        <is>
          <t>IF(F72="","",ROW()-3)</t>
        </is>
      </c>
      <c r="B72" s="52" t="n"/>
      <c r="C72" s="52" t="n"/>
      <c r="D72" s="52" t="n"/>
      <c r="E72" s="52" t="n"/>
      <c r="F72" s="52" t="n"/>
      <c r="G72" s="52" t="n"/>
      <c r="H72" s="52" t="n"/>
      <c r="I72" s="52" t="n"/>
      <c r="J72" s="52" t="n"/>
      <c r="K72" s="52" t="n"/>
      <c r="L72" s="52" t="n"/>
      <c r="M72" s="52" t="n"/>
      <c r="N72" s="52" t="n"/>
      <c r="O72" s="52" t="n"/>
      <c r="P72" s="52" t="n"/>
      <c r="Q72" s="52" t="n"/>
      <c r="R72" s="52" t="n"/>
      <c r="S72" s="53" t="n"/>
      <c r="T72" s="46" t="inlineStr">
        <is>
          <t>IF(AQ72="","",AQ72)</t>
        </is>
      </c>
      <c r="U72" s="54" t="n"/>
      <c r="V72" s="55" t="n"/>
      <c r="W72" s="54" t="n"/>
      <c r="X72" s="46" t="inlineStr">
        <is>
          <t>IF(W72&lt;&gt;"",W72,IF(OR(T72="",V72=""),"",EDATE(T72,V72)))</t>
        </is>
      </c>
      <c r="Y72" s="54" t="n"/>
      <c r="Z72" s="55" t="n"/>
      <c r="AA72" s="52" t="n"/>
      <c r="AB72" s="52" t="n"/>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ht="18" customHeight="1">
      <c r="A73" s="42" t="inlineStr">
        <is>
          <t>IF(F73="","",ROW()-3)</t>
        </is>
      </c>
      <c r="B73" s="44" t="n"/>
      <c r="C73" s="44" t="n"/>
      <c r="D73" s="44" t="n"/>
      <c r="E73" s="44" t="n"/>
      <c r="F73" s="44" t="n"/>
      <c r="G73" s="44" t="n"/>
      <c r="H73" s="44" t="n"/>
      <c r="I73" s="44" t="n"/>
      <c r="J73" s="44" t="n"/>
      <c r="K73" s="44" t="n"/>
      <c r="L73" s="44" t="n"/>
      <c r="M73" s="44" t="n"/>
      <c r="N73" s="44" t="n"/>
      <c r="O73" s="44" t="n"/>
      <c r="P73" s="44" t="n"/>
      <c r="Q73" s="44" t="n"/>
      <c r="R73" s="44" t="n"/>
      <c r="S73" s="45" t="n"/>
      <c r="T73" s="46" t="inlineStr">
        <is>
          <t>IF(AQ73="","",AQ73)</t>
        </is>
      </c>
      <c r="U73" s="47" t="n"/>
      <c r="V73" s="48" t="n"/>
      <c r="W73" s="47" t="n"/>
      <c r="X73" s="46" t="inlineStr">
        <is>
          <t>IF(W73&lt;&gt;"",W73,IF(OR(T73="",V73=""),"",EDATE(T73,V73)))</t>
        </is>
      </c>
      <c r="Y73" s="47" t="n"/>
      <c r="Z73" s="48" t="n"/>
      <c r="AA73" s="44" t="n"/>
      <c r="AB73" s="44" t="n"/>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ht="18" customHeight="1">
      <c r="A74" s="42" t="inlineStr">
        <is>
          <t>IF(F74="","",ROW()-3)</t>
        </is>
      </c>
      <c r="B74" s="52" t="n"/>
      <c r="C74" s="52" t="n"/>
      <c r="D74" s="52" t="n"/>
      <c r="E74" s="52" t="n"/>
      <c r="F74" s="52" t="n"/>
      <c r="G74" s="52" t="n"/>
      <c r="H74" s="52" t="n"/>
      <c r="I74" s="52" t="n"/>
      <c r="J74" s="52" t="n"/>
      <c r="K74" s="52" t="n"/>
      <c r="L74" s="52" t="n"/>
      <c r="M74" s="52" t="n"/>
      <c r="N74" s="52" t="n"/>
      <c r="O74" s="52" t="n"/>
      <c r="P74" s="52" t="n"/>
      <c r="Q74" s="52" t="n"/>
      <c r="R74" s="52" t="n"/>
      <c r="S74" s="53" t="n"/>
      <c r="T74" s="46" t="inlineStr">
        <is>
          <t>IF(AQ74="","",AQ74)</t>
        </is>
      </c>
      <c r="U74" s="54" t="n"/>
      <c r="V74" s="55" t="n"/>
      <c r="W74" s="54" t="n"/>
      <c r="X74" s="46" t="inlineStr">
        <is>
          <t>IF(W74&lt;&gt;"",W74,IF(OR(T74="",V74=""),"",EDATE(T74,V74)))</t>
        </is>
      </c>
      <c r="Y74" s="54" t="n"/>
      <c r="Z74" s="55" t="n"/>
      <c r="AA74" s="52" t="n"/>
      <c r="AB74" s="52" t="n"/>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ht="18" customHeight="1">
      <c r="A75" s="42" t="inlineStr">
        <is>
          <t>IF(F75="","",ROW()-3)</t>
        </is>
      </c>
      <c r="B75" s="44" t="n"/>
      <c r="C75" s="44" t="n"/>
      <c r="D75" s="44" t="n"/>
      <c r="E75" s="44" t="n"/>
      <c r="F75" s="44" t="n"/>
      <c r="G75" s="44" t="n"/>
      <c r="H75" s="44" t="n"/>
      <c r="I75" s="44" t="n"/>
      <c r="J75" s="44" t="n"/>
      <c r="K75" s="44" t="n"/>
      <c r="L75" s="44" t="n"/>
      <c r="M75" s="44" t="n"/>
      <c r="N75" s="44" t="n"/>
      <c r="O75" s="44" t="n"/>
      <c r="P75" s="44" t="n"/>
      <c r="Q75" s="44" t="n"/>
      <c r="R75" s="44" t="n"/>
      <c r="S75" s="45" t="n"/>
      <c r="T75" s="46" t="inlineStr">
        <is>
          <t>IF(AQ75="","",AQ75)</t>
        </is>
      </c>
      <c r="U75" s="47" t="n"/>
      <c r="V75" s="48" t="n"/>
      <c r="W75" s="47" t="n"/>
      <c r="X75" s="46" t="inlineStr">
        <is>
          <t>IF(W75&lt;&gt;"",W75,IF(OR(T75="",V75=""),"",EDATE(T75,V75)))</t>
        </is>
      </c>
      <c r="Y75" s="47" t="n"/>
      <c r="Z75" s="48" t="n"/>
      <c r="AA75" s="44" t="n"/>
      <c r="AB75" s="44" t="n"/>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ht="18" customHeight="1">
      <c r="A76" s="42" t="inlineStr">
        <is>
          <t>IF(F76="","",ROW()-3)</t>
        </is>
      </c>
      <c r="B76" s="52" t="n"/>
      <c r="C76" s="52" t="n"/>
      <c r="D76" s="52" t="n"/>
      <c r="E76" s="52" t="n"/>
      <c r="F76" s="52" t="n"/>
      <c r="G76" s="52" t="n"/>
      <c r="H76" s="52" t="n"/>
      <c r="I76" s="52" t="n"/>
      <c r="J76" s="52" t="n"/>
      <c r="K76" s="52" t="n"/>
      <c r="L76" s="52" t="n"/>
      <c r="M76" s="52" t="n"/>
      <c r="N76" s="52" t="n"/>
      <c r="O76" s="52" t="n"/>
      <c r="P76" s="52" t="n"/>
      <c r="Q76" s="52" t="n"/>
      <c r="R76" s="52" t="n"/>
      <c r="S76" s="53" t="n"/>
      <c r="T76" s="46" t="inlineStr">
        <is>
          <t>IF(AQ76="","",AQ76)</t>
        </is>
      </c>
      <c r="U76" s="54" t="n"/>
      <c r="V76" s="55" t="n"/>
      <c r="W76" s="54" t="n"/>
      <c r="X76" s="46" t="inlineStr">
        <is>
          <t>IF(W76&lt;&gt;"",W76,IF(OR(T76="",V76=""),"",EDATE(T76,V76)))</t>
        </is>
      </c>
      <c r="Y76" s="54" t="n"/>
      <c r="Z76" s="55" t="n"/>
      <c r="AA76" s="52" t="n"/>
      <c r="AB76" s="52" t="n"/>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ht="18" customHeight="1">
      <c r="A77" s="42" t="inlineStr">
        <is>
          <t>IF(F77="","",ROW()-3)</t>
        </is>
      </c>
      <c r="B77" s="44" t="n"/>
      <c r="C77" s="44" t="n"/>
      <c r="D77" s="44" t="n"/>
      <c r="E77" s="44" t="n"/>
      <c r="F77" s="44" t="n"/>
      <c r="G77" s="44" t="n"/>
      <c r="H77" s="44" t="n"/>
      <c r="I77" s="44" t="n"/>
      <c r="J77" s="44" t="n"/>
      <c r="K77" s="44" t="n"/>
      <c r="L77" s="44" t="n"/>
      <c r="M77" s="44" t="n"/>
      <c r="N77" s="44" t="n"/>
      <c r="O77" s="44" t="n"/>
      <c r="P77" s="44" t="n"/>
      <c r="Q77" s="44" t="n"/>
      <c r="R77" s="44" t="n"/>
      <c r="S77" s="45" t="n"/>
      <c r="T77" s="46" t="inlineStr">
        <is>
          <t>IF(AQ77="","",AQ77)</t>
        </is>
      </c>
      <c r="U77" s="47" t="n"/>
      <c r="V77" s="48" t="n"/>
      <c r="W77" s="47" t="n"/>
      <c r="X77" s="46" t="inlineStr">
        <is>
          <t>IF(W77&lt;&gt;"",W77,IF(OR(T77="",V77=""),"",EDATE(T77,V77)))</t>
        </is>
      </c>
      <c r="Y77" s="47" t="n"/>
      <c r="Z77" s="48" t="n"/>
      <c r="AA77" s="44" t="n"/>
      <c r="AB77" s="44" t="n"/>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ht="18" customHeight="1">
      <c r="A78" s="42" t="inlineStr">
        <is>
          <t>IF(F78="","",ROW()-3)</t>
        </is>
      </c>
      <c r="B78" s="52" t="n"/>
      <c r="C78" s="52" t="n"/>
      <c r="D78" s="52" t="n"/>
      <c r="E78" s="52" t="n"/>
      <c r="F78" s="52" t="n"/>
      <c r="G78" s="52" t="n"/>
      <c r="H78" s="52" t="n"/>
      <c r="I78" s="52" t="n"/>
      <c r="J78" s="52" t="n"/>
      <c r="K78" s="52" t="n"/>
      <c r="L78" s="52" t="n"/>
      <c r="M78" s="52" t="n"/>
      <c r="N78" s="52" t="n"/>
      <c r="O78" s="52" t="n"/>
      <c r="P78" s="52" t="n"/>
      <c r="Q78" s="52" t="n"/>
      <c r="R78" s="52" t="n"/>
      <c r="S78" s="53" t="n"/>
      <c r="T78" s="46" t="inlineStr">
        <is>
          <t>IF(AQ78="","",AQ78)</t>
        </is>
      </c>
      <c r="U78" s="54" t="n"/>
      <c r="V78" s="55" t="n"/>
      <c r="W78" s="54" t="n"/>
      <c r="X78" s="46" t="inlineStr">
        <is>
          <t>IF(W78&lt;&gt;"",W78,IF(OR(T78="",V78=""),"",EDATE(T78,V78)))</t>
        </is>
      </c>
      <c r="Y78" s="54" t="n"/>
      <c r="Z78" s="55" t="n"/>
      <c r="AA78" s="52" t="n"/>
      <c r="AB78" s="52" t="n"/>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ht="18" customHeight="1">
      <c r="A79" s="42" t="inlineStr">
        <is>
          <t>IF(F79="","",ROW()-3)</t>
        </is>
      </c>
      <c r="B79" s="44" t="n"/>
      <c r="C79" s="44" t="n"/>
      <c r="D79" s="44" t="n"/>
      <c r="E79" s="44" t="n"/>
      <c r="F79" s="44" t="n"/>
      <c r="G79" s="44" t="n"/>
      <c r="H79" s="44" t="n"/>
      <c r="I79" s="44" t="n"/>
      <c r="J79" s="44" t="n"/>
      <c r="K79" s="44" t="n"/>
      <c r="L79" s="44" t="n"/>
      <c r="M79" s="44" t="n"/>
      <c r="N79" s="44" t="n"/>
      <c r="O79" s="44" t="n"/>
      <c r="P79" s="44" t="n"/>
      <c r="Q79" s="44" t="n"/>
      <c r="R79" s="44" t="n"/>
      <c r="S79" s="45" t="n"/>
      <c r="T79" s="46" t="inlineStr">
        <is>
          <t>IF(AQ79="","",AQ79)</t>
        </is>
      </c>
      <c r="U79" s="47" t="n"/>
      <c r="V79" s="48" t="n"/>
      <c r="W79" s="47" t="n"/>
      <c r="X79" s="46" t="inlineStr">
        <is>
          <t>IF(W79&lt;&gt;"",W79,IF(OR(T79="",V79=""),"",EDATE(T79,V79)))</t>
        </is>
      </c>
      <c r="Y79" s="47" t="n"/>
      <c r="Z79" s="48" t="n"/>
      <c r="AA79" s="44" t="n"/>
      <c r="AB79" s="44" t="n"/>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ht="18" customHeight="1">
      <c r="A80" s="42" t="inlineStr">
        <is>
          <t>IF(F80="","",ROW()-3)</t>
        </is>
      </c>
      <c r="B80" s="52" t="n"/>
      <c r="C80" s="52" t="n"/>
      <c r="D80" s="52" t="n"/>
      <c r="E80" s="52" t="n"/>
      <c r="F80" s="52" t="n"/>
      <c r="G80" s="52" t="n"/>
      <c r="H80" s="52" t="n"/>
      <c r="I80" s="52" t="n"/>
      <c r="J80" s="52" t="n"/>
      <c r="K80" s="52" t="n"/>
      <c r="L80" s="52" t="n"/>
      <c r="M80" s="52" t="n"/>
      <c r="N80" s="52" t="n"/>
      <c r="O80" s="52" t="n"/>
      <c r="P80" s="52" t="n"/>
      <c r="Q80" s="52" t="n"/>
      <c r="R80" s="52" t="n"/>
      <c r="S80" s="53" t="n"/>
      <c r="T80" s="46" t="inlineStr">
        <is>
          <t>IF(AQ80="","",AQ80)</t>
        </is>
      </c>
      <c r="U80" s="54" t="n"/>
      <c r="V80" s="55" t="n"/>
      <c r="W80" s="54" t="n"/>
      <c r="X80" s="46" t="inlineStr">
        <is>
          <t>IF(W80&lt;&gt;"",W80,IF(OR(T80="",V80=""),"",EDATE(T80,V80)))</t>
        </is>
      </c>
      <c r="Y80" s="54" t="n"/>
      <c r="Z80" s="55" t="n"/>
      <c r="AA80" s="52" t="n"/>
      <c r="AB80" s="52" t="n"/>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ht="18" customHeight="1">
      <c r="A81" s="42" t="inlineStr">
        <is>
          <t>IF(F81="","",ROW()-3)</t>
        </is>
      </c>
      <c r="B81" s="44" t="n"/>
      <c r="C81" s="44" t="n"/>
      <c r="D81" s="44" t="n"/>
      <c r="E81" s="44" t="n"/>
      <c r="F81" s="44" t="n"/>
      <c r="G81" s="44" t="n"/>
      <c r="H81" s="44" t="n"/>
      <c r="I81" s="44" t="n"/>
      <c r="J81" s="44" t="n"/>
      <c r="K81" s="44" t="n"/>
      <c r="L81" s="44" t="n"/>
      <c r="M81" s="44" t="n"/>
      <c r="N81" s="44" t="n"/>
      <c r="O81" s="44" t="n"/>
      <c r="P81" s="44" t="n"/>
      <c r="Q81" s="44" t="n"/>
      <c r="R81" s="44" t="n"/>
      <c r="S81" s="45" t="n"/>
      <c r="T81" s="46" t="inlineStr">
        <is>
          <t>IF(AQ81="","",AQ81)</t>
        </is>
      </c>
      <c r="U81" s="47" t="n"/>
      <c r="V81" s="48" t="n"/>
      <c r="W81" s="47" t="n"/>
      <c r="X81" s="46" t="inlineStr">
        <is>
          <t>IF(W81&lt;&gt;"",W81,IF(OR(T81="",V81=""),"",EDATE(T81,V81)))</t>
        </is>
      </c>
      <c r="Y81" s="47" t="n"/>
      <c r="Z81" s="48" t="n"/>
      <c r="AA81" s="44" t="n"/>
      <c r="AB81" s="44" t="n"/>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ht="18" customHeight="1">
      <c r="A82" s="42" t="inlineStr">
        <is>
          <t>IF(F82="","",ROW()-3)</t>
        </is>
      </c>
      <c r="B82" s="52" t="n"/>
      <c r="C82" s="52" t="n"/>
      <c r="D82" s="52" t="n"/>
      <c r="E82" s="52" t="n"/>
      <c r="F82" s="52" t="n"/>
      <c r="G82" s="52" t="n"/>
      <c r="H82" s="52" t="n"/>
      <c r="I82" s="52" t="n"/>
      <c r="J82" s="52" t="n"/>
      <c r="K82" s="52" t="n"/>
      <c r="L82" s="52" t="n"/>
      <c r="M82" s="52" t="n"/>
      <c r="N82" s="52" t="n"/>
      <c r="O82" s="52" t="n"/>
      <c r="P82" s="52" t="n"/>
      <c r="Q82" s="52" t="n"/>
      <c r="R82" s="52" t="n"/>
      <c r="S82" s="53" t="n"/>
      <c r="T82" s="46" t="inlineStr">
        <is>
          <t>IF(AQ82="","",AQ82)</t>
        </is>
      </c>
      <c r="U82" s="54" t="n"/>
      <c r="V82" s="55" t="n"/>
      <c r="W82" s="54" t="n"/>
      <c r="X82" s="46" t="inlineStr">
        <is>
          <t>IF(W82&lt;&gt;"",W82,IF(OR(T82="",V82=""),"",EDATE(T82,V82)))</t>
        </is>
      </c>
      <c r="Y82" s="54" t="n"/>
      <c r="Z82" s="55" t="n"/>
      <c r="AA82" s="52" t="n"/>
      <c r="AB82" s="52" t="n"/>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42" t="inlineStr">
        <is>
          <t>IF(F83="","",ROW()-3)</t>
        </is>
      </c>
      <c r="B83" s="44" t="n"/>
      <c r="C83" s="44" t="n"/>
      <c r="D83" s="44" t="n"/>
      <c r="E83" s="44" t="n"/>
      <c r="F83" s="44" t="n"/>
      <c r="G83" s="44" t="n"/>
      <c r="H83" s="44" t="n"/>
      <c r="I83" s="44" t="n"/>
      <c r="J83" s="44" t="n"/>
      <c r="K83" s="44" t="n"/>
      <c r="L83" s="44" t="n"/>
      <c r="M83" s="44" t="n"/>
      <c r="N83" s="44" t="n"/>
      <c r="O83" s="44" t="n"/>
      <c r="P83" s="44" t="n"/>
      <c r="Q83" s="44" t="n"/>
      <c r="R83" s="44" t="n"/>
      <c r="S83" s="45" t="n"/>
      <c r="T83" s="46" t="inlineStr">
        <is>
          <t>IF(AQ83="","",AQ83)</t>
        </is>
      </c>
      <c r="U83" s="47" t="n"/>
      <c r="V83" s="48" t="n"/>
      <c r="W83" s="47" t="n"/>
      <c r="X83" s="46" t="inlineStr">
        <is>
          <t>IF(W83&lt;&gt;"",W83,IF(OR(T83="",V83=""),"",EDATE(T83,V83)))</t>
        </is>
      </c>
      <c r="Y83" s="47" t="n"/>
      <c r="Z83" s="48" t="n"/>
      <c r="AA83" s="44" t="n"/>
      <c r="AB83" s="44" t="n"/>
      <c r="AC83" s="42" t="inlineStr">
        <is>
          <t>IF(F83="","",IF(COUNT(AI83:AV83)=0,IF(AA83="","Not started",AA83),SUBSTITUTE(LOOKUP(2,1/(AI83:AV83&lt;&gt;""),$AI$3:$AV$3),"Date: ","")))</t>
        </is>
      </c>
      <c r="AD83" s="49" t="inlineStr">
        <is>
          <t>IF(OR(F83="",COUNT(AI83:AV83)=0),"",TODAY()-LOOKUP(2,1/(AI83:AV83&lt;&gt;""),AI83:AV83))</t>
        </is>
      </c>
      <c r="AE83" s="49" t="inlineStr">
        <is>
          <t>IF(OR(F83="",COUNT(AI83:AV83)&lt;2),"",LOOKUP(2,1/(AI83:AV83&lt;&gt;""),AI83:AV83)-MIN(AI83:AV83))</t>
        </is>
      </c>
      <c r="AF83" s="49" t="inlineStr">
        <is>
          <t>IF(OR(AD83="",AC83="Not started",AC83=""),"",IFERROR(AD83-IF(VLOOKUP(AC83,'06_Status_Pipeline'!$B$3:$E$20,4,FALSE)="",0,VLOOKUP(AC83,'06_Status_Pipeline'!$B$3:$E$20,4,FALSE)),""))</t>
        </is>
      </c>
      <c r="AG83" s="4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49" t="inlineStr">
        <is>
          <t>IF(OR(F83="",AC83="Completed / Handover",AC83="Cancelled"),"",IF(O83="Not awarded",IF(U83&lt;&gt;"",U83-TODAY(),IF(X83="","",X83-TODAY())),IF(X83="","",X83-TODAY())))</t>
        </is>
      </c>
      <c r="AI83" s="47" t="n"/>
      <c r="AJ83" s="47" t="n"/>
      <c r="AK83" s="47" t="n"/>
      <c r="AL83" s="47" t="n"/>
      <c r="AM83" s="47" t="n"/>
      <c r="AN83" s="47" t="n"/>
      <c r="AO83" s="47" t="n"/>
      <c r="AP83" s="47" t="n"/>
      <c r="AQ83" s="47" t="n"/>
      <c r="AR83" s="47" t="n"/>
      <c r="AS83" s="47" t="n"/>
      <c r="AT83" s="50" t="n"/>
      <c r="AU83" s="50" t="n"/>
      <c r="AV83" s="50" t="n"/>
      <c r="AW83" s="49" t="inlineStr">
        <is>
          <t>IF(OR(F83="",AJ83=""),"",IF(COUNT(AI83:AI83)=0,"",AJ83-LOOKUP(2,1/(AI83:AI83&lt;&gt;""),AI83:AI83)))</t>
        </is>
      </c>
      <c r="AX83" s="49" t="inlineStr">
        <is>
          <t>IF(OR(F83="",AK83=""),"",IF(COUNT(AI83:AJ83)=0,"",AK83-LOOKUP(2,1/(AI83:AJ83&lt;&gt;""),AI83:AJ83)))</t>
        </is>
      </c>
      <c r="AY83" s="49" t="inlineStr">
        <is>
          <t>IF(OR(F83="",AL83=""),"",IF(COUNT(AI83:AK83)=0,"",AL83-LOOKUP(2,1/(AI83:AK83&lt;&gt;""),AI83:AK83)))</t>
        </is>
      </c>
      <c r="AZ83" s="49" t="inlineStr">
        <is>
          <t>IF(OR(F83="",AM83=""),"",IF(COUNT(AI83:AL83)=0,"",AM83-LOOKUP(2,1/(AI83:AL83&lt;&gt;""),AI83:AL83)))</t>
        </is>
      </c>
      <c r="BA83" s="49" t="inlineStr">
        <is>
          <t>IF(OR(F83="",AN83=""),"",IF(COUNT(AI83:AM83)=0,"",AN83-LOOKUP(2,1/(AI83:AM83&lt;&gt;""),AI83:AM83)))</t>
        </is>
      </c>
      <c r="BB83" s="49" t="inlineStr">
        <is>
          <t>IF(OR(F83="",AO83=""),"",IF(COUNT(AI83:AN83)=0,"",AO83-LOOKUP(2,1/(AI83:AN83&lt;&gt;""),AI83:AN83)))</t>
        </is>
      </c>
      <c r="BC83" s="49" t="inlineStr">
        <is>
          <t>IF(OR(F83="",AP83=""),"",IF(COUNT(AI83:AO83)=0,"",AP83-LOOKUP(2,1/(AI83:AO83&lt;&gt;""),AI83:AO83)))</t>
        </is>
      </c>
      <c r="BD83" s="49" t="inlineStr">
        <is>
          <t>IF(OR(F83="",AQ83=""),"",IF(COUNT(AI83:AP83)=0,"",AQ83-LOOKUP(2,1/(AI83:AP83&lt;&gt;""),AI83:AP83)))</t>
        </is>
      </c>
      <c r="BE83" s="49" t="inlineStr">
        <is>
          <t>IF(OR(F83="",AR83=""),"",IF(COUNT(AI83:AQ83)=0,"",AR83-LOOKUP(2,1/(AI83:AQ83&lt;&gt;""),AI83:AQ83)))</t>
        </is>
      </c>
      <c r="BF83" s="49" t="inlineStr">
        <is>
          <t>IF(OR(F83="",AS83=""),"",IF(COUNT(AI83:AR83)=0,"",AS83-LOOKUP(2,1/(AI83:AR83&lt;&gt;""),AI83:AR83)))</t>
        </is>
      </c>
      <c r="BG83" s="49" t="inlineStr">
        <is>
          <t>IF(OR(F83="",AT83=""),"",IF(COUNT(AI83:AS83)=0,"",AT83-LOOKUP(2,1/(AI83:AS83&lt;&gt;""),AI83:AS83)))</t>
        </is>
      </c>
      <c r="BH83" s="49" t="inlineStr">
        <is>
          <t>IF(OR(F83="",AU83=""),"",IF(COUNT(AI83:AT83)=0,"",AU83-LOOKUP(2,1/(AI83:AT83&lt;&gt;""),AI83:AT83)))</t>
        </is>
      </c>
      <c r="BI83" s="49" t="inlineStr">
        <is>
          <t>IF(OR(F83="",AV83=""),"",IF(COUNT(AI83:AU83)=0,"",AV83-LOOKUP(2,1/(AI83:AU83&lt;&gt;""),AI83:AU83)))</t>
        </is>
      </c>
      <c r="BJ83" s="51" t="inlineStr">
        <is>
          <t>IF(J83="","All_Provinces",IFERROR(VLOOKUP(J83,'09_Lookups'!$A$4:$B$20,2,FALSE),"All_Provinces"))</t>
        </is>
      </c>
      <c r="BK83" s="51" t="inlineStr">
        <is>
          <t>IF(K83="","All_Districts",IFERROR(VLOOKUP(K83,'09_Lookups'!$E$4:$F$42,2,FALSE),"All_Districts"))</t>
        </is>
      </c>
    </row>
    <row r="84" ht="18" customHeight="1">
      <c r="A84" s="42" t="inlineStr">
        <is>
          <t>IF(F84="","",ROW()-3)</t>
        </is>
      </c>
      <c r="B84" s="52" t="n"/>
      <c r="C84" s="52" t="n"/>
      <c r="D84" s="52" t="n"/>
      <c r="E84" s="52" t="n"/>
      <c r="F84" s="52" t="n"/>
      <c r="G84" s="52" t="n"/>
      <c r="H84" s="52" t="n"/>
      <c r="I84" s="52" t="n"/>
      <c r="J84" s="52" t="n"/>
      <c r="K84" s="52" t="n"/>
      <c r="L84" s="52" t="n"/>
      <c r="M84" s="52" t="n"/>
      <c r="N84" s="52" t="n"/>
      <c r="O84" s="52" t="n"/>
      <c r="P84" s="52" t="n"/>
      <c r="Q84" s="52" t="n"/>
      <c r="R84" s="52" t="n"/>
      <c r="S84" s="53" t="n"/>
      <c r="T84" s="46" t="inlineStr">
        <is>
          <t>IF(AQ84="","",AQ84)</t>
        </is>
      </c>
      <c r="U84" s="54" t="n"/>
      <c r="V84" s="55" t="n"/>
      <c r="W84" s="54" t="n"/>
      <c r="X84" s="46" t="inlineStr">
        <is>
          <t>IF(W84&lt;&gt;"",W84,IF(OR(T84="",V84=""),"",EDATE(T84,V84)))</t>
        </is>
      </c>
      <c r="Y84" s="54" t="n"/>
      <c r="Z84" s="55" t="n"/>
      <c r="AA84" s="52" t="n"/>
      <c r="AB84" s="52" t="n"/>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ht="18" customHeight="1">
      <c r="A85" s="42" t="inlineStr">
        <is>
          <t>IF(F85="","",ROW()-3)</t>
        </is>
      </c>
      <c r="B85" s="44" t="n"/>
      <c r="C85" s="44" t="n"/>
      <c r="D85" s="44" t="n"/>
      <c r="E85" s="44" t="n"/>
      <c r="F85" s="44" t="n"/>
      <c r="G85" s="44" t="n"/>
      <c r="H85" s="44" t="n"/>
      <c r="I85" s="44" t="n"/>
      <c r="J85" s="44" t="n"/>
      <c r="K85" s="44" t="n"/>
      <c r="L85" s="44" t="n"/>
      <c r="M85" s="44" t="n"/>
      <c r="N85" s="44" t="n"/>
      <c r="O85" s="44" t="n"/>
      <c r="P85" s="44" t="n"/>
      <c r="Q85" s="44" t="n"/>
      <c r="R85" s="44" t="n"/>
      <c r="S85" s="45" t="n"/>
      <c r="T85" s="46" t="inlineStr">
        <is>
          <t>IF(AQ85="","",AQ85)</t>
        </is>
      </c>
      <c r="U85" s="47" t="n"/>
      <c r="V85" s="48" t="n"/>
      <c r="W85" s="47" t="n"/>
      <c r="X85" s="46" t="inlineStr">
        <is>
          <t>IF(W85&lt;&gt;"",W85,IF(OR(T85="",V85=""),"",EDATE(T85,V85)))</t>
        </is>
      </c>
      <c r="Y85" s="47" t="n"/>
      <c r="Z85" s="48" t="n"/>
      <c r="AA85" s="44" t="n"/>
      <c r="AB85" s="44" t="n"/>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ht="18" customHeight="1">
      <c r="A86" s="42" t="inlineStr">
        <is>
          <t>IF(F86="","",ROW()-3)</t>
        </is>
      </c>
      <c r="B86" s="52" t="n"/>
      <c r="C86" s="52" t="n"/>
      <c r="D86" s="52" t="n"/>
      <c r="E86" s="52" t="n"/>
      <c r="F86" s="52" t="n"/>
      <c r="G86" s="52" t="n"/>
      <c r="H86" s="52" t="n"/>
      <c r="I86" s="52" t="n"/>
      <c r="J86" s="52" t="n"/>
      <c r="K86" s="52" t="n"/>
      <c r="L86" s="52" t="n"/>
      <c r="M86" s="52" t="n"/>
      <c r="N86" s="52" t="n"/>
      <c r="O86" s="52" t="n"/>
      <c r="P86" s="52" t="n"/>
      <c r="Q86" s="52" t="n"/>
      <c r="R86" s="52" t="n"/>
      <c r="S86" s="53" t="n"/>
      <c r="T86" s="46" t="inlineStr">
        <is>
          <t>IF(AQ86="","",AQ86)</t>
        </is>
      </c>
      <c r="U86" s="54" t="n"/>
      <c r="V86" s="55" t="n"/>
      <c r="W86" s="54" t="n"/>
      <c r="X86" s="46" t="inlineStr">
        <is>
          <t>IF(W86&lt;&gt;"",W86,IF(OR(T86="",V86=""),"",EDATE(T86,V86)))</t>
        </is>
      </c>
      <c r="Y86" s="54" t="n"/>
      <c r="Z86" s="55" t="n"/>
      <c r="AA86" s="52" t="n"/>
      <c r="AB86" s="52" t="n"/>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ht="18" customHeight="1">
      <c r="A87" s="42" t="inlineStr">
        <is>
          <t>IF(F87="","",ROW()-3)</t>
        </is>
      </c>
      <c r="B87" s="44" t="n"/>
      <c r="C87" s="44" t="n"/>
      <c r="D87" s="44" t="n"/>
      <c r="E87" s="44" t="n"/>
      <c r="F87" s="44" t="n"/>
      <c r="G87" s="44" t="n"/>
      <c r="H87" s="44" t="n"/>
      <c r="I87" s="44" t="n"/>
      <c r="J87" s="44" t="n"/>
      <c r="K87" s="44" t="n"/>
      <c r="L87" s="44" t="n"/>
      <c r="M87" s="44" t="n"/>
      <c r="N87" s="44" t="n"/>
      <c r="O87" s="44" t="n"/>
      <c r="P87" s="44" t="n"/>
      <c r="Q87" s="44" t="n"/>
      <c r="R87" s="44" t="n"/>
      <c r="S87" s="45" t="n"/>
      <c r="T87" s="46" t="inlineStr">
        <is>
          <t>IF(AQ87="","",AQ87)</t>
        </is>
      </c>
      <c r="U87" s="47" t="n"/>
      <c r="V87" s="48" t="n"/>
      <c r="W87" s="47" t="n"/>
      <c r="X87" s="46" t="inlineStr">
        <is>
          <t>IF(W87&lt;&gt;"",W87,IF(OR(T87="",V87=""),"",EDATE(T87,V87)))</t>
        </is>
      </c>
      <c r="Y87" s="47" t="n"/>
      <c r="Z87" s="48" t="n"/>
      <c r="AA87" s="44" t="n"/>
      <c r="AB87" s="44" t="n"/>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ht="18" customHeight="1">
      <c r="A88" s="42" t="inlineStr">
        <is>
          <t>IF(F88="","",ROW()-3)</t>
        </is>
      </c>
      <c r="B88" s="52" t="n"/>
      <c r="C88" s="52" t="n"/>
      <c r="D88" s="52" t="n"/>
      <c r="E88" s="52" t="n"/>
      <c r="F88" s="52" t="n"/>
      <c r="G88" s="52" t="n"/>
      <c r="H88" s="52" t="n"/>
      <c r="I88" s="52" t="n"/>
      <c r="J88" s="52" t="n"/>
      <c r="K88" s="52" t="n"/>
      <c r="L88" s="52" t="n"/>
      <c r="M88" s="52" t="n"/>
      <c r="N88" s="52" t="n"/>
      <c r="O88" s="52" t="n"/>
      <c r="P88" s="52" t="n"/>
      <c r="Q88" s="52" t="n"/>
      <c r="R88" s="52" t="n"/>
      <c r="S88" s="53" t="n"/>
      <c r="T88" s="46" t="inlineStr">
        <is>
          <t>IF(AQ88="","",AQ88)</t>
        </is>
      </c>
      <c r="U88" s="54" t="n"/>
      <c r="V88" s="55" t="n"/>
      <c r="W88" s="54" t="n"/>
      <c r="X88" s="46" t="inlineStr">
        <is>
          <t>IF(W88&lt;&gt;"",W88,IF(OR(T88="",V88=""),"",EDATE(T88,V88)))</t>
        </is>
      </c>
      <c r="Y88" s="54" t="n"/>
      <c r="Z88" s="55" t="n"/>
      <c r="AA88" s="52" t="n"/>
      <c r="AB88" s="52" t="n"/>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ht="18" customHeight="1">
      <c r="A89" s="42" t="inlineStr">
        <is>
          <t>IF(F89="","",ROW()-3)</t>
        </is>
      </c>
      <c r="B89" s="44" t="n"/>
      <c r="C89" s="44" t="n"/>
      <c r="D89" s="44" t="n"/>
      <c r="E89" s="44" t="n"/>
      <c r="F89" s="44" t="n"/>
      <c r="G89" s="44" t="n"/>
      <c r="H89" s="44" t="n"/>
      <c r="I89" s="44" t="n"/>
      <c r="J89" s="44" t="n"/>
      <c r="K89" s="44" t="n"/>
      <c r="L89" s="44" t="n"/>
      <c r="M89" s="44" t="n"/>
      <c r="N89" s="44" t="n"/>
      <c r="O89" s="44" t="n"/>
      <c r="P89" s="44" t="n"/>
      <c r="Q89" s="44" t="n"/>
      <c r="R89" s="44" t="n"/>
      <c r="S89" s="45" t="n"/>
      <c r="T89" s="46" t="inlineStr">
        <is>
          <t>IF(AQ89="","",AQ89)</t>
        </is>
      </c>
      <c r="U89" s="47" t="n"/>
      <c r="V89" s="48" t="n"/>
      <c r="W89" s="47" t="n"/>
      <c r="X89" s="46" t="inlineStr">
        <is>
          <t>IF(W89&lt;&gt;"",W89,IF(OR(T89="",V89=""),"",EDATE(T89,V89)))</t>
        </is>
      </c>
      <c r="Y89" s="47" t="n"/>
      <c r="Z89" s="48" t="n"/>
      <c r="AA89" s="44" t="n"/>
      <c r="AB89" s="44" t="n"/>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ht="18" customHeight="1">
      <c r="A90" s="42" t="inlineStr">
        <is>
          <t>IF(F90="","",ROW()-3)</t>
        </is>
      </c>
      <c r="B90" s="52" t="n"/>
      <c r="C90" s="52" t="n"/>
      <c r="D90" s="52" t="n"/>
      <c r="E90" s="52" t="n"/>
      <c r="F90" s="52" t="n"/>
      <c r="G90" s="52" t="n"/>
      <c r="H90" s="52" t="n"/>
      <c r="I90" s="52" t="n"/>
      <c r="J90" s="52" t="n"/>
      <c r="K90" s="52" t="n"/>
      <c r="L90" s="52" t="n"/>
      <c r="M90" s="52" t="n"/>
      <c r="N90" s="52" t="n"/>
      <c r="O90" s="52" t="n"/>
      <c r="P90" s="52" t="n"/>
      <c r="Q90" s="52" t="n"/>
      <c r="R90" s="52" t="n"/>
      <c r="S90" s="53" t="n"/>
      <c r="T90" s="46" t="inlineStr">
        <is>
          <t>IF(AQ90="","",AQ90)</t>
        </is>
      </c>
      <c r="U90" s="54" t="n"/>
      <c r="V90" s="55" t="n"/>
      <c r="W90" s="54" t="n"/>
      <c r="X90" s="46" t="inlineStr">
        <is>
          <t>IF(W90&lt;&gt;"",W90,IF(OR(T90="",V90=""),"",EDATE(T90,V90)))</t>
        </is>
      </c>
      <c r="Y90" s="54" t="n"/>
      <c r="Z90" s="55" t="n"/>
      <c r="AA90" s="52" t="n"/>
      <c r="AB90" s="52" t="n"/>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ht="18" customHeight="1">
      <c r="A91" s="42" t="inlineStr">
        <is>
          <t>IF(F91="","",ROW()-3)</t>
        </is>
      </c>
      <c r="B91" s="44" t="n"/>
      <c r="C91" s="44" t="n"/>
      <c r="D91" s="44" t="n"/>
      <c r="E91" s="44" t="n"/>
      <c r="F91" s="44" t="n"/>
      <c r="G91" s="44" t="n"/>
      <c r="H91" s="44" t="n"/>
      <c r="I91" s="44" t="n"/>
      <c r="J91" s="44" t="n"/>
      <c r="K91" s="44" t="n"/>
      <c r="L91" s="44" t="n"/>
      <c r="M91" s="44" t="n"/>
      <c r="N91" s="44" t="n"/>
      <c r="O91" s="44" t="n"/>
      <c r="P91" s="44" t="n"/>
      <c r="Q91" s="44" t="n"/>
      <c r="R91" s="44" t="n"/>
      <c r="S91" s="45" t="n"/>
      <c r="T91" s="46" t="inlineStr">
        <is>
          <t>IF(AQ91="","",AQ91)</t>
        </is>
      </c>
      <c r="U91" s="47" t="n"/>
      <c r="V91" s="48" t="n"/>
      <c r="W91" s="47" t="n"/>
      <c r="X91" s="46" t="inlineStr">
        <is>
          <t>IF(W91&lt;&gt;"",W91,IF(OR(T91="",V91=""),"",EDATE(T91,V91)))</t>
        </is>
      </c>
      <c r="Y91" s="47" t="n"/>
      <c r="Z91" s="48" t="n"/>
      <c r="AA91" s="44" t="n"/>
      <c r="AB91" s="44" t="n"/>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ht="18" customHeight="1">
      <c r="A92" s="42" t="inlineStr">
        <is>
          <t>IF(F92="","",ROW()-3)</t>
        </is>
      </c>
      <c r="B92" s="52" t="n"/>
      <c r="C92" s="52" t="n"/>
      <c r="D92" s="52" t="n"/>
      <c r="E92" s="52" t="n"/>
      <c r="F92" s="52" t="n"/>
      <c r="G92" s="52" t="n"/>
      <c r="H92" s="52" t="n"/>
      <c r="I92" s="52" t="n"/>
      <c r="J92" s="52" t="n"/>
      <c r="K92" s="52" t="n"/>
      <c r="L92" s="52" t="n"/>
      <c r="M92" s="52" t="n"/>
      <c r="N92" s="52" t="n"/>
      <c r="O92" s="52" t="n"/>
      <c r="P92" s="52" t="n"/>
      <c r="Q92" s="52" t="n"/>
      <c r="R92" s="52" t="n"/>
      <c r="S92" s="53" t="n"/>
      <c r="T92" s="46" t="inlineStr">
        <is>
          <t>IF(AQ92="","",AQ92)</t>
        </is>
      </c>
      <c r="U92" s="54" t="n"/>
      <c r="V92" s="55" t="n"/>
      <c r="W92" s="54" t="n"/>
      <c r="X92" s="46" t="inlineStr">
        <is>
          <t>IF(W92&lt;&gt;"",W92,IF(OR(T92="",V92=""),"",EDATE(T92,V92)))</t>
        </is>
      </c>
      <c r="Y92" s="54" t="n"/>
      <c r="Z92" s="55" t="n"/>
      <c r="AA92" s="52" t="n"/>
      <c r="AB92" s="52" t="n"/>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ht="18" customHeight="1">
      <c r="A93" s="42" t="inlineStr">
        <is>
          <t>IF(F93="","",ROW()-3)</t>
        </is>
      </c>
      <c r="B93" s="44" t="n"/>
      <c r="C93" s="44" t="n"/>
      <c r="D93" s="44" t="n"/>
      <c r="E93" s="44" t="n"/>
      <c r="F93" s="44" t="n"/>
      <c r="G93" s="44" t="n"/>
      <c r="H93" s="44" t="n"/>
      <c r="I93" s="44" t="n"/>
      <c r="J93" s="44" t="n"/>
      <c r="K93" s="44" t="n"/>
      <c r="L93" s="44" t="n"/>
      <c r="M93" s="44" t="n"/>
      <c r="N93" s="44" t="n"/>
      <c r="O93" s="44" t="n"/>
      <c r="P93" s="44" t="n"/>
      <c r="Q93" s="44" t="n"/>
      <c r="R93" s="44" t="n"/>
      <c r="S93" s="45" t="n"/>
      <c r="T93" s="46" t="inlineStr">
        <is>
          <t>IF(AQ93="","",AQ93)</t>
        </is>
      </c>
      <c r="U93" s="47" t="n"/>
      <c r="V93" s="48" t="n"/>
      <c r="W93" s="47" t="n"/>
      <c r="X93" s="46" t="inlineStr">
        <is>
          <t>IF(W93&lt;&gt;"",W93,IF(OR(T93="",V93=""),"",EDATE(T93,V93)))</t>
        </is>
      </c>
      <c r="Y93" s="47" t="n"/>
      <c r="Z93" s="48" t="n"/>
      <c r="AA93" s="44" t="n"/>
      <c r="AB93" s="44" t="n"/>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ht="18" customHeight="1">
      <c r="A94" s="42" t="inlineStr">
        <is>
          <t>IF(F94="","",ROW()-3)</t>
        </is>
      </c>
      <c r="B94" s="52" t="n"/>
      <c r="C94" s="52" t="n"/>
      <c r="D94" s="52" t="n"/>
      <c r="E94" s="52" t="n"/>
      <c r="F94" s="52" t="n"/>
      <c r="G94" s="52" t="n"/>
      <c r="H94" s="52" t="n"/>
      <c r="I94" s="52" t="n"/>
      <c r="J94" s="52" t="n"/>
      <c r="K94" s="52" t="n"/>
      <c r="L94" s="52" t="n"/>
      <c r="M94" s="52" t="n"/>
      <c r="N94" s="52" t="n"/>
      <c r="O94" s="52" t="n"/>
      <c r="P94" s="52" t="n"/>
      <c r="Q94" s="52" t="n"/>
      <c r="R94" s="52" t="n"/>
      <c r="S94" s="53" t="n"/>
      <c r="T94" s="46" t="inlineStr">
        <is>
          <t>IF(AQ94="","",AQ94)</t>
        </is>
      </c>
      <c r="U94" s="54" t="n"/>
      <c r="V94" s="55" t="n"/>
      <c r="W94" s="54" t="n"/>
      <c r="X94" s="46" t="inlineStr">
        <is>
          <t>IF(W94&lt;&gt;"",W94,IF(OR(T94="",V94=""),"",EDATE(T94,V94)))</t>
        </is>
      </c>
      <c r="Y94" s="54" t="n"/>
      <c r="Z94" s="55" t="n"/>
      <c r="AA94" s="52" t="n"/>
      <c r="AB94" s="52" t="n"/>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42" t="inlineStr">
        <is>
          <t>IF(F95="","",ROW()-3)</t>
        </is>
      </c>
      <c r="B95" s="44" t="n"/>
      <c r="C95" s="44" t="n"/>
      <c r="D95" s="44" t="n"/>
      <c r="E95" s="44" t="n"/>
      <c r="F95" s="44" t="n"/>
      <c r="G95" s="44" t="n"/>
      <c r="H95" s="44" t="n"/>
      <c r="I95" s="44" t="n"/>
      <c r="J95" s="44" t="n"/>
      <c r="K95" s="44" t="n"/>
      <c r="L95" s="44" t="n"/>
      <c r="M95" s="44" t="n"/>
      <c r="N95" s="44" t="n"/>
      <c r="O95" s="44" t="n"/>
      <c r="P95" s="44" t="n"/>
      <c r="Q95" s="44" t="n"/>
      <c r="R95" s="44" t="n"/>
      <c r="S95" s="45" t="n"/>
      <c r="T95" s="46" t="inlineStr">
        <is>
          <t>IF(AQ95="","",AQ95)</t>
        </is>
      </c>
      <c r="U95" s="47" t="n"/>
      <c r="V95" s="48" t="n"/>
      <c r="W95" s="47" t="n"/>
      <c r="X95" s="46" t="inlineStr">
        <is>
          <t>IF(W95&lt;&gt;"",W95,IF(OR(T95="",V95=""),"",EDATE(T95,V95)))</t>
        </is>
      </c>
      <c r="Y95" s="47" t="n"/>
      <c r="Z95" s="48" t="n"/>
      <c r="AA95" s="44" t="n"/>
      <c r="AB95" s="44" t="n"/>
      <c r="AC95" s="42" t="inlineStr">
        <is>
          <t>IF(F95="","",IF(COUNT(AI95:AV95)=0,IF(AA95="","Not started",AA95),SUBSTITUTE(LOOKUP(2,1/(AI95:AV95&lt;&gt;""),$AI$3:$AV$3),"Date: ","")))</t>
        </is>
      </c>
      <c r="AD95" s="49" t="inlineStr">
        <is>
          <t>IF(OR(F95="",COUNT(AI95:AV95)=0),"",TODAY()-LOOKUP(2,1/(AI95:AV95&lt;&gt;""),AI95:AV95))</t>
        </is>
      </c>
      <c r="AE95" s="49" t="inlineStr">
        <is>
          <t>IF(OR(F95="",COUNT(AI95:AV95)&lt;2),"",LOOKUP(2,1/(AI95:AV95&lt;&gt;""),AI95:AV95)-MIN(AI95:AV95))</t>
        </is>
      </c>
      <c r="AF95" s="49" t="inlineStr">
        <is>
          <t>IF(OR(AD95="",AC95="Not started",AC95=""),"",IFERROR(AD95-IF(VLOOKUP(AC95,'06_Status_Pipeline'!$B$3:$E$20,4,FALSE)="",0,VLOOKUP(AC95,'06_Status_Pipeline'!$B$3:$E$20,4,FALSE)),""))</t>
        </is>
      </c>
      <c r="AG95" s="4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49" t="inlineStr">
        <is>
          <t>IF(OR(F95="",AC95="Completed / Handover",AC95="Cancelled"),"",IF(O95="Not awarded",IF(U95&lt;&gt;"",U95-TODAY(),IF(X95="","",X95-TODAY())),IF(X95="","",X95-TODAY())))</t>
        </is>
      </c>
      <c r="AI95" s="47" t="n"/>
      <c r="AJ95" s="47" t="n"/>
      <c r="AK95" s="47" t="n"/>
      <c r="AL95" s="47" t="n"/>
      <c r="AM95" s="47" t="n"/>
      <c r="AN95" s="47" t="n"/>
      <c r="AO95" s="47" t="n"/>
      <c r="AP95" s="47" t="n"/>
      <c r="AQ95" s="47" t="n"/>
      <c r="AR95" s="47" t="n"/>
      <c r="AS95" s="47" t="n"/>
      <c r="AT95" s="50" t="n"/>
      <c r="AU95" s="50" t="n"/>
      <c r="AV95" s="50" t="n"/>
      <c r="AW95" s="49" t="inlineStr">
        <is>
          <t>IF(OR(F95="",AJ95=""),"",IF(COUNT(AI95:AI95)=0,"",AJ95-LOOKUP(2,1/(AI95:AI95&lt;&gt;""),AI95:AI95)))</t>
        </is>
      </c>
      <c r="AX95" s="49" t="inlineStr">
        <is>
          <t>IF(OR(F95="",AK95=""),"",IF(COUNT(AI95:AJ95)=0,"",AK95-LOOKUP(2,1/(AI95:AJ95&lt;&gt;""),AI95:AJ95)))</t>
        </is>
      </c>
      <c r="AY95" s="49" t="inlineStr">
        <is>
          <t>IF(OR(F95="",AL95=""),"",IF(COUNT(AI95:AK95)=0,"",AL95-LOOKUP(2,1/(AI95:AK95&lt;&gt;""),AI95:AK95)))</t>
        </is>
      </c>
      <c r="AZ95" s="49" t="inlineStr">
        <is>
          <t>IF(OR(F95="",AM95=""),"",IF(COUNT(AI95:AL95)=0,"",AM95-LOOKUP(2,1/(AI95:AL95&lt;&gt;""),AI95:AL95)))</t>
        </is>
      </c>
      <c r="BA95" s="49" t="inlineStr">
        <is>
          <t>IF(OR(F95="",AN95=""),"",IF(COUNT(AI95:AM95)=0,"",AN95-LOOKUP(2,1/(AI95:AM95&lt;&gt;""),AI95:AM95)))</t>
        </is>
      </c>
      <c r="BB95" s="49" t="inlineStr">
        <is>
          <t>IF(OR(F95="",AO95=""),"",IF(COUNT(AI95:AN95)=0,"",AO95-LOOKUP(2,1/(AI95:AN95&lt;&gt;""),AI95:AN95)))</t>
        </is>
      </c>
      <c r="BC95" s="49" t="inlineStr">
        <is>
          <t>IF(OR(F95="",AP95=""),"",IF(COUNT(AI95:AO95)=0,"",AP95-LOOKUP(2,1/(AI95:AO95&lt;&gt;""),AI95:AO95)))</t>
        </is>
      </c>
      <c r="BD95" s="49" t="inlineStr">
        <is>
          <t>IF(OR(F95="",AQ95=""),"",IF(COUNT(AI95:AP95)=0,"",AQ95-LOOKUP(2,1/(AI95:AP95&lt;&gt;""),AI95:AP95)))</t>
        </is>
      </c>
      <c r="BE95" s="49" t="inlineStr">
        <is>
          <t>IF(OR(F95="",AR95=""),"",IF(COUNT(AI95:AQ95)=0,"",AR95-LOOKUP(2,1/(AI95:AQ95&lt;&gt;""),AI95:AQ95)))</t>
        </is>
      </c>
      <c r="BF95" s="49" t="inlineStr">
        <is>
          <t>IF(OR(F95="",AS95=""),"",IF(COUNT(AI95:AR95)=0,"",AS95-LOOKUP(2,1/(AI95:AR95&lt;&gt;""),AI95:AR95)))</t>
        </is>
      </c>
      <c r="BG95" s="49" t="inlineStr">
        <is>
          <t>IF(OR(F95="",AT95=""),"",IF(COUNT(AI95:AS95)=0,"",AT95-LOOKUP(2,1/(AI95:AS95&lt;&gt;""),AI95:AS95)))</t>
        </is>
      </c>
      <c r="BH95" s="49" t="inlineStr">
        <is>
          <t>IF(OR(F95="",AU95=""),"",IF(COUNT(AI95:AT95)=0,"",AU95-LOOKUP(2,1/(AI95:AT95&lt;&gt;""),AI95:AT95)))</t>
        </is>
      </c>
      <c r="BI95" s="49" t="inlineStr">
        <is>
          <t>IF(OR(F95="",AV95=""),"",IF(COUNT(AI95:AU95)=0,"",AV95-LOOKUP(2,1/(AI95:AU95&lt;&gt;""),AI95:AU95)))</t>
        </is>
      </c>
      <c r="BJ95" s="51" t="inlineStr">
        <is>
          <t>IF(J95="","All_Provinces",IFERROR(VLOOKUP(J95,'09_Lookups'!$A$4:$B$20,2,FALSE),"All_Provinces"))</t>
        </is>
      </c>
      <c r="BK95" s="51" t="inlineStr">
        <is>
          <t>IF(K95="","All_Districts",IFERROR(VLOOKUP(K95,'09_Lookups'!$E$4:$F$42,2,FALSE),"All_Districts"))</t>
        </is>
      </c>
    </row>
    <row r="96" ht="18" customHeight="1">
      <c r="A96" s="42" t="inlineStr">
        <is>
          <t>IF(F96="","",ROW()-3)</t>
        </is>
      </c>
      <c r="B96" s="52" t="n"/>
      <c r="C96" s="52" t="n"/>
      <c r="D96" s="52" t="n"/>
      <c r="E96" s="52" t="n"/>
      <c r="F96" s="52" t="n"/>
      <c r="G96" s="52" t="n"/>
      <c r="H96" s="52" t="n"/>
      <c r="I96" s="52" t="n"/>
      <c r="J96" s="52" t="n"/>
      <c r="K96" s="52" t="n"/>
      <c r="L96" s="52" t="n"/>
      <c r="M96" s="52" t="n"/>
      <c r="N96" s="52" t="n"/>
      <c r="O96" s="52" t="n"/>
      <c r="P96" s="52" t="n"/>
      <c r="Q96" s="52" t="n"/>
      <c r="R96" s="52" t="n"/>
      <c r="S96" s="53" t="n"/>
      <c r="T96" s="46" t="inlineStr">
        <is>
          <t>IF(AQ96="","",AQ96)</t>
        </is>
      </c>
      <c r="U96" s="54" t="n"/>
      <c r="V96" s="55" t="n"/>
      <c r="W96" s="54" t="n"/>
      <c r="X96" s="46" t="inlineStr">
        <is>
          <t>IF(W96&lt;&gt;"",W96,IF(OR(T96="",V96=""),"",EDATE(T96,V96)))</t>
        </is>
      </c>
      <c r="Y96" s="54" t="n"/>
      <c r="Z96" s="55" t="n"/>
      <c r="AA96" s="52" t="n"/>
      <c r="AB96" s="52" t="n"/>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ht="18" customHeight="1">
      <c r="A97" s="42" t="inlineStr">
        <is>
          <t>IF(F97="","",ROW()-3)</t>
        </is>
      </c>
      <c r="B97" s="44" t="n"/>
      <c r="C97" s="44" t="n"/>
      <c r="D97" s="44" t="n"/>
      <c r="E97" s="44" t="n"/>
      <c r="F97" s="44" t="n"/>
      <c r="G97" s="44" t="n"/>
      <c r="H97" s="44" t="n"/>
      <c r="I97" s="44" t="n"/>
      <c r="J97" s="44" t="n"/>
      <c r="K97" s="44" t="n"/>
      <c r="L97" s="44" t="n"/>
      <c r="M97" s="44" t="n"/>
      <c r="N97" s="44" t="n"/>
      <c r="O97" s="44" t="n"/>
      <c r="P97" s="44" t="n"/>
      <c r="Q97" s="44" t="n"/>
      <c r="R97" s="44" t="n"/>
      <c r="S97" s="45" t="n"/>
      <c r="T97" s="46" t="inlineStr">
        <is>
          <t>IF(AQ97="","",AQ97)</t>
        </is>
      </c>
      <c r="U97" s="47" t="n"/>
      <c r="V97" s="48" t="n"/>
      <c r="W97" s="47" t="n"/>
      <c r="X97" s="46" t="inlineStr">
        <is>
          <t>IF(W97&lt;&gt;"",W97,IF(OR(T97="",V97=""),"",EDATE(T97,V97)))</t>
        </is>
      </c>
      <c r="Y97" s="47" t="n"/>
      <c r="Z97" s="48" t="n"/>
      <c r="AA97" s="44" t="n"/>
      <c r="AB97" s="44" t="n"/>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ht="18" customHeight="1">
      <c r="A98" s="42" t="inlineStr">
        <is>
          <t>IF(F98="","",ROW()-3)</t>
        </is>
      </c>
      <c r="B98" s="52" t="n"/>
      <c r="C98" s="52" t="n"/>
      <c r="D98" s="52" t="n"/>
      <c r="E98" s="52" t="n"/>
      <c r="F98" s="52" t="n"/>
      <c r="G98" s="52" t="n"/>
      <c r="H98" s="52" t="n"/>
      <c r="I98" s="52" t="n"/>
      <c r="J98" s="52" t="n"/>
      <c r="K98" s="52" t="n"/>
      <c r="L98" s="52" t="n"/>
      <c r="M98" s="52" t="n"/>
      <c r="N98" s="52" t="n"/>
      <c r="O98" s="52" t="n"/>
      <c r="P98" s="52" t="n"/>
      <c r="Q98" s="52" t="n"/>
      <c r="R98" s="52" t="n"/>
      <c r="S98" s="53" t="n"/>
      <c r="T98" s="46" t="inlineStr">
        <is>
          <t>IF(AQ98="","",AQ98)</t>
        </is>
      </c>
      <c r="U98" s="54" t="n"/>
      <c r="V98" s="55" t="n"/>
      <c r="W98" s="54" t="n"/>
      <c r="X98" s="46" t="inlineStr">
        <is>
          <t>IF(W98&lt;&gt;"",W98,IF(OR(T98="",V98=""),"",EDATE(T98,V98)))</t>
        </is>
      </c>
      <c r="Y98" s="54" t="n"/>
      <c r="Z98" s="55" t="n"/>
      <c r="AA98" s="52" t="n"/>
      <c r="AB98" s="52" t="n"/>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ht="18" customHeight="1">
      <c r="A99" s="42" t="inlineStr">
        <is>
          <t>IF(F99="","",ROW()-3)</t>
        </is>
      </c>
      <c r="B99" s="44" t="n"/>
      <c r="C99" s="44" t="n"/>
      <c r="D99" s="44" t="n"/>
      <c r="E99" s="44" t="n"/>
      <c r="F99" s="44" t="n"/>
      <c r="G99" s="44" t="n"/>
      <c r="H99" s="44" t="n"/>
      <c r="I99" s="44" t="n"/>
      <c r="J99" s="44" t="n"/>
      <c r="K99" s="44" t="n"/>
      <c r="L99" s="44" t="n"/>
      <c r="M99" s="44" t="n"/>
      <c r="N99" s="44" t="n"/>
      <c r="O99" s="44" t="n"/>
      <c r="P99" s="44" t="n"/>
      <c r="Q99" s="44" t="n"/>
      <c r="R99" s="44" t="n"/>
      <c r="S99" s="45" t="n"/>
      <c r="T99" s="46" t="inlineStr">
        <is>
          <t>IF(AQ99="","",AQ99)</t>
        </is>
      </c>
      <c r="U99" s="47" t="n"/>
      <c r="V99" s="48" t="n"/>
      <c r="W99" s="47" t="n"/>
      <c r="X99" s="46" t="inlineStr">
        <is>
          <t>IF(W99&lt;&gt;"",W99,IF(OR(T99="",V99=""),"",EDATE(T99,V99)))</t>
        </is>
      </c>
      <c r="Y99" s="47" t="n"/>
      <c r="Z99" s="48" t="n"/>
      <c r="AA99" s="44" t="n"/>
      <c r="AB99" s="44" t="n"/>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ht="18" customHeight="1">
      <c r="A100" s="42" t="inlineStr">
        <is>
          <t>IF(F100="","",ROW()-3)</t>
        </is>
      </c>
      <c r="B100" s="52" t="n"/>
      <c r="C100" s="52" t="n"/>
      <c r="D100" s="52" t="n"/>
      <c r="E100" s="52" t="n"/>
      <c r="F100" s="52" t="n"/>
      <c r="G100" s="52" t="n"/>
      <c r="H100" s="52" t="n"/>
      <c r="I100" s="52" t="n"/>
      <c r="J100" s="52" t="n"/>
      <c r="K100" s="52" t="n"/>
      <c r="L100" s="52" t="n"/>
      <c r="M100" s="52" t="n"/>
      <c r="N100" s="52" t="n"/>
      <c r="O100" s="52" t="n"/>
      <c r="P100" s="52" t="n"/>
      <c r="Q100" s="52" t="n"/>
      <c r="R100" s="52" t="n"/>
      <c r="S100" s="53" t="n"/>
      <c r="T100" s="46" t="inlineStr">
        <is>
          <t>IF(AQ100="","",AQ100)</t>
        </is>
      </c>
      <c r="U100" s="54" t="n"/>
      <c r="V100" s="55" t="n"/>
      <c r="W100" s="54" t="n"/>
      <c r="X100" s="46" t="inlineStr">
        <is>
          <t>IF(W100&lt;&gt;"",W100,IF(OR(T100="",V100=""),"",EDATE(T100,V100)))</t>
        </is>
      </c>
      <c r="Y100" s="54" t="n"/>
      <c r="Z100" s="55" t="n"/>
      <c r="AA100" s="52" t="n"/>
      <c r="AB100" s="52" t="n"/>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ht="18" customHeight="1">
      <c r="A101" s="42" t="inlineStr">
        <is>
          <t>IF(F101="","",ROW()-3)</t>
        </is>
      </c>
      <c r="B101" s="44" t="n"/>
      <c r="C101" s="44" t="n"/>
      <c r="D101" s="44" t="n"/>
      <c r="E101" s="44" t="n"/>
      <c r="F101" s="44" t="n"/>
      <c r="G101" s="44" t="n"/>
      <c r="H101" s="44" t="n"/>
      <c r="I101" s="44" t="n"/>
      <c r="J101" s="44" t="n"/>
      <c r="K101" s="44" t="n"/>
      <c r="L101" s="44" t="n"/>
      <c r="M101" s="44" t="n"/>
      <c r="N101" s="44" t="n"/>
      <c r="O101" s="44" t="n"/>
      <c r="P101" s="44" t="n"/>
      <c r="Q101" s="44" t="n"/>
      <c r="R101" s="44" t="n"/>
      <c r="S101" s="45" t="n"/>
      <c r="T101" s="46" t="inlineStr">
        <is>
          <t>IF(AQ101="","",AQ101)</t>
        </is>
      </c>
      <c r="U101" s="47" t="n"/>
      <c r="V101" s="48" t="n"/>
      <c r="W101" s="47" t="n"/>
      <c r="X101" s="46" t="inlineStr">
        <is>
          <t>IF(W101&lt;&gt;"",W101,IF(OR(T101="",V101=""),"",EDATE(T101,V101)))</t>
        </is>
      </c>
      <c r="Y101" s="47" t="n"/>
      <c r="Z101" s="48" t="n"/>
      <c r="AA101" s="44" t="n"/>
      <c r="AB101" s="44" t="n"/>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ht="18" customHeight="1">
      <c r="A102" s="42" t="inlineStr">
        <is>
          <t>IF(F102="","",ROW()-3)</t>
        </is>
      </c>
      <c r="B102" s="52" t="n"/>
      <c r="C102" s="52" t="n"/>
      <c r="D102" s="52" t="n"/>
      <c r="E102" s="52" t="n"/>
      <c r="F102" s="52" t="n"/>
      <c r="G102" s="52" t="n"/>
      <c r="H102" s="52" t="n"/>
      <c r="I102" s="52" t="n"/>
      <c r="J102" s="52" t="n"/>
      <c r="K102" s="52" t="n"/>
      <c r="L102" s="52" t="n"/>
      <c r="M102" s="52" t="n"/>
      <c r="N102" s="52" t="n"/>
      <c r="O102" s="52" t="n"/>
      <c r="P102" s="52" t="n"/>
      <c r="Q102" s="52" t="n"/>
      <c r="R102" s="52" t="n"/>
      <c r="S102" s="53" t="n"/>
      <c r="T102" s="46" t="inlineStr">
        <is>
          <t>IF(AQ102="","",AQ102)</t>
        </is>
      </c>
      <c r="U102" s="54" t="n"/>
      <c r="V102" s="55" t="n"/>
      <c r="W102" s="54" t="n"/>
      <c r="X102" s="46" t="inlineStr">
        <is>
          <t>IF(W102&lt;&gt;"",W102,IF(OR(T102="",V102=""),"",EDATE(T102,V102)))</t>
        </is>
      </c>
      <c r="Y102" s="54" t="n"/>
      <c r="Z102" s="55" t="n"/>
      <c r="AA102" s="52" t="n"/>
      <c r="AB102" s="52" t="n"/>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ht="18" customHeight="1">
      <c r="A103" s="42" t="inlineStr">
        <is>
          <t>IF(F103="","",ROW()-3)</t>
        </is>
      </c>
      <c r="B103" s="44" t="n"/>
      <c r="C103" s="44" t="n"/>
      <c r="D103" s="44" t="n"/>
      <c r="E103" s="44" t="n"/>
      <c r="F103" s="44" t="n"/>
      <c r="G103" s="44" t="n"/>
      <c r="H103" s="44" t="n"/>
      <c r="I103" s="44" t="n"/>
      <c r="J103" s="44" t="n"/>
      <c r="K103" s="44" t="n"/>
      <c r="L103" s="44" t="n"/>
      <c r="M103" s="44" t="n"/>
      <c r="N103" s="44" t="n"/>
      <c r="O103" s="44" t="n"/>
      <c r="P103" s="44" t="n"/>
      <c r="Q103" s="44" t="n"/>
      <c r="R103" s="44" t="n"/>
      <c r="S103" s="45" t="n"/>
      <c r="T103" s="46" t="inlineStr">
        <is>
          <t>IF(AQ103="","",AQ103)</t>
        </is>
      </c>
      <c r="U103" s="47" t="n"/>
      <c r="V103" s="48" t="n"/>
      <c r="W103" s="47" t="n"/>
      <c r="X103" s="46" t="inlineStr">
        <is>
          <t>IF(W103&lt;&gt;"",W103,IF(OR(T103="",V103=""),"",EDATE(T103,V103)))</t>
        </is>
      </c>
      <c r="Y103" s="47" t="n"/>
      <c r="Z103" s="48" t="n"/>
      <c r="AA103" s="44" t="n"/>
      <c r="AB103" s="44" t="n"/>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ht="18" customHeight="1">
      <c r="A104" s="42" t="inlineStr">
        <is>
          <t>IF(F104="","",ROW()-3)</t>
        </is>
      </c>
      <c r="B104" s="52" t="n"/>
      <c r="C104" s="52" t="n"/>
      <c r="D104" s="52" t="n"/>
      <c r="E104" s="52" t="n"/>
      <c r="F104" s="52" t="n"/>
      <c r="G104" s="52" t="n"/>
      <c r="H104" s="52" t="n"/>
      <c r="I104" s="52" t="n"/>
      <c r="J104" s="52" t="n"/>
      <c r="K104" s="52" t="n"/>
      <c r="L104" s="52" t="n"/>
      <c r="M104" s="52" t="n"/>
      <c r="N104" s="52" t="n"/>
      <c r="O104" s="52" t="n"/>
      <c r="P104" s="52" t="n"/>
      <c r="Q104" s="52" t="n"/>
      <c r="R104" s="52" t="n"/>
      <c r="S104" s="53" t="n"/>
      <c r="T104" s="46" t="inlineStr">
        <is>
          <t>IF(AQ104="","",AQ104)</t>
        </is>
      </c>
      <c r="U104" s="54" t="n"/>
      <c r="V104" s="55" t="n"/>
      <c r="W104" s="54" t="n"/>
      <c r="X104" s="46" t="inlineStr">
        <is>
          <t>IF(W104&lt;&gt;"",W104,IF(OR(T104="",V104=""),"",EDATE(T104,V104)))</t>
        </is>
      </c>
      <c r="Y104" s="54" t="n"/>
      <c r="Z104" s="55" t="n"/>
      <c r="AA104" s="52" t="n"/>
      <c r="AB104" s="52" t="n"/>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ht="18" customHeight="1">
      <c r="A105" s="42" t="inlineStr">
        <is>
          <t>IF(F105="","",ROW()-3)</t>
        </is>
      </c>
      <c r="B105" s="44" t="n"/>
      <c r="C105" s="44" t="n"/>
      <c r="D105" s="44" t="n"/>
      <c r="E105" s="44" t="n"/>
      <c r="F105" s="44" t="n"/>
      <c r="G105" s="44" t="n"/>
      <c r="H105" s="44" t="n"/>
      <c r="I105" s="44" t="n"/>
      <c r="J105" s="44" t="n"/>
      <c r="K105" s="44" t="n"/>
      <c r="L105" s="44" t="n"/>
      <c r="M105" s="44" t="n"/>
      <c r="N105" s="44" t="n"/>
      <c r="O105" s="44" t="n"/>
      <c r="P105" s="44" t="n"/>
      <c r="Q105" s="44" t="n"/>
      <c r="R105" s="44" t="n"/>
      <c r="S105" s="45" t="n"/>
      <c r="T105" s="46" t="inlineStr">
        <is>
          <t>IF(AQ105="","",AQ105)</t>
        </is>
      </c>
      <c r="U105" s="47" t="n"/>
      <c r="V105" s="48" t="n"/>
      <c r="W105" s="47" t="n"/>
      <c r="X105" s="46" t="inlineStr">
        <is>
          <t>IF(W105&lt;&gt;"",W105,IF(OR(T105="",V105=""),"",EDATE(T105,V105)))</t>
        </is>
      </c>
      <c r="Y105" s="47" t="n"/>
      <c r="Z105" s="48" t="n"/>
      <c r="AA105" s="44" t="n"/>
      <c r="AB105" s="44" t="n"/>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ht="18" customHeight="1">
      <c r="A106" s="42" t="inlineStr">
        <is>
          <t>IF(F106="","",ROW()-3)</t>
        </is>
      </c>
      <c r="B106" s="52" t="n"/>
      <c r="C106" s="52" t="n"/>
      <c r="D106" s="52" t="n"/>
      <c r="E106" s="52" t="n"/>
      <c r="F106" s="52" t="n"/>
      <c r="G106" s="52" t="n"/>
      <c r="H106" s="52" t="n"/>
      <c r="I106" s="52" t="n"/>
      <c r="J106" s="52" t="n"/>
      <c r="K106" s="52" t="n"/>
      <c r="L106" s="52" t="n"/>
      <c r="M106" s="52" t="n"/>
      <c r="N106" s="52" t="n"/>
      <c r="O106" s="52" t="n"/>
      <c r="P106" s="52" t="n"/>
      <c r="Q106" s="52" t="n"/>
      <c r="R106" s="52" t="n"/>
      <c r="S106" s="53" t="n"/>
      <c r="T106" s="46" t="inlineStr">
        <is>
          <t>IF(AQ106="","",AQ106)</t>
        </is>
      </c>
      <c r="U106" s="54" t="n"/>
      <c r="V106" s="55" t="n"/>
      <c r="W106" s="54" t="n"/>
      <c r="X106" s="46" t="inlineStr">
        <is>
          <t>IF(W106&lt;&gt;"",W106,IF(OR(T106="",V106=""),"",EDATE(T106,V106)))</t>
        </is>
      </c>
      <c r="Y106" s="54" t="n"/>
      <c r="Z106" s="55" t="n"/>
      <c r="AA106" s="52" t="n"/>
      <c r="AB106" s="52" t="n"/>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ht="18" customHeight="1">
      <c r="A107" s="42" t="inlineStr">
        <is>
          <t>IF(F107="","",ROW()-3)</t>
        </is>
      </c>
      <c r="B107" s="44" t="n"/>
      <c r="C107" s="44" t="n"/>
      <c r="D107" s="44" t="n"/>
      <c r="E107" s="44" t="n"/>
      <c r="F107" s="44" t="n"/>
      <c r="G107" s="44" t="n"/>
      <c r="H107" s="44" t="n"/>
      <c r="I107" s="44" t="n"/>
      <c r="J107" s="44" t="n"/>
      <c r="K107" s="44" t="n"/>
      <c r="L107" s="44" t="n"/>
      <c r="M107" s="44" t="n"/>
      <c r="N107" s="44" t="n"/>
      <c r="O107" s="44" t="n"/>
      <c r="P107" s="44" t="n"/>
      <c r="Q107" s="44" t="n"/>
      <c r="R107" s="44" t="n"/>
      <c r="S107" s="45" t="n"/>
      <c r="T107" s="46" t="inlineStr">
        <is>
          <t>IF(AQ107="","",AQ107)</t>
        </is>
      </c>
      <c r="U107" s="47" t="n"/>
      <c r="V107" s="48" t="n"/>
      <c r="W107" s="47" t="n"/>
      <c r="X107" s="46" t="inlineStr">
        <is>
          <t>IF(W107&lt;&gt;"",W107,IF(OR(T107="",V107=""),"",EDATE(T107,V107)))</t>
        </is>
      </c>
      <c r="Y107" s="47" t="n"/>
      <c r="Z107" s="48" t="n"/>
      <c r="AA107" s="44" t="n"/>
      <c r="AB107" s="44" t="n"/>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ht="18" customHeight="1">
      <c r="A108" s="42" t="inlineStr">
        <is>
          <t>IF(F108="","",ROW()-3)</t>
        </is>
      </c>
      <c r="B108" s="52" t="n"/>
      <c r="C108" s="52" t="n"/>
      <c r="D108" s="52" t="n"/>
      <c r="E108" s="52" t="n"/>
      <c r="F108" s="52" t="n"/>
      <c r="G108" s="52" t="n"/>
      <c r="H108" s="52" t="n"/>
      <c r="I108" s="52" t="n"/>
      <c r="J108" s="52" t="n"/>
      <c r="K108" s="52" t="n"/>
      <c r="L108" s="52" t="n"/>
      <c r="M108" s="52" t="n"/>
      <c r="N108" s="52" t="n"/>
      <c r="O108" s="52" t="n"/>
      <c r="P108" s="52" t="n"/>
      <c r="Q108" s="52" t="n"/>
      <c r="R108" s="52" t="n"/>
      <c r="S108" s="53" t="n"/>
      <c r="T108" s="46" t="inlineStr">
        <is>
          <t>IF(AQ108="","",AQ108)</t>
        </is>
      </c>
      <c r="U108" s="54" t="n"/>
      <c r="V108" s="55" t="n"/>
      <c r="W108" s="54" t="n"/>
      <c r="X108" s="46" t="inlineStr">
        <is>
          <t>IF(W108&lt;&gt;"",W108,IF(OR(T108="",V108=""),"",EDATE(T108,V108)))</t>
        </is>
      </c>
      <c r="Y108" s="54" t="n"/>
      <c r="Z108" s="55" t="n"/>
      <c r="AA108" s="52" t="n"/>
      <c r="AB108" s="52" t="n"/>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ht="18" customHeight="1">
      <c r="A109" s="42" t="inlineStr">
        <is>
          <t>IF(F109="","",ROW()-3)</t>
        </is>
      </c>
      <c r="B109" s="44" t="n"/>
      <c r="C109" s="44" t="n"/>
      <c r="D109" s="44" t="n"/>
      <c r="E109" s="44" t="n"/>
      <c r="F109" s="44" t="n"/>
      <c r="G109" s="44" t="n"/>
      <c r="H109" s="44" t="n"/>
      <c r="I109" s="44" t="n"/>
      <c r="J109" s="44" t="n"/>
      <c r="K109" s="44" t="n"/>
      <c r="L109" s="44" t="n"/>
      <c r="M109" s="44" t="n"/>
      <c r="N109" s="44" t="n"/>
      <c r="O109" s="44" t="n"/>
      <c r="P109" s="44" t="n"/>
      <c r="Q109" s="44" t="n"/>
      <c r="R109" s="44" t="n"/>
      <c r="S109" s="45" t="n"/>
      <c r="T109" s="46" t="inlineStr">
        <is>
          <t>IF(AQ109="","",AQ109)</t>
        </is>
      </c>
      <c r="U109" s="47" t="n"/>
      <c r="V109" s="48" t="n"/>
      <c r="W109" s="47" t="n"/>
      <c r="X109" s="46" t="inlineStr">
        <is>
          <t>IF(W109&lt;&gt;"",W109,IF(OR(T109="",V109=""),"",EDATE(T109,V109)))</t>
        </is>
      </c>
      <c r="Y109" s="47" t="n"/>
      <c r="Z109" s="48" t="n"/>
      <c r="AA109" s="44" t="n"/>
      <c r="AB109" s="44" t="n"/>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42" t="inlineStr">
        <is>
          <t>IF(F110="","",ROW()-3)</t>
        </is>
      </c>
      <c r="B110" s="52" t="n"/>
      <c r="C110" s="52" t="n"/>
      <c r="D110" s="52" t="n"/>
      <c r="E110" s="52" t="n"/>
      <c r="F110" s="52" t="n"/>
      <c r="G110" s="52" t="n"/>
      <c r="H110" s="52" t="n"/>
      <c r="I110" s="52" t="n"/>
      <c r="J110" s="52" t="n"/>
      <c r="K110" s="52" t="n"/>
      <c r="L110" s="52" t="n"/>
      <c r="M110" s="52" t="n"/>
      <c r="N110" s="52" t="n"/>
      <c r="O110" s="52" t="n"/>
      <c r="P110" s="52" t="n"/>
      <c r="Q110" s="52" t="n"/>
      <c r="R110" s="52" t="n"/>
      <c r="S110" s="53" t="n"/>
      <c r="T110" s="46" t="inlineStr">
        <is>
          <t>IF(AQ110="","",AQ110)</t>
        </is>
      </c>
      <c r="U110" s="54" t="n"/>
      <c r="V110" s="55" t="n"/>
      <c r="W110" s="54" t="n"/>
      <c r="X110" s="46" t="inlineStr">
        <is>
          <t>IF(W110&lt;&gt;"",W110,IF(OR(T110="",V110=""),"",EDATE(T110,V110)))</t>
        </is>
      </c>
      <c r="Y110" s="54" t="n"/>
      <c r="Z110" s="55" t="n"/>
      <c r="AA110" s="52" t="n"/>
      <c r="AB110" s="52" t="n"/>
      <c r="AC110" s="42" t="inlineStr">
        <is>
          <t>IF(F110="","",IF(COUNT(AI110:AV110)=0,IF(AA110="","Not started",AA110),SUBSTITUTE(LOOKUP(2,1/(AI110:AV110&lt;&gt;""),$AI$3:$AV$3),"Date: ","")))</t>
        </is>
      </c>
      <c r="AD110" s="49" t="inlineStr">
        <is>
          <t>IF(OR(F110="",COUNT(AI110:AV110)=0),"",TODAY()-LOOKUP(2,1/(AI110:AV110&lt;&gt;""),AI110:AV110))</t>
        </is>
      </c>
      <c r="AE110" s="49" t="inlineStr">
        <is>
          <t>IF(OR(F110="",COUNT(AI110:AV110)&lt;2),"",LOOKUP(2,1/(AI110:AV110&lt;&gt;""),AI110:AV110)-MIN(AI110:AV110))</t>
        </is>
      </c>
      <c r="AF110" s="49" t="inlineStr">
        <is>
          <t>IF(OR(AD110="",AC110="Not started",AC110=""),"",IFERROR(AD110-IF(VLOOKUP(AC110,'06_Status_Pipeline'!$B$3:$E$20,4,FALSE)="",0,VLOOKUP(AC110,'06_Status_Pipeline'!$B$3:$E$20,4,FALSE)),""))</t>
        </is>
      </c>
      <c r="AG110" s="4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49" t="inlineStr">
        <is>
          <t>IF(OR(F110="",AC110="Completed / Handover",AC110="Cancelled"),"",IF(O110="Not awarded",IF(U110&lt;&gt;"",U110-TODAY(),IF(X110="","",X110-TODAY())),IF(X110="","",X110-TODAY())))</t>
        </is>
      </c>
      <c r="AI110" s="54" t="n"/>
      <c r="AJ110" s="54" t="n"/>
      <c r="AK110" s="54" t="n"/>
      <c r="AL110" s="54" t="n"/>
      <c r="AM110" s="54" t="n"/>
      <c r="AN110" s="54" t="n"/>
      <c r="AO110" s="54" t="n"/>
      <c r="AP110" s="54" t="n"/>
      <c r="AQ110" s="54" t="n"/>
      <c r="AR110" s="54" t="n"/>
      <c r="AS110" s="54" t="n"/>
      <c r="AT110" s="50" t="n"/>
      <c r="AU110" s="50" t="n"/>
      <c r="AV110" s="50" t="n"/>
      <c r="AW110" s="49" t="inlineStr">
        <is>
          <t>IF(OR(F110="",AJ110=""),"",IF(COUNT(AI110:AI110)=0,"",AJ110-LOOKUP(2,1/(AI110:AI110&lt;&gt;""),AI110:AI110)))</t>
        </is>
      </c>
      <c r="AX110" s="49" t="inlineStr">
        <is>
          <t>IF(OR(F110="",AK110=""),"",IF(COUNT(AI110:AJ110)=0,"",AK110-LOOKUP(2,1/(AI110:AJ110&lt;&gt;""),AI110:AJ110)))</t>
        </is>
      </c>
      <c r="AY110" s="49" t="inlineStr">
        <is>
          <t>IF(OR(F110="",AL110=""),"",IF(COUNT(AI110:AK110)=0,"",AL110-LOOKUP(2,1/(AI110:AK110&lt;&gt;""),AI110:AK110)))</t>
        </is>
      </c>
      <c r="AZ110" s="49" t="inlineStr">
        <is>
          <t>IF(OR(F110="",AM110=""),"",IF(COUNT(AI110:AL110)=0,"",AM110-LOOKUP(2,1/(AI110:AL110&lt;&gt;""),AI110:AL110)))</t>
        </is>
      </c>
      <c r="BA110" s="49" t="inlineStr">
        <is>
          <t>IF(OR(F110="",AN110=""),"",IF(COUNT(AI110:AM110)=0,"",AN110-LOOKUP(2,1/(AI110:AM110&lt;&gt;""),AI110:AM110)))</t>
        </is>
      </c>
      <c r="BB110" s="49" t="inlineStr">
        <is>
          <t>IF(OR(F110="",AO110=""),"",IF(COUNT(AI110:AN110)=0,"",AO110-LOOKUP(2,1/(AI110:AN110&lt;&gt;""),AI110:AN110)))</t>
        </is>
      </c>
      <c r="BC110" s="49" t="inlineStr">
        <is>
          <t>IF(OR(F110="",AP110=""),"",IF(COUNT(AI110:AO110)=0,"",AP110-LOOKUP(2,1/(AI110:AO110&lt;&gt;""),AI110:AO110)))</t>
        </is>
      </c>
      <c r="BD110" s="49" t="inlineStr">
        <is>
          <t>IF(OR(F110="",AQ110=""),"",IF(COUNT(AI110:AP110)=0,"",AQ110-LOOKUP(2,1/(AI110:AP110&lt;&gt;""),AI110:AP110)))</t>
        </is>
      </c>
      <c r="BE110" s="49" t="inlineStr">
        <is>
          <t>IF(OR(F110="",AR110=""),"",IF(COUNT(AI110:AQ110)=0,"",AR110-LOOKUP(2,1/(AI110:AQ110&lt;&gt;""),AI110:AQ110)))</t>
        </is>
      </c>
      <c r="BF110" s="49" t="inlineStr">
        <is>
          <t>IF(OR(F110="",AS110=""),"",IF(COUNT(AI110:AR110)=0,"",AS110-LOOKUP(2,1/(AI110:AR110&lt;&gt;""),AI110:AR110)))</t>
        </is>
      </c>
      <c r="BG110" s="49" t="inlineStr">
        <is>
          <t>IF(OR(F110="",AT110=""),"",IF(COUNT(AI110:AS110)=0,"",AT110-LOOKUP(2,1/(AI110:AS110&lt;&gt;""),AI110:AS110)))</t>
        </is>
      </c>
      <c r="BH110" s="49" t="inlineStr">
        <is>
          <t>IF(OR(F110="",AU110=""),"",IF(COUNT(AI110:AT110)=0,"",AU110-LOOKUP(2,1/(AI110:AT110&lt;&gt;""),AI110:AT110)))</t>
        </is>
      </c>
      <c r="BI110" s="49" t="inlineStr">
        <is>
          <t>IF(OR(F110="",AV110=""),"",IF(COUNT(AI110:AU110)=0,"",AV110-LOOKUP(2,1/(AI110:AU110&lt;&gt;""),AI110:AU110)))</t>
        </is>
      </c>
      <c r="BJ110" s="51" t="inlineStr">
        <is>
          <t>IF(J110="","All_Provinces",IFERROR(VLOOKUP(J110,'09_Lookups'!$A$4:$B$20,2,FALSE),"All_Provinces"))</t>
        </is>
      </c>
      <c r="BK110" s="51" t="inlineStr">
        <is>
          <t>IF(K110="","All_Districts",IFERROR(VLOOKUP(K110,'09_Lookups'!$E$4:$F$42,2,FALSE),"All_Districts"))</t>
        </is>
      </c>
    </row>
    <row r="111" ht="18" customHeight="1">
      <c r="A111" s="42" t="inlineStr">
        <is>
          <t>IF(F111="","",ROW()-3)</t>
        </is>
      </c>
      <c r="B111" s="44" t="n"/>
      <c r="C111" s="44" t="n"/>
      <c r="D111" s="44" t="n"/>
      <c r="E111" s="44" t="n"/>
      <c r="F111" s="44" t="n"/>
      <c r="G111" s="44" t="n"/>
      <c r="H111" s="44" t="n"/>
      <c r="I111" s="44" t="n"/>
      <c r="J111" s="44" t="n"/>
      <c r="K111" s="44" t="n"/>
      <c r="L111" s="44" t="n"/>
      <c r="M111" s="44" t="n"/>
      <c r="N111" s="44" t="n"/>
      <c r="O111" s="44" t="n"/>
      <c r="P111" s="44" t="n"/>
      <c r="Q111" s="44" t="n"/>
      <c r="R111" s="44" t="n"/>
      <c r="S111" s="45" t="n"/>
      <c r="T111" s="46" t="inlineStr">
        <is>
          <t>IF(AQ111="","",AQ111)</t>
        </is>
      </c>
      <c r="U111" s="47" t="n"/>
      <c r="V111" s="48" t="n"/>
      <c r="W111" s="47" t="n"/>
      <c r="X111" s="46" t="inlineStr">
        <is>
          <t>IF(W111&lt;&gt;"",W111,IF(OR(T111="",V111=""),"",EDATE(T111,V111)))</t>
        </is>
      </c>
      <c r="Y111" s="47" t="n"/>
      <c r="Z111" s="48" t="n"/>
      <c r="AA111" s="44" t="n"/>
      <c r="AB111" s="44" t="n"/>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ht="18" customHeight="1">
      <c r="A112" s="42" t="inlineStr">
        <is>
          <t>IF(F112="","",ROW()-3)</t>
        </is>
      </c>
      <c r="B112" s="52" t="n"/>
      <c r="C112" s="52" t="n"/>
      <c r="D112" s="52" t="n"/>
      <c r="E112" s="52" t="n"/>
      <c r="F112" s="52" t="n"/>
      <c r="G112" s="52" t="n"/>
      <c r="H112" s="52" t="n"/>
      <c r="I112" s="52" t="n"/>
      <c r="J112" s="52" t="n"/>
      <c r="K112" s="52" t="n"/>
      <c r="L112" s="52" t="n"/>
      <c r="M112" s="52" t="n"/>
      <c r="N112" s="52" t="n"/>
      <c r="O112" s="52" t="n"/>
      <c r="P112" s="52" t="n"/>
      <c r="Q112" s="52" t="n"/>
      <c r="R112" s="52" t="n"/>
      <c r="S112" s="53" t="n"/>
      <c r="T112" s="46" t="inlineStr">
        <is>
          <t>IF(AQ112="","",AQ112)</t>
        </is>
      </c>
      <c r="U112" s="54" t="n"/>
      <c r="V112" s="55" t="n"/>
      <c r="W112" s="54" t="n"/>
      <c r="X112" s="46" t="inlineStr">
        <is>
          <t>IF(W112&lt;&gt;"",W112,IF(OR(T112="",V112=""),"",EDATE(T112,V112)))</t>
        </is>
      </c>
      <c r="Y112" s="54" t="n"/>
      <c r="Z112" s="55" t="n"/>
      <c r="AA112" s="52" t="n"/>
      <c r="AB112" s="52" t="n"/>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ht="18" customHeight="1">
      <c r="A113" s="42" t="inlineStr">
        <is>
          <t>IF(F113="","",ROW()-3)</t>
        </is>
      </c>
      <c r="B113" s="44" t="n"/>
      <c r="C113" s="44" t="n"/>
      <c r="D113" s="44" t="n"/>
      <c r="E113" s="44" t="n"/>
      <c r="F113" s="44" t="n"/>
      <c r="G113" s="44" t="n"/>
      <c r="H113" s="44" t="n"/>
      <c r="I113" s="44" t="n"/>
      <c r="J113" s="44" t="n"/>
      <c r="K113" s="44" t="n"/>
      <c r="L113" s="44" t="n"/>
      <c r="M113" s="44" t="n"/>
      <c r="N113" s="44" t="n"/>
      <c r="O113" s="44" t="n"/>
      <c r="P113" s="44" t="n"/>
      <c r="Q113" s="44" t="n"/>
      <c r="R113" s="44" t="n"/>
      <c r="S113" s="45" t="n"/>
      <c r="T113" s="46" t="inlineStr">
        <is>
          <t>IF(AQ113="","",AQ113)</t>
        </is>
      </c>
      <c r="U113" s="47" t="n"/>
      <c r="V113" s="48" t="n"/>
      <c r="W113" s="47" t="n"/>
      <c r="X113" s="46" t="inlineStr">
        <is>
          <t>IF(W113&lt;&gt;"",W113,IF(OR(T113="",V113=""),"",EDATE(T113,V113)))</t>
        </is>
      </c>
      <c r="Y113" s="47" t="n"/>
      <c r="Z113" s="48" t="n"/>
      <c r="AA113" s="44" t="n"/>
      <c r="AB113" s="44" t="n"/>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ht="18" customHeight="1">
      <c r="A114" s="42" t="inlineStr">
        <is>
          <t>IF(F114="","",ROW()-3)</t>
        </is>
      </c>
      <c r="B114" s="52" t="n"/>
      <c r="C114" s="52" t="n"/>
      <c r="D114" s="52" t="n"/>
      <c r="E114" s="52" t="n"/>
      <c r="F114" s="52" t="n"/>
      <c r="G114" s="52" t="n"/>
      <c r="H114" s="52" t="n"/>
      <c r="I114" s="52" t="n"/>
      <c r="J114" s="52" t="n"/>
      <c r="K114" s="52" t="n"/>
      <c r="L114" s="52" t="n"/>
      <c r="M114" s="52" t="n"/>
      <c r="N114" s="52" t="n"/>
      <c r="O114" s="52" t="n"/>
      <c r="P114" s="52" t="n"/>
      <c r="Q114" s="52" t="n"/>
      <c r="R114" s="52" t="n"/>
      <c r="S114" s="53" t="n"/>
      <c r="T114" s="46" t="inlineStr">
        <is>
          <t>IF(AQ114="","",AQ114)</t>
        </is>
      </c>
      <c r="U114" s="54" t="n"/>
      <c r="V114" s="55" t="n"/>
      <c r="W114" s="54" t="n"/>
      <c r="X114" s="46" t="inlineStr">
        <is>
          <t>IF(W114&lt;&gt;"",W114,IF(OR(T114="",V114=""),"",EDATE(T114,V114)))</t>
        </is>
      </c>
      <c r="Y114" s="54" t="n"/>
      <c r="Z114" s="55" t="n"/>
      <c r="AA114" s="52" t="n"/>
      <c r="AB114" s="52" t="n"/>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ht="18" customHeight="1">
      <c r="A115" s="42" t="inlineStr">
        <is>
          <t>IF(F115="","",ROW()-3)</t>
        </is>
      </c>
      <c r="B115" s="44" t="n"/>
      <c r="C115" s="44" t="n"/>
      <c r="D115" s="44" t="n"/>
      <c r="E115" s="44" t="n"/>
      <c r="F115" s="44" t="n"/>
      <c r="G115" s="44" t="n"/>
      <c r="H115" s="44" t="n"/>
      <c r="I115" s="44" t="n"/>
      <c r="J115" s="44" t="n"/>
      <c r="K115" s="44" t="n"/>
      <c r="L115" s="44" t="n"/>
      <c r="M115" s="44" t="n"/>
      <c r="N115" s="44" t="n"/>
      <c r="O115" s="44" t="n"/>
      <c r="P115" s="44" t="n"/>
      <c r="Q115" s="44" t="n"/>
      <c r="R115" s="44" t="n"/>
      <c r="S115" s="45" t="n"/>
      <c r="T115" s="46" t="inlineStr">
        <is>
          <t>IF(AQ115="","",AQ115)</t>
        </is>
      </c>
      <c r="U115" s="47" t="n"/>
      <c r="V115" s="48" t="n"/>
      <c r="W115" s="47" t="n"/>
      <c r="X115" s="46" t="inlineStr">
        <is>
          <t>IF(W115&lt;&gt;"",W115,IF(OR(T115="",V115=""),"",EDATE(T115,V115)))</t>
        </is>
      </c>
      <c r="Y115" s="47" t="n"/>
      <c r="Z115" s="48" t="n"/>
      <c r="AA115" s="44" t="n"/>
      <c r="AB115" s="44" t="n"/>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ht="18" customHeight="1">
      <c r="A116" s="42" t="inlineStr">
        <is>
          <t>IF(F116="","",ROW()-3)</t>
        </is>
      </c>
      <c r="B116" s="52" t="n"/>
      <c r="C116" s="52" t="n"/>
      <c r="D116" s="52" t="n"/>
      <c r="E116" s="52" t="n"/>
      <c r="F116" s="52" t="n"/>
      <c r="G116" s="52" t="n"/>
      <c r="H116" s="52" t="n"/>
      <c r="I116" s="52" t="n"/>
      <c r="J116" s="52" t="n"/>
      <c r="K116" s="52" t="n"/>
      <c r="L116" s="52" t="n"/>
      <c r="M116" s="52" t="n"/>
      <c r="N116" s="52" t="n"/>
      <c r="O116" s="52" t="n"/>
      <c r="P116" s="52" t="n"/>
      <c r="Q116" s="52" t="n"/>
      <c r="R116" s="52" t="n"/>
      <c r="S116" s="53" t="n"/>
      <c r="T116" s="46" t="inlineStr">
        <is>
          <t>IF(AQ116="","",AQ116)</t>
        </is>
      </c>
      <c r="U116" s="54" t="n"/>
      <c r="V116" s="55" t="n"/>
      <c r="W116" s="54" t="n"/>
      <c r="X116" s="46" t="inlineStr">
        <is>
          <t>IF(W116&lt;&gt;"",W116,IF(OR(T116="",V116=""),"",EDATE(T116,V116)))</t>
        </is>
      </c>
      <c r="Y116" s="54" t="n"/>
      <c r="Z116" s="55" t="n"/>
      <c r="AA116" s="52" t="n"/>
      <c r="AB116" s="52" t="n"/>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ht="18" customHeight="1">
      <c r="A117" s="42" t="inlineStr">
        <is>
          <t>IF(F117="","",ROW()-3)</t>
        </is>
      </c>
      <c r="B117" s="44" t="n"/>
      <c r="C117" s="44" t="n"/>
      <c r="D117" s="44" t="n"/>
      <c r="E117" s="44" t="n"/>
      <c r="F117" s="44" t="n"/>
      <c r="G117" s="44" t="n"/>
      <c r="H117" s="44" t="n"/>
      <c r="I117" s="44" t="n"/>
      <c r="J117" s="44" t="n"/>
      <c r="K117" s="44" t="n"/>
      <c r="L117" s="44" t="n"/>
      <c r="M117" s="44" t="n"/>
      <c r="N117" s="44" t="n"/>
      <c r="O117" s="44" t="n"/>
      <c r="P117" s="44" t="n"/>
      <c r="Q117" s="44" t="n"/>
      <c r="R117" s="44" t="n"/>
      <c r="S117" s="45" t="n"/>
      <c r="T117" s="46" t="inlineStr">
        <is>
          <t>IF(AQ117="","",AQ117)</t>
        </is>
      </c>
      <c r="U117" s="47" t="n"/>
      <c r="V117" s="48" t="n"/>
      <c r="W117" s="47" t="n"/>
      <c r="X117" s="46" t="inlineStr">
        <is>
          <t>IF(W117&lt;&gt;"",W117,IF(OR(T117="",V117=""),"",EDATE(T117,V117)))</t>
        </is>
      </c>
      <c r="Y117" s="47" t="n"/>
      <c r="Z117" s="48" t="n"/>
      <c r="AA117" s="44" t="n"/>
      <c r="AB117" s="44" t="n"/>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ht="18" customHeight="1">
      <c r="A118" s="42" t="inlineStr">
        <is>
          <t>IF(F118="","",ROW()-3)</t>
        </is>
      </c>
      <c r="B118" s="52" t="n"/>
      <c r="C118" s="52" t="n"/>
      <c r="D118" s="52" t="n"/>
      <c r="E118" s="52" t="n"/>
      <c r="F118" s="52" t="n"/>
      <c r="G118" s="52" t="n"/>
      <c r="H118" s="52" t="n"/>
      <c r="I118" s="52" t="n"/>
      <c r="J118" s="52" t="n"/>
      <c r="K118" s="52" t="n"/>
      <c r="L118" s="52" t="n"/>
      <c r="M118" s="52" t="n"/>
      <c r="N118" s="52" t="n"/>
      <c r="O118" s="52" t="n"/>
      <c r="P118" s="52" t="n"/>
      <c r="Q118" s="52" t="n"/>
      <c r="R118" s="52" t="n"/>
      <c r="S118" s="53" t="n"/>
      <c r="T118" s="46" t="inlineStr">
        <is>
          <t>IF(AQ118="","",AQ118)</t>
        </is>
      </c>
      <c r="U118" s="54" t="n"/>
      <c r="V118" s="55" t="n"/>
      <c r="W118" s="54" t="n"/>
      <c r="X118" s="46" t="inlineStr">
        <is>
          <t>IF(W118&lt;&gt;"",W118,IF(OR(T118="",V118=""),"",EDATE(T118,V118)))</t>
        </is>
      </c>
      <c r="Y118" s="54" t="n"/>
      <c r="Z118" s="55" t="n"/>
      <c r="AA118" s="52" t="n"/>
      <c r="AB118" s="52" t="n"/>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ht="18" customHeight="1">
      <c r="A119" s="42" t="inlineStr">
        <is>
          <t>IF(F119="","",ROW()-3)</t>
        </is>
      </c>
      <c r="B119" s="44" t="n"/>
      <c r="C119" s="44" t="n"/>
      <c r="D119" s="44" t="n"/>
      <c r="E119" s="44" t="n"/>
      <c r="F119" s="44" t="n"/>
      <c r="G119" s="44" t="n"/>
      <c r="H119" s="44" t="n"/>
      <c r="I119" s="44" t="n"/>
      <c r="J119" s="44" t="n"/>
      <c r="K119" s="44" t="n"/>
      <c r="L119" s="44" t="n"/>
      <c r="M119" s="44" t="n"/>
      <c r="N119" s="44" t="n"/>
      <c r="O119" s="44" t="n"/>
      <c r="P119" s="44" t="n"/>
      <c r="Q119" s="44" t="n"/>
      <c r="R119" s="44" t="n"/>
      <c r="S119" s="45" t="n"/>
      <c r="T119" s="46" t="inlineStr">
        <is>
          <t>IF(AQ119="","",AQ119)</t>
        </is>
      </c>
      <c r="U119" s="47" t="n"/>
      <c r="V119" s="48" t="n"/>
      <c r="W119" s="47" t="n"/>
      <c r="X119" s="46" t="inlineStr">
        <is>
          <t>IF(W119&lt;&gt;"",W119,IF(OR(T119="",V119=""),"",EDATE(T119,V119)))</t>
        </is>
      </c>
      <c r="Y119" s="47" t="n"/>
      <c r="Z119" s="48" t="n"/>
      <c r="AA119" s="44" t="n"/>
      <c r="AB119" s="44" t="n"/>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ht="18" customHeight="1">
      <c r="A120" s="42" t="inlineStr">
        <is>
          <t>IF(F120="","",ROW()-3)</t>
        </is>
      </c>
      <c r="B120" s="52" t="n"/>
      <c r="C120" s="52" t="n"/>
      <c r="D120" s="52" t="n"/>
      <c r="E120" s="52" t="n"/>
      <c r="F120" s="52" t="n"/>
      <c r="G120" s="52" t="n"/>
      <c r="H120" s="52" t="n"/>
      <c r="I120" s="52" t="n"/>
      <c r="J120" s="52" t="n"/>
      <c r="K120" s="52" t="n"/>
      <c r="L120" s="52" t="n"/>
      <c r="M120" s="52" t="n"/>
      <c r="N120" s="52" t="n"/>
      <c r="O120" s="52" t="n"/>
      <c r="P120" s="52" t="n"/>
      <c r="Q120" s="52" t="n"/>
      <c r="R120" s="52" t="n"/>
      <c r="S120" s="53" t="n"/>
      <c r="T120" s="46" t="inlineStr">
        <is>
          <t>IF(AQ120="","",AQ120)</t>
        </is>
      </c>
      <c r="U120" s="54" t="n"/>
      <c r="V120" s="55" t="n"/>
      <c r="W120" s="54" t="n"/>
      <c r="X120" s="46" t="inlineStr">
        <is>
          <t>IF(W120&lt;&gt;"",W120,IF(OR(T120="",V120=""),"",EDATE(T120,V120)))</t>
        </is>
      </c>
      <c r="Y120" s="54" t="n"/>
      <c r="Z120" s="55" t="n"/>
      <c r="AA120" s="52" t="n"/>
      <c r="AB120" s="52" t="n"/>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ht="18" customHeight="1">
      <c r="A121" s="42" t="inlineStr">
        <is>
          <t>IF(F121="","",ROW()-3)</t>
        </is>
      </c>
      <c r="B121" s="44" t="n"/>
      <c r="C121" s="44" t="n"/>
      <c r="D121" s="44" t="n"/>
      <c r="E121" s="44" t="n"/>
      <c r="F121" s="44" t="n"/>
      <c r="G121" s="44" t="n"/>
      <c r="H121" s="44" t="n"/>
      <c r="I121" s="44" t="n"/>
      <c r="J121" s="44" t="n"/>
      <c r="K121" s="44" t="n"/>
      <c r="L121" s="44" t="n"/>
      <c r="M121" s="44" t="n"/>
      <c r="N121" s="44" t="n"/>
      <c r="O121" s="44" t="n"/>
      <c r="P121" s="44" t="n"/>
      <c r="Q121" s="44" t="n"/>
      <c r="R121" s="44" t="n"/>
      <c r="S121" s="45" t="n"/>
      <c r="T121" s="46" t="inlineStr">
        <is>
          <t>IF(AQ121="","",AQ121)</t>
        </is>
      </c>
      <c r="U121" s="47" t="n"/>
      <c r="V121" s="48" t="n"/>
      <c r="W121" s="47" t="n"/>
      <c r="X121" s="46" t="inlineStr">
        <is>
          <t>IF(W121&lt;&gt;"",W121,IF(OR(T121="",V121=""),"",EDATE(T121,V121)))</t>
        </is>
      </c>
      <c r="Y121" s="47" t="n"/>
      <c r="Z121" s="48" t="n"/>
      <c r="AA121" s="44" t="n"/>
      <c r="AB121" s="44" t="n"/>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42" t="inlineStr">
        <is>
          <t>IF(F122="","",ROW()-3)</t>
        </is>
      </c>
      <c r="B122" s="52" t="n"/>
      <c r="C122" s="52" t="n"/>
      <c r="D122" s="52" t="n"/>
      <c r="E122" s="52" t="n"/>
      <c r="F122" s="52" t="n"/>
      <c r="G122" s="52" t="n"/>
      <c r="H122" s="52" t="n"/>
      <c r="I122" s="52" t="n"/>
      <c r="J122" s="52" t="n"/>
      <c r="K122" s="52" t="n"/>
      <c r="L122" s="52" t="n"/>
      <c r="M122" s="52" t="n"/>
      <c r="N122" s="52" t="n"/>
      <c r="O122" s="52" t="n"/>
      <c r="P122" s="52" t="n"/>
      <c r="Q122" s="52" t="n"/>
      <c r="R122" s="52" t="n"/>
      <c r="S122" s="53" t="n"/>
      <c r="T122" s="46" t="inlineStr">
        <is>
          <t>IF(AQ122="","",AQ122)</t>
        </is>
      </c>
      <c r="U122" s="54" t="n"/>
      <c r="V122" s="55" t="n"/>
      <c r="W122" s="54" t="n"/>
      <c r="X122" s="46" t="inlineStr">
        <is>
          <t>IF(W122&lt;&gt;"",W122,IF(OR(T122="",V122=""),"",EDATE(T122,V122)))</t>
        </is>
      </c>
      <c r="Y122" s="54" t="n"/>
      <c r="Z122" s="55" t="n"/>
      <c r="AA122" s="52" t="n"/>
      <c r="AB122" s="52" t="n"/>
      <c r="AC122" s="42" t="inlineStr">
        <is>
          <t>IF(F122="","",IF(COUNT(AI122:AV122)=0,IF(AA122="","Not started",AA122),SUBSTITUTE(LOOKUP(2,1/(AI122:AV122&lt;&gt;""),$AI$3:$AV$3),"Date: ","")))</t>
        </is>
      </c>
      <c r="AD122" s="49" t="inlineStr">
        <is>
          <t>IF(OR(F122="",COUNT(AI122:AV122)=0),"",TODAY()-LOOKUP(2,1/(AI122:AV122&lt;&gt;""),AI122:AV122))</t>
        </is>
      </c>
      <c r="AE122" s="49" t="inlineStr">
        <is>
          <t>IF(OR(F122="",COUNT(AI122:AV122)&lt;2),"",LOOKUP(2,1/(AI122:AV122&lt;&gt;""),AI122:AV122)-MIN(AI122:AV122))</t>
        </is>
      </c>
      <c r="AF122" s="49" t="inlineStr">
        <is>
          <t>IF(OR(AD122="",AC122="Not started",AC122=""),"",IFERROR(AD122-IF(VLOOKUP(AC122,'06_Status_Pipeline'!$B$3:$E$20,4,FALSE)="",0,VLOOKUP(AC122,'06_Status_Pipeline'!$B$3:$E$20,4,FALSE)),""))</t>
        </is>
      </c>
      <c r="AG122" s="4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49" t="inlineStr">
        <is>
          <t>IF(OR(F122="",AC122="Completed / Handover",AC122="Cancelled"),"",IF(O122="Not awarded",IF(U122&lt;&gt;"",U122-TODAY(),IF(X122="","",X122-TODAY())),IF(X122="","",X122-TODAY())))</t>
        </is>
      </c>
      <c r="AI122" s="54" t="n"/>
      <c r="AJ122" s="54" t="n"/>
      <c r="AK122" s="54" t="n"/>
      <c r="AL122" s="54" t="n"/>
      <c r="AM122" s="54" t="n"/>
      <c r="AN122" s="54" t="n"/>
      <c r="AO122" s="54" t="n"/>
      <c r="AP122" s="54" t="n"/>
      <c r="AQ122" s="54" t="n"/>
      <c r="AR122" s="54" t="n"/>
      <c r="AS122" s="54" t="n"/>
      <c r="AT122" s="50" t="n"/>
      <c r="AU122" s="50" t="n"/>
      <c r="AV122" s="50" t="n"/>
      <c r="AW122" s="49" t="inlineStr">
        <is>
          <t>IF(OR(F122="",AJ122=""),"",IF(COUNT(AI122:AI122)=0,"",AJ122-LOOKUP(2,1/(AI122:AI122&lt;&gt;""),AI122:AI122)))</t>
        </is>
      </c>
      <c r="AX122" s="49" t="inlineStr">
        <is>
          <t>IF(OR(F122="",AK122=""),"",IF(COUNT(AI122:AJ122)=0,"",AK122-LOOKUP(2,1/(AI122:AJ122&lt;&gt;""),AI122:AJ122)))</t>
        </is>
      </c>
      <c r="AY122" s="49" t="inlineStr">
        <is>
          <t>IF(OR(F122="",AL122=""),"",IF(COUNT(AI122:AK122)=0,"",AL122-LOOKUP(2,1/(AI122:AK122&lt;&gt;""),AI122:AK122)))</t>
        </is>
      </c>
      <c r="AZ122" s="49" t="inlineStr">
        <is>
          <t>IF(OR(F122="",AM122=""),"",IF(COUNT(AI122:AL122)=0,"",AM122-LOOKUP(2,1/(AI122:AL122&lt;&gt;""),AI122:AL122)))</t>
        </is>
      </c>
      <c r="BA122" s="49" t="inlineStr">
        <is>
          <t>IF(OR(F122="",AN122=""),"",IF(COUNT(AI122:AM122)=0,"",AN122-LOOKUP(2,1/(AI122:AM122&lt;&gt;""),AI122:AM122)))</t>
        </is>
      </c>
      <c r="BB122" s="49" t="inlineStr">
        <is>
          <t>IF(OR(F122="",AO122=""),"",IF(COUNT(AI122:AN122)=0,"",AO122-LOOKUP(2,1/(AI122:AN122&lt;&gt;""),AI122:AN122)))</t>
        </is>
      </c>
      <c r="BC122" s="49" t="inlineStr">
        <is>
          <t>IF(OR(F122="",AP122=""),"",IF(COUNT(AI122:AO122)=0,"",AP122-LOOKUP(2,1/(AI122:AO122&lt;&gt;""),AI122:AO122)))</t>
        </is>
      </c>
      <c r="BD122" s="49" t="inlineStr">
        <is>
          <t>IF(OR(F122="",AQ122=""),"",IF(COUNT(AI122:AP122)=0,"",AQ122-LOOKUP(2,1/(AI122:AP122&lt;&gt;""),AI122:AP122)))</t>
        </is>
      </c>
      <c r="BE122" s="49" t="inlineStr">
        <is>
          <t>IF(OR(F122="",AR122=""),"",IF(COUNT(AI122:AQ122)=0,"",AR122-LOOKUP(2,1/(AI122:AQ122&lt;&gt;""),AI122:AQ122)))</t>
        </is>
      </c>
      <c r="BF122" s="49" t="inlineStr">
        <is>
          <t>IF(OR(F122="",AS122=""),"",IF(COUNT(AI122:AR122)=0,"",AS122-LOOKUP(2,1/(AI122:AR122&lt;&gt;""),AI122:AR122)))</t>
        </is>
      </c>
      <c r="BG122" s="49" t="inlineStr">
        <is>
          <t>IF(OR(F122="",AT122=""),"",IF(COUNT(AI122:AS122)=0,"",AT122-LOOKUP(2,1/(AI122:AS122&lt;&gt;""),AI122:AS122)))</t>
        </is>
      </c>
      <c r="BH122" s="49" t="inlineStr">
        <is>
          <t>IF(OR(F122="",AU122=""),"",IF(COUNT(AI122:AT122)=0,"",AU122-LOOKUP(2,1/(AI122:AT122&lt;&gt;""),AI122:AT122)))</t>
        </is>
      </c>
      <c r="BI122" s="49" t="inlineStr">
        <is>
          <t>IF(OR(F122="",AV122=""),"",IF(COUNT(AI122:AU122)=0,"",AV122-LOOKUP(2,1/(AI122:AU122&lt;&gt;""),AI122:AU122)))</t>
        </is>
      </c>
      <c r="BJ122" s="51" t="inlineStr">
        <is>
          <t>IF(J122="","All_Provinces",IFERROR(VLOOKUP(J122,'09_Lookups'!$A$4:$B$20,2,FALSE),"All_Provinces"))</t>
        </is>
      </c>
      <c r="BK122" s="51" t="inlineStr">
        <is>
          <t>IF(K122="","All_Districts",IFERROR(VLOOKUP(K122,'09_Lookups'!$E$4:$F$42,2,FALSE),"All_Districts"))</t>
        </is>
      </c>
    </row>
    <row r="123" ht="18" customHeight="1">
      <c r="A123" s="42" t="inlineStr">
        <is>
          <t>IF(F123="","",ROW()-3)</t>
        </is>
      </c>
      <c r="B123" s="44" t="n"/>
      <c r="C123" s="44" t="n"/>
      <c r="D123" s="44" t="n"/>
      <c r="E123" s="44" t="n"/>
      <c r="F123" s="44" t="n"/>
      <c r="G123" s="44" t="n"/>
      <c r="H123" s="44" t="n"/>
      <c r="I123" s="44" t="n"/>
      <c r="J123" s="44" t="n"/>
      <c r="K123" s="44" t="n"/>
      <c r="L123" s="44" t="n"/>
      <c r="M123" s="44" t="n"/>
      <c r="N123" s="44" t="n"/>
      <c r="O123" s="44" t="n"/>
      <c r="P123" s="44" t="n"/>
      <c r="Q123" s="44" t="n"/>
      <c r="R123" s="44" t="n"/>
      <c r="S123" s="45" t="n"/>
      <c r="T123" s="46" t="inlineStr">
        <is>
          <t>IF(AQ123="","",AQ123)</t>
        </is>
      </c>
      <c r="U123" s="47" t="n"/>
      <c r="V123" s="48" t="n"/>
      <c r="W123" s="47" t="n"/>
      <c r="X123" s="46" t="inlineStr">
        <is>
          <t>IF(W123&lt;&gt;"",W123,IF(OR(T123="",V123=""),"",EDATE(T123,V123)))</t>
        </is>
      </c>
      <c r="Y123" s="47" t="n"/>
      <c r="Z123" s="48" t="n"/>
      <c r="AA123" s="44" t="n"/>
      <c r="AB123" s="44" t="n"/>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ht="18" customHeight="1">
      <c r="A124" s="42" t="inlineStr">
        <is>
          <t>IF(F124="","",ROW()-3)</t>
        </is>
      </c>
      <c r="B124" s="52" t="n"/>
      <c r="C124" s="52" t="n"/>
      <c r="D124" s="52" t="n"/>
      <c r="E124" s="52" t="n"/>
      <c r="F124" s="52" t="n"/>
      <c r="G124" s="52" t="n"/>
      <c r="H124" s="52" t="n"/>
      <c r="I124" s="52" t="n"/>
      <c r="J124" s="52" t="n"/>
      <c r="K124" s="52" t="n"/>
      <c r="L124" s="52" t="n"/>
      <c r="M124" s="52" t="n"/>
      <c r="N124" s="52" t="n"/>
      <c r="O124" s="52" t="n"/>
      <c r="P124" s="52" t="n"/>
      <c r="Q124" s="52" t="n"/>
      <c r="R124" s="52" t="n"/>
      <c r="S124" s="53" t="n"/>
      <c r="T124" s="46" t="inlineStr">
        <is>
          <t>IF(AQ124="","",AQ124)</t>
        </is>
      </c>
      <c r="U124" s="54" t="n"/>
      <c r="V124" s="55" t="n"/>
      <c r="W124" s="54" t="n"/>
      <c r="X124" s="46" t="inlineStr">
        <is>
          <t>IF(W124&lt;&gt;"",W124,IF(OR(T124="",V124=""),"",EDATE(T124,V124)))</t>
        </is>
      </c>
      <c r="Y124" s="54" t="n"/>
      <c r="Z124" s="55" t="n"/>
      <c r="AA124" s="52" t="n"/>
      <c r="AB124" s="52" t="n"/>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ht="18" customHeight="1">
      <c r="A125" s="42" t="inlineStr">
        <is>
          <t>IF(F125="","",ROW()-3)</t>
        </is>
      </c>
      <c r="B125" s="44" t="n"/>
      <c r="C125" s="44" t="n"/>
      <c r="D125" s="44" t="n"/>
      <c r="E125" s="44" t="n"/>
      <c r="F125" s="44" t="n"/>
      <c r="G125" s="44" t="n"/>
      <c r="H125" s="44" t="n"/>
      <c r="I125" s="44" t="n"/>
      <c r="J125" s="44" t="n"/>
      <c r="K125" s="44" t="n"/>
      <c r="L125" s="44" t="n"/>
      <c r="M125" s="44" t="n"/>
      <c r="N125" s="44" t="n"/>
      <c r="O125" s="44" t="n"/>
      <c r="P125" s="44" t="n"/>
      <c r="Q125" s="44" t="n"/>
      <c r="R125" s="44" t="n"/>
      <c r="S125" s="45" t="n"/>
      <c r="T125" s="46" t="inlineStr">
        <is>
          <t>IF(AQ125="","",AQ125)</t>
        </is>
      </c>
      <c r="U125" s="47" t="n"/>
      <c r="V125" s="48" t="n"/>
      <c r="W125" s="47" t="n"/>
      <c r="X125" s="46" t="inlineStr">
        <is>
          <t>IF(W125&lt;&gt;"",W125,IF(OR(T125="",V125=""),"",EDATE(T125,V125)))</t>
        </is>
      </c>
      <c r="Y125" s="47" t="n"/>
      <c r="Z125" s="48" t="n"/>
      <c r="AA125" s="44" t="n"/>
      <c r="AB125" s="44" t="n"/>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ht="18" customHeight="1">
      <c r="A126" s="42" t="inlineStr">
        <is>
          <t>IF(F126="","",ROW()-3)</t>
        </is>
      </c>
      <c r="B126" s="52" t="n"/>
      <c r="C126" s="52" t="n"/>
      <c r="D126" s="52" t="n"/>
      <c r="E126" s="52" t="n"/>
      <c r="F126" s="52" t="n"/>
      <c r="G126" s="52" t="n"/>
      <c r="H126" s="52" t="n"/>
      <c r="I126" s="52" t="n"/>
      <c r="J126" s="52" t="n"/>
      <c r="K126" s="52" t="n"/>
      <c r="L126" s="52" t="n"/>
      <c r="M126" s="52" t="n"/>
      <c r="N126" s="52" t="n"/>
      <c r="O126" s="52" t="n"/>
      <c r="P126" s="52" t="n"/>
      <c r="Q126" s="52" t="n"/>
      <c r="R126" s="52" t="n"/>
      <c r="S126" s="53" t="n"/>
      <c r="T126" s="46" t="inlineStr">
        <is>
          <t>IF(AQ126="","",AQ126)</t>
        </is>
      </c>
      <c r="U126" s="54" t="n"/>
      <c r="V126" s="55" t="n"/>
      <c r="W126" s="54" t="n"/>
      <c r="X126" s="46" t="inlineStr">
        <is>
          <t>IF(W126&lt;&gt;"",W126,IF(OR(T126="",V126=""),"",EDATE(T126,V126)))</t>
        </is>
      </c>
      <c r="Y126" s="54" t="n"/>
      <c r="Z126" s="55" t="n"/>
      <c r="AA126" s="52" t="n"/>
      <c r="AB126" s="52" t="n"/>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ht="18" customHeight="1">
      <c r="A127" s="42" t="inlineStr">
        <is>
          <t>IF(F127="","",ROW()-3)</t>
        </is>
      </c>
      <c r="B127" s="44" t="n"/>
      <c r="C127" s="44" t="n"/>
      <c r="D127" s="44" t="n"/>
      <c r="E127" s="44" t="n"/>
      <c r="F127" s="44" t="n"/>
      <c r="G127" s="44" t="n"/>
      <c r="H127" s="44" t="n"/>
      <c r="I127" s="44" t="n"/>
      <c r="J127" s="44" t="n"/>
      <c r="K127" s="44" t="n"/>
      <c r="L127" s="44" t="n"/>
      <c r="M127" s="44" t="n"/>
      <c r="N127" s="44" t="n"/>
      <c r="O127" s="44" t="n"/>
      <c r="P127" s="44" t="n"/>
      <c r="Q127" s="44" t="n"/>
      <c r="R127" s="44" t="n"/>
      <c r="S127" s="45" t="n"/>
      <c r="T127" s="46" t="inlineStr">
        <is>
          <t>IF(AQ127="","",AQ127)</t>
        </is>
      </c>
      <c r="U127" s="47" t="n"/>
      <c r="V127" s="48" t="n"/>
      <c r="W127" s="47" t="n"/>
      <c r="X127" s="46" t="inlineStr">
        <is>
          <t>IF(W127&lt;&gt;"",W127,IF(OR(T127="",V127=""),"",EDATE(T127,V127)))</t>
        </is>
      </c>
      <c r="Y127" s="47" t="n"/>
      <c r="Z127" s="48" t="n"/>
      <c r="AA127" s="44" t="n"/>
      <c r="AB127" s="44" t="n"/>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ht="18" customHeight="1">
      <c r="A128" s="42" t="inlineStr">
        <is>
          <t>IF(F128="","",ROW()-3)</t>
        </is>
      </c>
      <c r="B128" s="52" t="n"/>
      <c r="C128" s="52" t="n"/>
      <c r="D128" s="52" t="n"/>
      <c r="E128" s="52" t="n"/>
      <c r="F128" s="52" t="n"/>
      <c r="G128" s="52" t="n"/>
      <c r="H128" s="52" t="n"/>
      <c r="I128" s="52" t="n"/>
      <c r="J128" s="52" t="n"/>
      <c r="K128" s="52" t="n"/>
      <c r="L128" s="52" t="n"/>
      <c r="M128" s="52" t="n"/>
      <c r="N128" s="52" t="n"/>
      <c r="O128" s="52" t="n"/>
      <c r="P128" s="52" t="n"/>
      <c r="Q128" s="52" t="n"/>
      <c r="R128" s="52" t="n"/>
      <c r="S128" s="53" t="n"/>
      <c r="T128" s="46" t="inlineStr">
        <is>
          <t>IF(AQ128="","",AQ128)</t>
        </is>
      </c>
      <c r="U128" s="54" t="n"/>
      <c r="V128" s="55" t="n"/>
      <c r="W128" s="54" t="n"/>
      <c r="X128" s="46" t="inlineStr">
        <is>
          <t>IF(W128&lt;&gt;"",W128,IF(OR(T128="",V128=""),"",EDATE(T128,V128)))</t>
        </is>
      </c>
      <c r="Y128" s="54" t="n"/>
      <c r="Z128" s="55" t="n"/>
      <c r="AA128" s="52" t="n"/>
      <c r="AB128" s="52" t="n"/>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ht="18" customHeight="1">
      <c r="A129" s="42" t="inlineStr">
        <is>
          <t>IF(F129="","",ROW()-3)</t>
        </is>
      </c>
      <c r="B129" s="44" t="n"/>
      <c r="C129" s="44" t="n"/>
      <c r="D129" s="44" t="n"/>
      <c r="E129" s="44" t="n"/>
      <c r="F129" s="44" t="n"/>
      <c r="G129" s="44" t="n"/>
      <c r="H129" s="44" t="n"/>
      <c r="I129" s="44" t="n"/>
      <c r="J129" s="44" t="n"/>
      <c r="K129" s="44" t="n"/>
      <c r="L129" s="44" t="n"/>
      <c r="M129" s="44" t="n"/>
      <c r="N129" s="44" t="n"/>
      <c r="O129" s="44" t="n"/>
      <c r="P129" s="44" t="n"/>
      <c r="Q129" s="44" t="n"/>
      <c r="R129" s="44" t="n"/>
      <c r="S129" s="45" t="n"/>
      <c r="T129" s="46" t="inlineStr">
        <is>
          <t>IF(AQ129="","",AQ129)</t>
        </is>
      </c>
      <c r="U129" s="47" t="n"/>
      <c r="V129" s="48" t="n"/>
      <c r="W129" s="47" t="n"/>
      <c r="X129" s="46" t="inlineStr">
        <is>
          <t>IF(W129&lt;&gt;"",W129,IF(OR(T129="",V129=""),"",EDATE(T129,V129)))</t>
        </is>
      </c>
      <c r="Y129" s="47" t="n"/>
      <c r="Z129" s="48" t="n"/>
      <c r="AA129" s="44" t="n"/>
      <c r="AB129" s="44" t="n"/>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ht="18" customHeight="1">
      <c r="A130" s="42" t="inlineStr">
        <is>
          <t>IF(F130="","",ROW()-3)</t>
        </is>
      </c>
      <c r="B130" s="52" t="n"/>
      <c r="C130" s="52" t="n"/>
      <c r="D130" s="52" t="n"/>
      <c r="E130" s="52" t="n"/>
      <c r="F130" s="52" t="n"/>
      <c r="G130" s="52" t="n"/>
      <c r="H130" s="52" t="n"/>
      <c r="I130" s="52" t="n"/>
      <c r="J130" s="52" t="n"/>
      <c r="K130" s="52" t="n"/>
      <c r="L130" s="52" t="n"/>
      <c r="M130" s="52" t="n"/>
      <c r="N130" s="52" t="n"/>
      <c r="O130" s="52" t="n"/>
      <c r="P130" s="52" t="n"/>
      <c r="Q130" s="52" t="n"/>
      <c r="R130" s="52" t="n"/>
      <c r="S130" s="53" t="n"/>
      <c r="T130" s="46" t="inlineStr">
        <is>
          <t>IF(AQ130="","",AQ130)</t>
        </is>
      </c>
      <c r="U130" s="54" t="n"/>
      <c r="V130" s="55" t="n"/>
      <c r="W130" s="54" t="n"/>
      <c r="X130" s="46" t="inlineStr">
        <is>
          <t>IF(W130&lt;&gt;"",W130,IF(OR(T130="",V130=""),"",EDATE(T130,V130)))</t>
        </is>
      </c>
      <c r="Y130" s="54" t="n"/>
      <c r="Z130" s="55" t="n"/>
      <c r="AA130" s="52" t="n"/>
      <c r="AB130" s="52" t="n"/>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42" t="inlineStr">
        <is>
          <t>IF(F131="","",ROW()-3)</t>
        </is>
      </c>
      <c r="B131" s="44" t="n"/>
      <c r="C131" s="44" t="n"/>
      <c r="D131" s="44" t="n"/>
      <c r="E131" s="44" t="n"/>
      <c r="F131" s="44" t="n"/>
      <c r="G131" s="44" t="n"/>
      <c r="H131" s="44" t="n"/>
      <c r="I131" s="44" t="n"/>
      <c r="J131" s="44" t="n"/>
      <c r="K131" s="44" t="n"/>
      <c r="L131" s="44" t="n"/>
      <c r="M131" s="44" t="n"/>
      <c r="N131" s="44" t="n"/>
      <c r="O131" s="44" t="n"/>
      <c r="P131" s="44" t="n"/>
      <c r="Q131" s="44" t="n"/>
      <c r="R131" s="44" t="n"/>
      <c r="S131" s="45" t="n"/>
      <c r="T131" s="46" t="inlineStr">
        <is>
          <t>IF(AQ131="","",AQ131)</t>
        </is>
      </c>
      <c r="U131" s="47" t="n"/>
      <c r="V131" s="48" t="n"/>
      <c r="W131" s="47" t="n"/>
      <c r="X131" s="46" t="inlineStr">
        <is>
          <t>IF(W131&lt;&gt;"",W131,IF(OR(T131="",V131=""),"",EDATE(T131,V131)))</t>
        </is>
      </c>
      <c r="Y131" s="47" t="n"/>
      <c r="Z131" s="48" t="n"/>
      <c r="AA131" s="44" t="n"/>
      <c r="AB131" s="44" t="n"/>
      <c r="AC131" s="42" t="inlineStr">
        <is>
          <t>IF(F131="","",IF(COUNT(AI131:AV131)=0,IF(AA131="","Not started",AA131),SUBSTITUTE(LOOKUP(2,1/(AI131:AV131&lt;&gt;""),$AI$3:$AV$3),"Date: ","")))</t>
        </is>
      </c>
      <c r="AD131" s="49" t="inlineStr">
        <is>
          <t>IF(OR(F131="",COUNT(AI131:AV131)=0),"",TODAY()-LOOKUP(2,1/(AI131:AV131&lt;&gt;""),AI131:AV131))</t>
        </is>
      </c>
      <c r="AE131" s="49" t="inlineStr">
        <is>
          <t>IF(OR(F131="",COUNT(AI131:AV131)&lt;2),"",LOOKUP(2,1/(AI131:AV131&lt;&gt;""),AI131:AV131)-MIN(AI131:AV131))</t>
        </is>
      </c>
      <c r="AF131" s="49" t="inlineStr">
        <is>
          <t>IF(OR(AD131="",AC131="Not started",AC131=""),"",IFERROR(AD131-IF(VLOOKUP(AC131,'06_Status_Pipeline'!$B$3:$E$20,4,FALSE)="",0,VLOOKUP(AC131,'06_Status_Pipeline'!$B$3:$E$20,4,FALSE)),""))</t>
        </is>
      </c>
      <c r="AG131" s="4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49" t="inlineStr">
        <is>
          <t>IF(OR(F131="",AC131="Completed / Handover",AC131="Cancelled"),"",IF(O131="Not awarded",IF(U131&lt;&gt;"",U131-TODAY(),IF(X131="","",X131-TODAY())),IF(X131="","",X131-TODAY())))</t>
        </is>
      </c>
      <c r="AI131" s="47" t="n"/>
      <c r="AJ131" s="47" t="n"/>
      <c r="AK131" s="47" t="n"/>
      <c r="AL131" s="47" t="n"/>
      <c r="AM131" s="47" t="n"/>
      <c r="AN131" s="47" t="n"/>
      <c r="AO131" s="47" t="n"/>
      <c r="AP131" s="47" t="n"/>
      <c r="AQ131" s="47" t="n"/>
      <c r="AR131" s="47" t="n"/>
      <c r="AS131" s="47" t="n"/>
      <c r="AT131" s="50" t="n"/>
      <c r="AU131" s="50" t="n"/>
      <c r="AV131" s="50" t="n"/>
      <c r="AW131" s="49" t="inlineStr">
        <is>
          <t>IF(OR(F131="",AJ131=""),"",IF(COUNT(AI131:AI131)=0,"",AJ131-LOOKUP(2,1/(AI131:AI131&lt;&gt;""),AI131:AI131)))</t>
        </is>
      </c>
      <c r="AX131" s="49" t="inlineStr">
        <is>
          <t>IF(OR(F131="",AK131=""),"",IF(COUNT(AI131:AJ131)=0,"",AK131-LOOKUP(2,1/(AI131:AJ131&lt;&gt;""),AI131:AJ131)))</t>
        </is>
      </c>
      <c r="AY131" s="49" t="inlineStr">
        <is>
          <t>IF(OR(F131="",AL131=""),"",IF(COUNT(AI131:AK131)=0,"",AL131-LOOKUP(2,1/(AI131:AK131&lt;&gt;""),AI131:AK131)))</t>
        </is>
      </c>
      <c r="AZ131" s="49" t="inlineStr">
        <is>
          <t>IF(OR(F131="",AM131=""),"",IF(COUNT(AI131:AL131)=0,"",AM131-LOOKUP(2,1/(AI131:AL131&lt;&gt;""),AI131:AL131)))</t>
        </is>
      </c>
      <c r="BA131" s="49" t="inlineStr">
        <is>
          <t>IF(OR(F131="",AN131=""),"",IF(COUNT(AI131:AM131)=0,"",AN131-LOOKUP(2,1/(AI131:AM131&lt;&gt;""),AI131:AM131)))</t>
        </is>
      </c>
      <c r="BB131" s="49" t="inlineStr">
        <is>
          <t>IF(OR(F131="",AO131=""),"",IF(COUNT(AI131:AN131)=0,"",AO131-LOOKUP(2,1/(AI131:AN131&lt;&gt;""),AI131:AN131)))</t>
        </is>
      </c>
      <c r="BC131" s="49" t="inlineStr">
        <is>
          <t>IF(OR(F131="",AP131=""),"",IF(COUNT(AI131:AO131)=0,"",AP131-LOOKUP(2,1/(AI131:AO131&lt;&gt;""),AI131:AO131)))</t>
        </is>
      </c>
      <c r="BD131" s="49" t="inlineStr">
        <is>
          <t>IF(OR(F131="",AQ131=""),"",IF(COUNT(AI131:AP131)=0,"",AQ131-LOOKUP(2,1/(AI131:AP131&lt;&gt;""),AI131:AP131)))</t>
        </is>
      </c>
      <c r="BE131" s="49" t="inlineStr">
        <is>
          <t>IF(OR(F131="",AR131=""),"",IF(COUNT(AI131:AQ131)=0,"",AR131-LOOKUP(2,1/(AI131:AQ131&lt;&gt;""),AI131:AQ131)))</t>
        </is>
      </c>
      <c r="BF131" s="49" t="inlineStr">
        <is>
          <t>IF(OR(F131="",AS131=""),"",IF(COUNT(AI131:AR131)=0,"",AS131-LOOKUP(2,1/(AI131:AR131&lt;&gt;""),AI131:AR131)))</t>
        </is>
      </c>
      <c r="BG131" s="49" t="inlineStr">
        <is>
          <t>IF(OR(F131="",AT131=""),"",IF(COUNT(AI131:AS131)=0,"",AT131-LOOKUP(2,1/(AI131:AS131&lt;&gt;""),AI131:AS131)))</t>
        </is>
      </c>
      <c r="BH131" s="49" t="inlineStr">
        <is>
          <t>IF(OR(F131="",AU131=""),"",IF(COUNT(AI131:AT131)=0,"",AU131-LOOKUP(2,1/(AI131:AT131&lt;&gt;""),AI131:AT131)))</t>
        </is>
      </c>
      <c r="BI131" s="49" t="inlineStr">
        <is>
          <t>IF(OR(F131="",AV131=""),"",IF(COUNT(AI131:AU131)=0,"",AV131-LOOKUP(2,1/(AI131:AU131&lt;&gt;""),AI131:AU131)))</t>
        </is>
      </c>
      <c r="BJ131" s="51" t="inlineStr">
        <is>
          <t>IF(J131="","All_Provinces",IFERROR(VLOOKUP(J131,'09_Lookups'!$A$4:$B$20,2,FALSE),"All_Provinces"))</t>
        </is>
      </c>
      <c r="BK131" s="51" t="inlineStr">
        <is>
          <t>IF(K131="","All_Districts",IFERROR(VLOOKUP(K131,'09_Lookups'!$E$4:$F$42,2,FALSE),"All_Districts"))</t>
        </is>
      </c>
    </row>
    <row r="132" ht="18" customHeight="1">
      <c r="A132" s="42" t="inlineStr">
        <is>
          <t>IF(F132="","",ROW()-3)</t>
        </is>
      </c>
      <c r="B132" s="52" t="n"/>
      <c r="C132" s="52" t="n"/>
      <c r="D132" s="52" t="n"/>
      <c r="E132" s="52" t="n"/>
      <c r="F132" s="52" t="n"/>
      <c r="G132" s="52" t="n"/>
      <c r="H132" s="52" t="n"/>
      <c r="I132" s="52" t="n"/>
      <c r="J132" s="52" t="n"/>
      <c r="K132" s="52" t="n"/>
      <c r="L132" s="52" t="n"/>
      <c r="M132" s="52" t="n"/>
      <c r="N132" s="52" t="n"/>
      <c r="O132" s="52" t="n"/>
      <c r="P132" s="52" t="n"/>
      <c r="Q132" s="52" t="n"/>
      <c r="R132" s="52" t="n"/>
      <c r="S132" s="53" t="n"/>
      <c r="T132" s="46" t="inlineStr">
        <is>
          <t>IF(AQ132="","",AQ132)</t>
        </is>
      </c>
      <c r="U132" s="54" t="n"/>
      <c r="V132" s="55" t="n"/>
      <c r="W132" s="54" t="n"/>
      <c r="X132" s="46" t="inlineStr">
        <is>
          <t>IF(W132&lt;&gt;"",W132,IF(OR(T132="",V132=""),"",EDATE(T132,V132)))</t>
        </is>
      </c>
      <c r="Y132" s="54" t="n"/>
      <c r="Z132" s="55" t="n"/>
      <c r="AA132" s="52" t="n"/>
      <c r="AB132" s="52" t="n"/>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ht="18" customHeight="1">
      <c r="A133" s="42" t="inlineStr">
        <is>
          <t>IF(F133="","",ROW()-3)</t>
        </is>
      </c>
      <c r="B133" s="44" t="n"/>
      <c r="C133" s="44" t="n"/>
      <c r="D133" s="44" t="n"/>
      <c r="E133" s="44" t="n"/>
      <c r="F133" s="44" t="n"/>
      <c r="G133" s="44" t="n"/>
      <c r="H133" s="44" t="n"/>
      <c r="I133" s="44" t="n"/>
      <c r="J133" s="44" t="n"/>
      <c r="K133" s="44" t="n"/>
      <c r="L133" s="44" t="n"/>
      <c r="M133" s="44" t="n"/>
      <c r="N133" s="44" t="n"/>
      <c r="O133" s="44" t="n"/>
      <c r="P133" s="44" t="n"/>
      <c r="Q133" s="44" t="n"/>
      <c r="R133" s="44" t="n"/>
      <c r="S133" s="45" t="n"/>
      <c r="T133" s="46" t="inlineStr">
        <is>
          <t>IF(AQ133="","",AQ133)</t>
        </is>
      </c>
      <c r="U133" s="47" t="n"/>
      <c r="V133" s="48" t="n"/>
      <c r="W133" s="47" t="n"/>
      <c r="X133" s="46" t="inlineStr">
        <is>
          <t>IF(W133&lt;&gt;"",W133,IF(OR(T133="",V133=""),"",EDATE(T133,V133)))</t>
        </is>
      </c>
      <c r="Y133" s="47" t="n"/>
      <c r="Z133" s="48" t="n"/>
      <c r="AA133" s="44" t="n"/>
      <c r="AB133" s="44" t="n"/>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ht="18" customHeight="1">
      <c r="A134" s="42" t="inlineStr">
        <is>
          <t>IF(F134="","",ROW()-3)</t>
        </is>
      </c>
      <c r="B134" s="52" t="n"/>
      <c r="C134" s="52" t="n"/>
      <c r="D134" s="52" t="n"/>
      <c r="E134" s="52" t="n"/>
      <c r="F134" s="52" t="n"/>
      <c r="G134" s="52" t="n"/>
      <c r="H134" s="52" t="n"/>
      <c r="I134" s="52" t="n"/>
      <c r="J134" s="52" t="n"/>
      <c r="K134" s="52" t="n"/>
      <c r="L134" s="52" t="n"/>
      <c r="M134" s="52" t="n"/>
      <c r="N134" s="52" t="n"/>
      <c r="O134" s="52" t="n"/>
      <c r="P134" s="52" t="n"/>
      <c r="Q134" s="52" t="n"/>
      <c r="R134" s="52" t="n"/>
      <c r="S134" s="53" t="n"/>
      <c r="T134" s="46" t="inlineStr">
        <is>
          <t>IF(AQ134="","",AQ134)</t>
        </is>
      </c>
      <c r="U134" s="54" t="n"/>
      <c r="V134" s="55" t="n"/>
      <c r="W134" s="54" t="n"/>
      <c r="X134" s="46" t="inlineStr">
        <is>
          <t>IF(W134&lt;&gt;"",W134,IF(OR(T134="",V134=""),"",EDATE(T134,V134)))</t>
        </is>
      </c>
      <c r="Y134" s="54" t="n"/>
      <c r="Z134" s="55" t="n"/>
      <c r="AA134" s="52" t="n"/>
      <c r="AB134" s="52" t="n"/>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ht="18" customHeight="1">
      <c r="A135" s="42" t="inlineStr">
        <is>
          <t>IF(F135="","",ROW()-3)</t>
        </is>
      </c>
      <c r="B135" s="44" t="n"/>
      <c r="C135" s="44" t="n"/>
      <c r="D135" s="44" t="n"/>
      <c r="E135" s="44" t="n"/>
      <c r="F135" s="44" t="n"/>
      <c r="G135" s="44" t="n"/>
      <c r="H135" s="44" t="n"/>
      <c r="I135" s="44" t="n"/>
      <c r="J135" s="44" t="n"/>
      <c r="K135" s="44" t="n"/>
      <c r="L135" s="44" t="n"/>
      <c r="M135" s="44" t="n"/>
      <c r="N135" s="44" t="n"/>
      <c r="O135" s="44" t="n"/>
      <c r="P135" s="44" t="n"/>
      <c r="Q135" s="44" t="n"/>
      <c r="R135" s="44" t="n"/>
      <c r="S135" s="45" t="n"/>
      <c r="T135" s="46" t="inlineStr">
        <is>
          <t>IF(AQ135="","",AQ135)</t>
        </is>
      </c>
      <c r="U135" s="47" t="n"/>
      <c r="V135" s="48" t="n"/>
      <c r="W135" s="47" t="n"/>
      <c r="X135" s="46" t="inlineStr">
        <is>
          <t>IF(W135&lt;&gt;"",W135,IF(OR(T135="",V135=""),"",EDATE(T135,V135)))</t>
        </is>
      </c>
      <c r="Y135" s="47" t="n"/>
      <c r="Z135" s="48" t="n"/>
      <c r="AA135" s="44" t="n"/>
      <c r="AB135" s="44" t="n"/>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ht="18" customHeight="1">
      <c r="A136" s="42" t="inlineStr">
        <is>
          <t>IF(F136="","",ROW()-3)</t>
        </is>
      </c>
      <c r="B136" s="52" t="n"/>
      <c r="C136" s="52" t="n"/>
      <c r="D136" s="52" t="n"/>
      <c r="E136" s="52" t="n"/>
      <c r="F136" s="52" t="n"/>
      <c r="G136" s="52" t="n"/>
      <c r="H136" s="52" t="n"/>
      <c r="I136" s="52" t="n"/>
      <c r="J136" s="52" t="n"/>
      <c r="K136" s="52" t="n"/>
      <c r="L136" s="52" t="n"/>
      <c r="M136" s="52" t="n"/>
      <c r="N136" s="52" t="n"/>
      <c r="O136" s="52" t="n"/>
      <c r="P136" s="52" t="n"/>
      <c r="Q136" s="52" t="n"/>
      <c r="R136" s="52" t="n"/>
      <c r="S136" s="53" t="n"/>
      <c r="T136" s="46" t="inlineStr">
        <is>
          <t>IF(AQ136="","",AQ136)</t>
        </is>
      </c>
      <c r="U136" s="54" t="n"/>
      <c r="V136" s="55" t="n"/>
      <c r="W136" s="54" t="n"/>
      <c r="X136" s="46" t="inlineStr">
        <is>
          <t>IF(W136&lt;&gt;"",W136,IF(OR(T136="",V136=""),"",EDATE(T136,V136)))</t>
        </is>
      </c>
      <c r="Y136" s="54" t="n"/>
      <c r="Z136" s="55" t="n"/>
      <c r="AA136" s="52" t="n"/>
      <c r="AB136" s="52" t="n"/>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ht="18" customHeight="1">
      <c r="A137" s="42" t="inlineStr">
        <is>
          <t>IF(F137="","",ROW()-3)</t>
        </is>
      </c>
      <c r="B137" s="44" t="n"/>
      <c r="C137" s="44" t="n"/>
      <c r="D137" s="44" t="n"/>
      <c r="E137" s="44" t="n"/>
      <c r="F137" s="44" t="n"/>
      <c r="G137" s="44" t="n"/>
      <c r="H137" s="44" t="n"/>
      <c r="I137" s="44" t="n"/>
      <c r="J137" s="44" t="n"/>
      <c r="K137" s="44" t="n"/>
      <c r="L137" s="44" t="n"/>
      <c r="M137" s="44" t="n"/>
      <c r="N137" s="44" t="n"/>
      <c r="O137" s="44" t="n"/>
      <c r="P137" s="44" t="n"/>
      <c r="Q137" s="44" t="n"/>
      <c r="R137" s="44" t="n"/>
      <c r="S137" s="45" t="n"/>
      <c r="T137" s="46" t="inlineStr">
        <is>
          <t>IF(AQ137="","",AQ137)</t>
        </is>
      </c>
      <c r="U137" s="47" t="n"/>
      <c r="V137" s="48" t="n"/>
      <c r="W137" s="47" t="n"/>
      <c r="X137" s="46" t="inlineStr">
        <is>
          <t>IF(W137&lt;&gt;"",W137,IF(OR(T137="",V137=""),"",EDATE(T137,V137)))</t>
        </is>
      </c>
      <c r="Y137" s="47" t="n"/>
      <c r="Z137" s="48" t="n"/>
      <c r="AA137" s="44" t="n"/>
      <c r="AB137" s="44" t="n"/>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ht="18" customHeight="1">
      <c r="A138" s="42" t="inlineStr">
        <is>
          <t>IF(F138="","",ROW()-3)</t>
        </is>
      </c>
      <c r="B138" s="52" t="n"/>
      <c r="C138" s="52" t="n"/>
      <c r="D138" s="52" t="n"/>
      <c r="E138" s="52" t="n"/>
      <c r="F138" s="52" t="n"/>
      <c r="G138" s="52" t="n"/>
      <c r="H138" s="52" t="n"/>
      <c r="I138" s="52" t="n"/>
      <c r="J138" s="52" t="n"/>
      <c r="K138" s="52" t="n"/>
      <c r="L138" s="52" t="n"/>
      <c r="M138" s="52" t="n"/>
      <c r="N138" s="52" t="n"/>
      <c r="O138" s="52" t="n"/>
      <c r="P138" s="52" t="n"/>
      <c r="Q138" s="52" t="n"/>
      <c r="R138" s="52" t="n"/>
      <c r="S138" s="53" t="n"/>
      <c r="T138" s="46" t="inlineStr">
        <is>
          <t>IF(AQ138="","",AQ138)</t>
        </is>
      </c>
      <c r="U138" s="54" t="n"/>
      <c r="V138" s="55" t="n"/>
      <c r="W138" s="54" t="n"/>
      <c r="X138" s="46" t="inlineStr">
        <is>
          <t>IF(W138&lt;&gt;"",W138,IF(OR(T138="",V138=""),"",EDATE(T138,V138)))</t>
        </is>
      </c>
      <c r="Y138" s="54" t="n"/>
      <c r="Z138" s="55" t="n"/>
      <c r="AA138" s="52" t="n"/>
      <c r="AB138" s="52" t="n"/>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ht="18" customHeight="1">
      <c r="A139" s="42" t="inlineStr">
        <is>
          <t>IF(F139="","",ROW()-3)</t>
        </is>
      </c>
      <c r="B139" s="44" t="n"/>
      <c r="C139" s="44" t="n"/>
      <c r="D139" s="44" t="n"/>
      <c r="E139" s="44" t="n"/>
      <c r="F139" s="44" t="n"/>
      <c r="G139" s="44" t="n"/>
      <c r="H139" s="44" t="n"/>
      <c r="I139" s="44" t="n"/>
      <c r="J139" s="44" t="n"/>
      <c r="K139" s="44" t="n"/>
      <c r="L139" s="44" t="n"/>
      <c r="M139" s="44" t="n"/>
      <c r="N139" s="44" t="n"/>
      <c r="O139" s="44" t="n"/>
      <c r="P139" s="44" t="n"/>
      <c r="Q139" s="44" t="n"/>
      <c r="R139" s="44" t="n"/>
      <c r="S139" s="45" t="n"/>
      <c r="T139" s="46" t="inlineStr">
        <is>
          <t>IF(AQ139="","",AQ139)</t>
        </is>
      </c>
      <c r="U139" s="47" t="n"/>
      <c r="V139" s="48" t="n"/>
      <c r="W139" s="47" t="n"/>
      <c r="X139" s="46" t="inlineStr">
        <is>
          <t>IF(W139&lt;&gt;"",W139,IF(OR(T139="",V139=""),"",EDATE(T139,V139)))</t>
        </is>
      </c>
      <c r="Y139" s="47" t="n"/>
      <c r="Z139" s="48" t="n"/>
      <c r="AA139" s="44" t="n"/>
      <c r="AB139" s="44" t="n"/>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ht="18" customHeight="1">
      <c r="A140" s="42" t="inlineStr">
        <is>
          <t>IF(F140="","",ROW()-3)</t>
        </is>
      </c>
      <c r="B140" s="52" t="n"/>
      <c r="C140" s="52" t="n"/>
      <c r="D140" s="52" t="n"/>
      <c r="E140" s="52" t="n"/>
      <c r="F140" s="52" t="n"/>
      <c r="G140" s="52" t="n"/>
      <c r="H140" s="52" t="n"/>
      <c r="I140" s="52" t="n"/>
      <c r="J140" s="52" t="n"/>
      <c r="K140" s="52" t="n"/>
      <c r="L140" s="52" t="n"/>
      <c r="M140" s="52" t="n"/>
      <c r="N140" s="52" t="n"/>
      <c r="O140" s="52" t="n"/>
      <c r="P140" s="52" t="n"/>
      <c r="Q140" s="52" t="n"/>
      <c r="R140" s="52" t="n"/>
      <c r="S140" s="53" t="n"/>
      <c r="T140" s="46" t="inlineStr">
        <is>
          <t>IF(AQ140="","",AQ140)</t>
        </is>
      </c>
      <c r="U140" s="54" t="n"/>
      <c r="V140" s="55" t="n"/>
      <c r="W140" s="54" t="n"/>
      <c r="X140" s="46" t="inlineStr">
        <is>
          <t>IF(W140&lt;&gt;"",W140,IF(OR(T140="",V140=""),"",EDATE(T140,V140)))</t>
        </is>
      </c>
      <c r="Y140" s="54" t="n"/>
      <c r="Z140" s="55" t="n"/>
      <c r="AA140" s="52" t="n"/>
      <c r="AB140" s="52" t="n"/>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ht="18" customHeight="1">
      <c r="A141" s="42" t="inlineStr">
        <is>
          <t>IF(F141="","",ROW()-3)</t>
        </is>
      </c>
      <c r="B141" s="44" t="n"/>
      <c r="C141" s="44" t="n"/>
      <c r="D141" s="44" t="n"/>
      <c r="E141" s="44" t="n"/>
      <c r="F141" s="44" t="n"/>
      <c r="G141" s="44" t="n"/>
      <c r="H141" s="44" t="n"/>
      <c r="I141" s="44" t="n"/>
      <c r="J141" s="44" t="n"/>
      <c r="K141" s="44" t="n"/>
      <c r="L141" s="44" t="n"/>
      <c r="M141" s="44" t="n"/>
      <c r="N141" s="44" t="n"/>
      <c r="O141" s="44" t="n"/>
      <c r="P141" s="44" t="n"/>
      <c r="Q141" s="44" t="n"/>
      <c r="R141" s="44" t="n"/>
      <c r="S141" s="45" t="n"/>
      <c r="T141" s="46" t="inlineStr">
        <is>
          <t>IF(AQ141="","",AQ141)</t>
        </is>
      </c>
      <c r="U141" s="47" t="n"/>
      <c r="V141" s="48" t="n"/>
      <c r="W141" s="47" t="n"/>
      <c r="X141" s="46" t="inlineStr">
        <is>
          <t>IF(W141&lt;&gt;"",W141,IF(OR(T141="",V141=""),"",EDATE(T141,V141)))</t>
        </is>
      </c>
      <c r="Y141" s="47" t="n"/>
      <c r="Z141" s="48" t="n"/>
      <c r="AA141" s="44" t="n"/>
      <c r="AB141" s="44" t="n"/>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ht="18" customHeight="1">
      <c r="A142" s="42" t="inlineStr">
        <is>
          <t>IF(F142="","",ROW()-3)</t>
        </is>
      </c>
      <c r="B142" s="52" t="n"/>
      <c r="C142" s="52" t="n"/>
      <c r="D142" s="52" t="n"/>
      <c r="E142" s="52" t="n"/>
      <c r="F142" s="52" t="n"/>
      <c r="G142" s="52" t="n"/>
      <c r="H142" s="52" t="n"/>
      <c r="I142" s="52" t="n"/>
      <c r="J142" s="52" t="n"/>
      <c r="K142" s="52" t="n"/>
      <c r="L142" s="52" t="n"/>
      <c r="M142" s="52" t="n"/>
      <c r="N142" s="52" t="n"/>
      <c r="O142" s="52" t="n"/>
      <c r="P142" s="52" t="n"/>
      <c r="Q142" s="52" t="n"/>
      <c r="R142" s="52" t="n"/>
      <c r="S142" s="53" t="n"/>
      <c r="T142" s="46" t="inlineStr">
        <is>
          <t>IF(AQ142="","",AQ142)</t>
        </is>
      </c>
      <c r="U142" s="54" t="n"/>
      <c r="V142" s="55" t="n"/>
      <c r="W142" s="54" t="n"/>
      <c r="X142" s="46" t="inlineStr">
        <is>
          <t>IF(W142&lt;&gt;"",W142,IF(OR(T142="",V142=""),"",EDATE(T142,V142)))</t>
        </is>
      </c>
      <c r="Y142" s="54" t="n"/>
      <c r="Z142" s="55" t="n"/>
      <c r="AA142" s="52" t="n"/>
      <c r="AB142" s="52" t="n"/>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42" t="inlineStr">
        <is>
          <t>IF(F143="","",ROW()-3)</t>
        </is>
      </c>
      <c r="B143" s="44" t="n"/>
      <c r="C143" s="44" t="n"/>
      <c r="D143" s="44" t="n"/>
      <c r="E143" s="44" t="n"/>
      <c r="F143" s="44" t="n"/>
      <c r="G143" s="44" t="n"/>
      <c r="H143" s="44" t="n"/>
      <c r="I143" s="44" t="n"/>
      <c r="J143" s="44" t="n"/>
      <c r="K143" s="44" t="n"/>
      <c r="L143" s="44" t="n"/>
      <c r="M143" s="44" t="n"/>
      <c r="N143" s="44" t="n"/>
      <c r="O143" s="44" t="n"/>
      <c r="P143" s="44" t="n"/>
      <c r="Q143" s="44" t="n"/>
      <c r="R143" s="44" t="n"/>
      <c r="S143" s="45" t="n"/>
      <c r="T143" s="46" t="inlineStr">
        <is>
          <t>IF(AQ143="","",AQ143)</t>
        </is>
      </c>
      <c r="U143" s="47" t="n"/>
      <c r="V143" s="48" t="n"/>
      <c r="W143" s="47" t="n"/>
      <c r="X143" s="46" t="inlineStr">
        <is>
          <t>IF(W143&lt;&gt;"",W143,IF(OR(T143="",V143=""),"",EDATE(T143,V143)))</t>
        </is>
      </c>
      <c r="Y143" s="47" t="n"/>
      <c r="Z143" s="48" t="n"/>
      <c r="AA143" s="44" t="n"/>
      <c r="AB143" s="44" t="n"/>
      <c r="AC143" s="42" t="inlineStr">
        <is>
          <t>IF(F143="","",IF(COUNT(AI143:AV143)=0,IF(AA143="","Not started",AA143),SUBSTITUTE(LOOKUP(2,1/(AI143:AV143&lt;&gt;""),$AI$3:$AV$3),"Date: ","")))</t>
        </is>
      </c>
      <c r="AD143" s="49" t="inlineStr">
        <is>
          <t>IF(OR(F143="",COUNT(AI143:AV143)=0),"",TODAY()-LOOKUP(2,1/(AI143:AV143&lt;&gt;""),AI143:AV143))</t>
        </is>
      </c>
      <c r="AE143" s="49" t="inlineStr">
        <is>
          <t>IF(OR(F143="",COUNT(AI143:AV143)&lt;2),"",LOOKUP(2,1/(AI143:AV143&lt;&gt;""),AI143:AV143)-MIN(AI143:AV143))</t>
        </is>
      </c>
      <c r="AF143" s="49" t="inlineStr">
        <is>
          <t>IF(OR(AD143="",AC143="Not started",AC143=""),"",IFERROR(AD143-IF(VLOOKUP(AC143,'06_Status_Pipeline'!$B$3:$E$20,4,FALSE)="",0,VLOOKUP(AC143,'06_Status_Pipeline'!$B$3:$E$20,4,FALSE)),""))</t>
        </is>
      </c>
      <c r="AG143" s="4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49" t="inlineStr">
        <is>
          <t>IF(OR(F143="",AC143="Completed / Handover",AC143="Cancelled"),"",IF(O143="Not awarded",IF(U143&lt;&gt;"",U143-TODAY(),IF(X143="","",X143-TODAY())),IF(X143="","",X143-TODAY())))</t>
        </is>
      </c>
      <c r="AI143" s="47" t="n"/>
      <c r="AJ143" s="47" t="n"/>
      <c r="AK143" s="47" t="n"/>
      <c r="AL143" s="47" t="n"/>
      <c r="AM143" s="47" t="n"/>
      <c r="AN143" s="47" t="n"/>
      <c r="AO143" s="47" t="n"/>
      <c r="AP143" s="47" t="n"/>
      <c r="AQ143" s="47" t="n"/>
      <c r="AR143" s="47" t="n"/>
      <c r="AS143" s="47" t="n"/>
      <c r="AT143" s="50" t="n"/>
      <c r="AU143" s="50" t="n"/>
      <c r="AV143" s="50" t="n"/>
      <c r="AW143" s="49" t="inlineStr">
        <is>
          <t>IF(OR(F143="",AJ143=""),"",IF(COUNT(AI143:AI143)=0,"",AJ143-LOOKUP(2,1/(AI143:AI143&lt;&gt;""),AI143:AI143)))</t>
        </is>
      </c>
      <c r="AX143" s="49" t="inlineStr">
        <is>
          <t>IF(OR(F143="",AK143=""),"",IF(COUNT(AI143:AJ143)=0,"",AK143-LOOKUP(2,1/(AI143:AJ143&lt;&gt;""),AI143:AJ143)))</t>
        </is>
      </c>
      <c r="AY143" s="49" t="inlineStr">
        <is>
          <t>IF(OR(F143="",AL143=""),"",IF(COUNT(AI143:AK143)=0,"",AL143-LOOKUP(2,1/(AI143:AK143&lt;&gt;""),AI143:AK143)))</t>
        </is>
      </c>
      <c r="AZ143" s="49" t="inlineStr">
        <is>
          <t>IF(OR(F143="",AM143=""),"",IF(COUNT(AI143:AL143)=0,"",AM143-LOOKUP(2,1/(AI143:AL143&lt;&gt;""),AI143:AL143)))</t>
        </is>
      </c>
      <c r="BA143" s="49" t="inlineStr">
        <is>
          <t>IF(OR(F143="",AN143=""),"",IF(COUNT(AI143:AM143)=0,"",AN143-LOOKUP(2,1/(AI143:AM143&lt;&gt;""),AI143:AM143)))</t>
        </is>
      </c>
      <c r="BB143" s="49" t="inlineStr">
        <is>
          <t>IF(OR(F143="",AO143=""),"",IF(COUNT(AI143:AN143)=0,"",AO143-LOOKUP(2,1/(AI143:AN143&lt;&gt;""),AI143:AN143)))</t>
        </is>
      </c>
      <c r="BC143" s="49" t="inlineStr">
        <is>
          <t>IF(OR(F143="",AP143=""),"",IF(COUNT(AI143:AO143)=0,"",AP143-LOOKUP(2,1/(AI143:AO143&lt;&gt;""),AI143:AO143)))</t>
        </is>
      </c>
      <c r="BD143" s="49" t="inlineStr">
        <is>
          <t>IF(OR(F143="",AQ143=""),"",IF(COUNT(AI143:AP143)=0,"",AQ143-LOOKUP(2,1/(AI143:AP143&lt;&gt;""),AI143:AP143)))</t>
        </is>
      </c>
      <c r="BE143" s="49" t="inlineStr">
        <is>
          <t>IF(OR(F143="",AR143=""),"",IF(COUNT(AI143:AQ143)=0,"",AR143-LOOKUP(2,1/(AI143:AQ143&lt;&gt;""),AI143:AQ143)))</t>
        </is>
      </c>
      <c r="BF143" s="49" t="inlineStr">
        <is>
          <t>IF(OR(F143="",AS143=""),"",IF(COUNT(AI143:AR143)=0,"",AS143-LOOKUP(2,1/(AI143:AR143&lt;&gt;""),AI143:AR143)))</t>
        </is>
      </c>
      <c r="BG143" s="49" t="inlineStr">
        <is>
          <t>IF(OR(F143="",AT143=""),"",IF(COUNT(AI143:AS143)=0,"",AT143-LOOKUP(2,1/(AI143:AS143&lt;&gt;""),AI143:AS143)))</t>
        </is>
      </c>
      <c r="BH143" s="49" t="inlineStr">
        <is>
          <t>IF(OR(F143="",AU143=""),"",IF(COUNT(AI143:AT143)=0,"",AU143-LOOKUP(2,1/(AI143:AT143&lt;&gt;""),AI143:AT143)))</t>
        </is>
      </c>
      <c r="BI143" s="49" t="inlineStr">
        <is>
          <t>IF(OR(F143="",AV143=""),"",IF(COUNT(AI143:AU143)=0,"",AV143-LOOKUP(2,1/(AI143:AU143&lt;&gt;""),AI143:AU143)))</t>
        </is>
      </c>
      <c r="BJ143" s="51" t="inlineStr">
        <is>
          <t>IF(J143="","All_Provinces",IFERROR(VLOOKUP(J143,'09_Lookups'!$A$4:$B$20,2,FALSE),"All_Provinces"))</t>
        </is>
      </c>
      <c r="BK143" s="51" t="inlineStr">
        <is>
          <t>IF(K143="","All_Districts",IFERROR(VLOOKUP(K143,'09_Lookups'!$E$4:$F$42,2,FALSE),"All_Districts"))</t>
        </is>
      </c>
    </row>
    <row r="144" ht="18" customHeight="1">
      <c r="A144" s="42" t="inlineStr">
        <is>
          <t>IF(F144="","",ROW()-3)</t>
        </is>
      </c>
      <c r="B144" s="52" t="n"/>
      <c r="C144" s="52" t="n"/>
      <c r="D144" s="52" t="n"/>
      <c r="E144" s="52" t="n"/>
      <c r="F144" s="52" t="n"/>
      <c r="G144" s="52" t="n"/>
      <c r="H144" s="52" t="n"/>
      <c r="I144" s="52" t="n"/>
      <c r="J144" s="52" t="n"/>
      <c r="K144" s="52" t="n"/>
      <c r="L144" s="52" t="n"/>
      <c r="M144" s="52" t="n"/>
      <c r="N144" s="52" t="n"/>
      <c r="O144" s="52" t="n"/>
      <c r="P144" s="52" t="n"/>
      <c r="Q144" s="52" t="n"/>
      <c r="R144" s="52" t="n"/>
      <c r="S144" s="53" t="n"/>
      <c r="T144" s="46" t="inlineStr">
        <is>
          <t>IF(AQ144="","",AQ144)</t>
        </is>
      </c>
      <c r="U144" s="54" t="n"/>
      <c r="V144" s="55" t="n"/>
      <c r="W144" s="54" t="n"/>
      <c r="X144" s="46" t="inlineStr">
        <is>
          <t>IF(W144&lt;&gt;"",W144,IF(OR(T144="",V144=""),"",EDATE(T144,V144)))</t>
        </is>
      </c>
      <c r="Y144" s="54" t="n"/>
      <c r="Z144" s="55" t="n"/>
      <c r="AA144" s="52" t="n"/>
      <c r="AB144" s="52" t="n"/>
      <c r="AC144" s="42" t="inlineStr">
        <is>
          <t>IF(F144="","",IF(COUNT(AI144:AV144)=0,IF(AA144="","Not started",AA144),SUBSTITUTE(LOOKUP(2,1/(AI144:AV144&lt;&gt;""),$AI$3:$AV$3),"Date: ","")))</t>
        </is>
      </c>
      <c r="AD144" s="49" t="inlineStr">
        <is>
          <t>IF(OR(F144="",COUNT(AI144:AV144)=0),"",TODAY()-LOOKUP(2,1/(AI144:AV144&lt;&gt;""),AI144:AV144))</t>
        </is>
      </c>
      <c r="AE144" s="49" t="inlineStr">
        <is>
          <t>IF(OR(F144="",COUNT(AI144:AV144)&lt;2),"",LOOKUP(2,1/(AI144:AV144&lt;&gt;""),AI144:AV144)-MIN(AI144:AV144))</t>
        </is>
      </c>
      <c r="AF144" s="49" t="inlineStr">
        <is>
          <t>IF(OR(AD144="",AC144="Not started",AC144=""),"",IFERROR(AD144-IF(VLOOKUP(AC144,'06_Status_Pipeline'!$B$3:$E$20,4,FALSE)="",0,VLOOKUP(AC144,'06_Status_Pipeline'!$B$3:$E$20,4,FALSE)),""))</t>
        </is>
      </c>
      <c r="AG144" s="4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49" t="inlineStr">
        <is>
          <t>IF(OR(F144="",AC144="Completed / Handover",AC144="Cancelled"),"",IF(O144="Not awarded",IF(U144&lt;&gt;"",U144-TODAY(),IF(X144="","",X144-TODAY())),IF(X144="","",X144-TODAY())))</t>
        </is>
      </c>
      <c r="AI144" s="54" t="n"/>
      <c r="AJ144" s="54" t="n"/>
      <c r="AK144" s="54" t="n"/>
      <c r="AL144" s="54" t="n"/>
      <c r="AM144" s="54" t="n"/>
      <c r="AN144" s="54" t="n"/>
      <c r="AO144" s="54" t="n"/>
      <c r="AP144" s="54" t="n"/>
      <c r="AQ144" s="54" t="n"/>
      <c r="AR144" s="54" t="n"/>
      <c r="AS144" s="54" t="n"/>
      <c r="AT144" s="50" t="n"/>
      <c r="AU144" s="50" t="n"/>
      <c r="AV144" s="50" t="n"/>
      <c r="AW144" s="49" t="inlineStr">
        <is>
          <t>IF(OR(F144="",AJ144=""),"",IF(COUNT(AI144:AI144)=0,"",AJ144-LOOKUP(2,1/(AI144:AI144&lt;&gt;""),AI144:AI144)))</t>
        </is>
      </c>
      <c r="AX144" s="49" t="inlineStr">
        <is>
          <t>IF(OR(F144="",AK144=""),"",IF(COUNT(AI144:AJ144)=0,"",AK144-LOOKUP(2,1/(AI144:AJ144&lt;&gt;""),AI144:AJ144)))</t>
        </is>
      </c>
      <c r="AY144" s="49" t="inlineStr">
        <is>
          <t>IF(OR(F144="",AL144=""),"",IF(COUNT(AI144:AK144)=0,"",AL144-LOOKUP(2,1/(AI144:AK144&lt;&gt;""),AI144:AK144)))</t>
        </is>
      </c>
      <c r="AZ144" s="49" t="inlineStr">
        <is>
          <t>IF(OR(F144="",AM144=""),"",IF(COUNT(AI144:AL144)=0,"",AM144-LOOKUP(2,1/(AI144:AL144&lt;&gt;""),AI144:AL144)))</t>
        </is>
      </c>
      <c r="BA144" s="49" t="inlineStr">
        <is>
          <t>IF(OR(F144="",AN144=""),"",IF(COUNT(AI144:AM144)=0,"",AN144-LOOKUP(2,1/(AI144:AM144&lt;&gt;""),AI144:AM144)))</t>
        </is>
      </c>
      <c r="BB144" s="49" t="inlineStr">
        <is>
          <t>IF(OR(F144="",AO144=""),"",IF(COUNT(AI144:AN144)=0,"",AO144-LOOKUP(2,1/(AI144:AN144&lt;&gt;""),AI144:AN144)))</t>
        </is>
      </c>
      <c r="BC144" s="49" t="inlineStr">
        <is>
          <t>IF(OR(F144="",AP144=""),"",IF(COUNT(AI144:AO144)=0,"",AP144-LOOKUP(2,1/(AI144:AO144&lt;&gt;""),AI144:AO144)))</t>
        </is>
      </c>
      <c r="BD144" s="49" t="inlineStr">
        <is>
          <t>IF(OR(F144="",AQ144=""),"",IF(COUNT(AI144:AP144)=0,"",AQ144-LOOKUP(2,1/(AI144:AP144&lt;&gt;""),AI144:AP144)))</t>
        </is>
      </c>
      <c r="BE144" s="49" t="inlineStr">
        <is>
          <t>IF(OR(F144="",AR144=""),"",IF(COUNT(AI144:AQ144)=0,"",AR144-LOOKUP(2,1/(AI144:AQ144&lt;&gt;""),AI144:AQ144)))</t>
        </is>
      </c>
      <c r="BF144" s="49" t="inlineStr">
        <is>
          <t>IF(OR(F144="",AS144=""),"",IF(COUNT(AI144:AR144)=0,"",AS144-LOOKUP(2,1/(AI144:AR144&lt;&gt;""),AI144:AR144)))</t>
        </is>
      </c>
      <c r="BG144" s="49" t="inlineStr">
        <is>
          <t>IF(OR(F144="",AT144=""),"",IF(COUNT(AI144:AS144)=0,"",AT144-LOOKUP(2,1/(AI144:AS144&lt;&gt;""),AI144:AS144)))</t>
        </is>
      </c>
      <c r="BH144" s="49" t="inlineStr">
        <is>
          <t>IF(OR(F144="",AU144=""),"",IF(COUNT(AI144:AT144)=0,"",AU144-LOOKUP(2,1/(AI144:AT144&lt;&gt;""),AI144:AT144)))</t>
        </is>
      </c>
      <c r="BI144" s="49" t="inlineStr">
        <is>
          <t>IF(OR(F144="",AV144=""),"",IF(COUNT(AI144:AU144)=0,"",AV144-LOOKUP(2,1/(AI144:AU144&lt;&gt;""),AI144:AU144)))</t>
        </is>
      </c>
      <c r="BJ144" s="51" t="inlineStr">
        <is>
          <t>IF(J144="","All_Provinces",IFERROR(VLOOKUP(J144,'09_Lookups'!$A$4:$B$20,2,FALSE),"All_Provinces"))</t>
        </is>
      </c>
      <c r="BK144" s="51" t="inlineStr">
        <is>
          <t>IF(K144="","All_Districts",IFERROR(VLOOKUP(K144,'09_Lookups'!$E$4:$F$42,2,FALSE),"All_Districts"))</t>
        </is>
      </c>
    </row>
    <row r="145" ht="18" customHeight="1">
      <c r="A145" s="42" t="inlineStr">
        <is>
          <t>IF(F145="","",ROW()-3)</t>
        </is>
      </c>
      <c r="B145" s="44" t="n"/>
      <c r="C145" s="44" t="n"/>
      <c r="D145" s="44" t="n"/>
      <c r="E145" s="44" t="n"/>
      <c r="F145" s="44" t="n"/>
      <c r="G145" s="44" t="n"/>
      <c r="H145" s="44" t="n"/>
      <c r="I145" s="44" t="n"/>
      <c r="J145" s="44" t="n"/>
      <c r="K145" s="44" t="n"/>
      <c r="L145" s="44" t="n"/>
      <c r="M145" s="44" t="n"/>
      <c r="N145" s="44" t="n"/>
      <c r="O145" s="44" t="n"/>
      <c r="P145" s="44" t="n"/>
      <c r="Q145" s="44" t="n"/>
      <c r="R145" s="44" t="n"/>
      <c r="S145" s="45" t="n"/>
      <c r="T145" s="46" t="inlineStr">
        <is>
          <t>IF(AQ145="","",AQ145)</t>
        </is>
      </c>
      <c r="U145" s="47" t="n"/>
      <c r="V145" s="48" t="n"/>
      <c r="W145" s="47" t="n"/>
      <c r="X145" s="46" t="inlineStr">
        <is>
          <t>IF(W145&lt;&gt;"",W145,IF(OR(T145="",V145=""),"",EDATE(T145,V145)))</t>
        </is>
      </c>
      <c r="Y145" s="47" t="n"/>
      <c r="Z145" s="48" t="n"/>
      <c r="AA145" s="44" t="n"/>
      <c r="AB145" s="44" t="n"/>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47" t="n"/>
      <c r="AJ145" s="47" t="n"/>
      <c r="AK145" s="47" t="n"/>
      <c r="AL145" s="47" t="n"/>
      <c r="AM145" s="47" t="n"/>
      <c r="AN145" s="47" t="n"/>
      <c r="AO145" s="47" t="n"/>
      <c r="AP145" s="47" t="n"/>
      <c r="AQ145" s="47" t="n"/>
      <c r="AR145" s="47" t="n"/>
      <c r="AS145" s="4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ht="18" customHeight="1">
      <c r="A146" s="42" t="inlineStr">
        <is>
          <t>IF(F146="","",ROW()-3)</t>
        </is>
      </c>
      <c r="B146" s="52" t="n"/>
      <c r="C146" s="52" t="n"/>
      <c r="D146" s="52" t="n"/>
      <c r="E146" s="52" t="n"/>
      <c r="F146" s="52" t="n"/>
      <c r="G146" s="52" t="n"/>
      <c r="H146" s="52" t="n"/>
      <c r="I146" s="52" t="n"/>
      <c r="J146" s="52" t="n"/>
      <c r="K146" s="52" t="n"/>
      <c r="L146" s="52" t="n"/>
      <c r="M146" s="52" t="n"/>
      <c r="N146" s="52" t="n"/>
      <c r="O146" s="52" t="n"/>
      <c r="P146" s="52" t="n"/>
      <c r="Q146" s="52" t="n"/>
      <c r="R146" s="52" t="n"/>
      <c r="S146" s="53" t="n"/>
      <c r="T146" s="46" t="inlineStr">
        <is>
          <t>IF(AQ146="","",AQ146)</t>
        </is>
      </c>
      <c r="U146" s="54" t="n"/>
      <c r="V146" s="55" t="n"/>
      <c r="W146" s="54" t="n"/>
      <c r="X146" s="46" t="inlineStr">
        <is>
          <t>IF(W146&lt;&gt;"",W146,IF(OR(T146="",V146=""),"",EDATE(T146,V146)))</t>
        </is>
      </c>
      <c r="Y146" s="54" t="n"/>
      <c r="Z146" s="55" t="n"/>
      <c r="AA146" s="52" t="n"/>
      <c r="AB146" s="52" t="n"/>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54" t="n"/>
      <c r="AJ146" s="54" t="n"/>
      <c r="AK146" s="54" t="n"/>
      <c r="AL146" s="54" t="n"/>
      <c r="AM146" s="54" t="n"/>
      <c r="AN146" s="54" t="n"/>
      <c r="AO146" s="54" t="n"/>
      <c r="AP146" s="54" t="n"/>
      <c r="AQ146" s="54" t="n"/>
      <c r="AR146" s="54" t="n"/>
      <c r="AS146" s="54"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42" t="inlineStr">
        <is>
          <t>IF(F147="","",ROW()-3)</t>
        </is>
      </c>
      <c r="B147" s="44" t="n"/>
      <c r="C147" s="44" t="n"/>
      <c r="D147" s="44" t="n"/>
      <c r="E147" s="44" t="n"/>
      <c r="F147" s="44" t="n"/>
      <c r="G147" s="44" t="n"/>
      <c r="H147" s="44" t="n"/>
      <c r="I147" s="44" t="n"/>
      <c r="J147" s="44" t="n"/>
      <c r="K147" s="44" t="n"/>
      <c r="L147" s="44" t="n"/>
      <c r="M147" s="44" t="n"/>
      <c r="N147" s="44" t="n"/>
      <c r="O147" s="44" t="n"/>
      <c r="P147" s="44" t="n"/>
      <c r="Q147" s="44" t="n"/>
      <c r="R147" s="44" t="n"/>
      <c r="S147" s="45" t="n"/>
      <c r="T147" s="46" t="inlineStr">
        <is>
          <t>IF(AQ147="","",AQ147)</t>
        </is>
      </c>
      <c r="U147" s="47" t="n"/>
      <c r="V147" s="48" t="n"/>
      <c r="W147" s="47" t="n"/>
      <c r="X147" s="46" t="inlineStr">
        <is>
          <t>IF(W147&lt;&gt;"",W147,IF(OR(T147="",V147=""),"",EDATE(T147,V147)))</t>
        </is>
      </c>
      <c r="Y147" s="47" t="n"/>
      <c r="Z147" s="48" t="n"/>
      <c r="AA147" s="44" t="n"/>
      <c r="AB147" s="44" t="n"/>
      <c r="AC147" s="42" t="inlineStr">
        <is>
          <t>IF(F147="","",IF(COUNT(AI147:AV147)=0,IF(AA147="","Not started",AA147),SUBSTITUTE(LOOKUP(2,1/(AI147:AV147&lt;&gt;""),$AI$3:$AV$3),"Date: ","")))</t>
        </is>
      </c>
      <c r="AD147" s="49" t="inlineStr">
        <is>
          <t>IF(OR(F147="",COUNT(AI147:AV147)=0),"",TODAY()-LOOKUP(2,1/(AI147:AV147&lt;&gt;""),AI147:AV147))</t>
        </is>
      </c>
      <c r="AE147" s="49" t="inlineStr">
        <is>
          <t>IF(OR(F147="",COUNT(AI147:AV147)&lt;2),"",LOOKUP(2,1/(AI147:AV147&lt;&gt;""),AI147:AV147)-MIN(AI147:AV147))</t>
        </is>
      </c>
      <c r="AF147" s="49" t="inlineStr">
        <is>
          <t>IF(OR(AD147="",AC147="Not started",AC147=""),"",IFERROR(AD147-IF(VLOOKUP(AC147,'06_Status_Pipeline'!$B$3:$E$20,4,FALSE)="",0,VLOOKUP(AC147,'06_Status_Pipeline'!$B$3:$E$20,4,FALSE)),""))</t>
        </is>
      </c>
      <c r="AG147" s="4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49" t="inlineStr">
        <is>
          <t>IF(OR(F147="",AC147="Completed / Handover",AC147="Cancelled"),"",IF(O147="Not awarded",IF(U147&lt;&gt;"",U147-TODAY(),IF(X147="","",X147-TODAY())),IF(X147="","",X147-TODAY())))</t>
        </is>
      </c>
      <c r="AI147" s="47" t="n"/>
      <c r="AJ147" s="47" t="n"/>
      <c r="AK147" s="47" t="n"/>
      <c r="AL147" s="47" t="n"/>
      <c r="AM147" s="47" t="n"/>
      <c r="AN147" s="47" t="n"/>
      <c r="AO147" s="47" t="n"/>
      <c r="AP147" s="47" t="n"/>
      <c r="AQ147" s="47" t="n"/>
      <c r="AR147" s="47" t="n"/>
      <c r="AS147" s="47" t="n"/>
      <c r="AT147" s="50" t="n"/>
      <c r="AU147" s="50" t="n"/>
      <c r="AV147" s="50" t="n"/>
      <c r="AW147" s="49" t="inlineStr">
        <is>
          <t>IF(OR(F147="",AJ147=""),"",IF(COUNT(AI147:AI147)=0,"",AJ147-LOOKUP(2,1/(AI147:AI147&lt;&gt;""),AI147:AI147)))</t>
        </is>
      </c>
      <c r="AX147" s="49" t="inlineStr">
        <is>
          <t>IF(OR(F147="",AK147=""),"",IF(COUNT(AI147:AJ147)=0,"",AK147-LOOKUP(2,1/(AI147:AJ147&lt;&gt;""),AI147:AJ147)))</t>
        </is>
      </c>
      <c r="AY147" s="49" t="inlineStr">
        <is>
          <t>IF(OR(F147="",AL147=""),"",IF(COUNT(AI147:AK147)=0,"",AL147-LOOKUP(2,1/(AI147:AK147&lt;&gt;""),AI147:AK147)))</t>
        </is>
      </c>
      <c r="AZ147" s="49" t="inlineStr">
        <is>
          <t>IF(OR(F147="",AM147=""),"",IF(COUNT(AI147:AL147)=0,"",AM147-LOOKUP(2,1/(AI147:AL147&lt;&gt;""),AI147:AL147)))</t>
        </is>
      </c>
      <c r="BA147" s="49" t="inlineStr">
        <is>
          <t>IF(OR(F147="",AN147=""),"",IF(COUNT(AI147:AM147)=0,"",AN147-LOOKUP(2,1/(AI147:AM147&lt;&gt;""),AI147:AM147)))</t>
        </is>
      </c>
      <c r="BB147" s="49" t="inlineStr">
        <is>
          <t>IF(OR(F147="",AO147=""),"",IF(COUNT(AI147:AN147)=0,"",AO147-LOOKUP(2,1/(AI147:AN147&lt;&gt;""),AI147:AN147)))</t>
        </is>
      </c>
      <c r="BC147" s="49" t="inlineStr">
        <is>
          <t>IF(OR(F147="",AP147=""),"",IF(COUNT(AI147:AO147)=0,"",AP147-LOOKUP(2,1/(AI147:AO147&lt;&gt;""),AI147:AO147)))</t>
        </is>
      </c>
      <c r="BD147" s="49" t="inlineStr">
        <is>
          <t>IF(OR(F147="",AQ147=""),"",IF(COUNT(AI147:AP147)=0,"",AQ147-LOOKUP(2,1/(AI147:AP147&lt;&gt;""),AI147:AP147)))</t>
        </is>
      </c>
      <c r="BE147" s="49" t="inlineStr">
        <is>
          <t>IF(OR(F147="",AR147=""),"",IF(COUNT(AI147:AQ147)=0,"",AR147-LOOKUP(2,1/(AI147:AQ147&lt;&gt;""),AI147:AQ147)))</t>
        </is>
      </c>
      <c r="BF147" s="49" t="inlineStr">
        <is>
          <t>IF(OR(F147="",AS147=""),"",IF(COUNT(AI147:AR147)=0,"",AS147-LOOKUP(2,1/(AI147:AR147&lt;&gt;""),AI147:AR147)))</t>
        </is>
      </c>
      <c r="BG147" s="49" t="inlineStr">
        <is>
          <t>IF(OR(F147="",AT147=""),"",IF(COUNT(AI147:AS147)=0,"",AT147-LOOKUP(2,1/(AI147:AS147&lt;&gt;""),AI147:AS147)))</t>
        </is>
      </c>
      <c r="BH147" s="49" t="inlineStr">
        <is>
          <t>IF(OR(F147="",AU147=""),"",IF(COUNT(AI147:AT147)=0,"",AU147-LOOKUP(2,1/(AI147:AT147&lt;&gt;""),AI147:AT147)))</t>
        </is>
      </c>
      <c r="BI147" s="49" t="inlineStr">
        <is>
          <t>IF(OR(F147="",AV147=""),"",IF(COUNT(AI147:AU147)=0,"",AV147-LOOKUP(2,1/(AI147:AU147&lt;&gt;""),AI147:AU147)))</t>
        </is>
      </c>
      <c r="BJ147" s="51" t="inlineStr">
        <is>
          <t>IF(J147="","All_Provinces",IFERROR(VLOOKUP(J147,'09_Lookups'!$A$4:$B$20,2,FALSE),"All_Provinces"))</t>
        </is>
      </c>
      <c r="BK147" s="51" t="inlineStr">
        <is>
          <t>IF(K147="","All_Districts",IFERROR(VLOOKUP(K147,'09_Lookups'!$E$4:$F$42,2,FALSE),"All_Districts"))</t>
        </is>
      </c>
    </row>
    <row r="148" ht="18" customHeight="1">
      <c r="A148" s="42" t="inlineStr">
        <is>
          <t>IF(F148="","",ROW()-3)</t>
        </is>
      </c>
      <c r="B148" s="52" t="n"/>
      <c r="C148" s="52" t="n"/>
      <c r="D148" s="52" t="n"/>
      <c r="E148" s="52" t="n"/>
      <c r="F148" s="52" t="n"/>
      <c r="G148" s="52" t="n"/>
      <c r="H148" s="52" t="n"/>
      <c r="I148" s="52" t="n"/>
      <c r="J148" s="52" t="n"/>
      <c r="K148" s="52" t="n"/>
      <c r="L148" s="52" t="n"/>
      <c r="M148" s="52" t="n"/>
      <c r="N148" s="52" t="n"/>
      <c r="O148" s="52" t="n"/>
      <c r="P148" s="52" t="n"/>
      <c r="Q148" s="52" t="n"/>
      <c r="R148" s="52" t="n"/>
      <c r="S148" s="53" t="n"/>
      <c r="T148" s="46" t="inlineStr">
        <is>
          <t>IF(AQ148="","",AQ148)</t>
        </is>
      </c>
      <c r="U148" s="54" t="n"/>
      <c r="V148" s="55" t="n"/>
      <c r="W148" s="54" t="n"/>
      <c r="X148" s="46" t="inlineStr">
        <is>
          <t>IF(W148&lt;&gt;"",W148,IF(OR(T148="",V148=""),"",EDATE(T148,V148)))</t>
        </is>
      </c>
      <c r="Y148" s="54" t="n"/>
      <c r="Z148" s="55" t="n"/>
      <c r="AA148" s="52" t="n"/>
      <c r="AB148" s="52" t="n"/>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42" t="inlineStr">
        <is>
          <t>IF(F149="","",ROW()-3)</t>
        </is>
      </c>
      <c r="B149" s="44" t="n"/>
      <c r="C149" s="44" t="n"/>
      <c r="D149" s="44" t="n"/>
      <c r="E149" s="44" t="n"/>
      <c r="F149" s="44" t="n"/>
      <c r="G149" s="44" t="n"/>
      <c r="H149" s="44" t="n"/>
      <c r="I149" s="44" t="n"/>
      <c r="J149" s="44" t="n"/>
      <c r="K149" s="44" t="n"/>
      <c r="L149" s="44" t="n"/>
      <c r="M149" s="44" t="n"/>
      <c r="N149" s="44" t="n"/>
      <c r="O149" s="44" t="n"/>
      <c r="P149" s="44" t="n"/>
      <c r="Q149" s="44" t="n"/>
      <c r="R149" s="44" t="n"/>
      <c r="S149" s="45" t="n"/>
      <c r="T149" s="46" t="inlineStr">
        <is>
          <t>IF(AQ149="","",AQ149)</t>
        </is>
      </c>
      <c r="U149" s="47" t="n"/>
      <c r="V149" s="48" t="n"/>
      <c r="W149" s="47" t="n"/>
      <c r="X149" s="46" t="inlineStr">
        <is>
          <t>IF(W149&lt;&gt;"",W149,IF(OR(T149="",V149=""),"",EDATE(T149,V149)))</t>
        </is>
      </c>
      <c r="Y149" s="47" t="n"/>
      <c r="Z149" s="48" t="n"/>
      <c r="AA149" s="44" t="n"/>
      <c r="AB149" s="44" t="n"/>
      <c r="AC149" s="42" t="inlineStr">
        <is>
          <t>IF(F149="","",IF(COUNT(AI149:AV149)=0,IF(AA149="","Not started",AA149),SUBSTITUTE(LOOKUP(2,1/(AI149:AV149&lt;&gt;""),$AI$3:$AV$3),"Date: ","")))</t>
        </is>
      </c>
      <c r="AD149" s="49" t="inlineStr">
        <is>
          <t>IF(OR(F149="",COUNT(AI149:AV149)=0),"",TODAY()-LOOKUP(2,1/(AI149:AV149&lt;&gt;""),AI149:AV149))</t>
        </is>
      </c>
      <c r="AE149" s="49" t="inlineStr">
        <is>
          <t>IF(OR(F149="",COUNT(AI149:AV149)&lt;2),"",LOOKUP(2,1/(AI149:AV149&lt;&gt;""),AI149:AV149)-MIN(AI149:AV149))</t>
        </is>
      </c>
      <c r="AF149" s="49" t="inlineStr">
        <is>
          <t>IF(OR(AD149="",AC149="Not started",AC149=""),"",IFERROR(AD149-IF(VLOOKUP(AC149,'06_Status_Pipeline'!$B$3:$E$20,4,FALSE)="",0,VLOOKUP(AC149,'06_Status_Pipeline'!$B$3:$E$20,4,FALSE)),""))</t>
        </is>
      </c>
      <c r="AG149" s="4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49" t="inlineStr">
        <is>
          <t>IF(OR(F149="",AC149="Completed / Handover",AC149="Cancelled"),"",IF(O149="Not awarded",IF(U149&lt;&gt;"",U149-TODAY(),IF(X149="","",X149-TODAY())),IF(X149="","",X149-TODAY())))</t>
        </is>
      </c>
      <c r="AI149" s="47" t="n"/>
      <c r="AJ149" s="47" t="n"/>
      <c r="AK149" s="47" t="n"/>
      <c r="AL149" s="47" t="n"/>
      <c r="AM149" s="47" t="n"/>
      <c r="AN149" s="47" t="n"/>
      <c r="AO149" s="47" t="n"/>
      <c r="AP149" s="47" t="n"/>
      <c r="AQ149" s="47" t="n"/>
      <c r="AR149" s="47" t="n"/>
      <c r="AS149" s="47" t="n"/>
      <c r="AT149" s="50" t="n"/>
      <c r="AU149" s="50" t="n"/>
      <c r="AV149" s="50" t="n"/>
      <c r="AW149" s="49" t="inlineStr">
        <is>
          <t>IF(OR(F149="",AJ149=""),"",IF(COUNT(AI149:AI149)=0,"",AJ149-LOOKUP(2,1/(AI149:AI149&lt;&gt;""),AI149:AI149)))</t>
        </is>
      </c>
      <c r="AX149" s="49" t="inlineStr">
        <is>
          <t>IF(OR(F149="",AK149=""),"",IF(COUNT(AI149:AJ149)=0,"",AK149-LOOKUP(2,1/(AI149:AJ149&lt;&gt;""),AI149:AJ149)))</t>
        </is>
      </c>
      <c r="AY149" s="49" t="inlineStr">
        <is>
          <t>IF(OR(F149="",AL149=""),"",IF(COUNT(AI149:AK149)=0,"",AL149-LOOKUP(2,1/(AI149:AK149&lt;&gt;""),AI149:AK149)))</t>
        </is>
      </c>
      <c r="AZ149" s="49" t="inlineStr">
        <is>
          <t>IF(OR(F149="",AM149=""),"",IF(COUNT(AI149:AL149)=0,"",AM149-LOOKUP(2,1/(AI149:AL149&lt;&gt;""),AI149:AL149)))</t>
        </is>
      </c>
      <c r="BA149" s="49" t="inlineStr">
        <is>
          <t>IF(OR(F149="",AN149=""),"",IF(COUNT(AI149:AM149)=0,"",AN149-LOOKUP(2,1/(AI149:AM149&lt;&gt;""),AI149:AM149)))</t>
        </is>
      </c>
      <c r="BB149" s="49" t="inlineStr">
        <is>
          <t>IF(OR(F149="",AO149=""),"",IF(COUNT(AI149:AN149)=0,"",AO149-LOOKUP(2,1/(AI149:AN149&lt;&gt;""),AI149:AN149)))</t>
        </is>
      </c>
      <c r="BC149" s="49" t="inlineStr">
        <is>
          <t>IF(OR(F149="",AP149=""),"",IF(COUNT(AI149:AO149)=0,"",AP149-LOOKUP(2,1/(AI149:AO149&lt;&gt;""),AI149:AO149)))</t>
        </is>
      </c>
      <c r="BD149" s="49" t="inlineStr">
        <is>
          <t>IF(OR(F149="",AQ149=""),"",IF(COUNT(AI149:AP149)=0,"",AQ149-LOOKUP(2,1/(AI149:AP149&lt;&gt;""),AI149:AP149)))</t>
        </is>
      </c>
      <c r="BE149" s="49" t="inlineStr">
        <is>
          <t>IF(OR(F149="",AR149=""),"",IF(COUNT(AI149:AQ149)=0,"",AR149-LOOKUP(2,1/(AI149:AQ149&lt;&gt;""),AI149:AQ149)))</t>
        </is>
      </c>
      <c r="BF149" s="49" t="inlineStr">
        <is>
          <t>IF(OR(F149="",AS149=""),"",IF(COUNT(AI149:AR149)=0,"",AS149-LOOKUP(2,1/(AI149:AR149&lt;&gt;""),AI149:AR149)))</t>
        </is>
      </c>
      <c r="BG149" s="49" t="inlineStr">
        <is>
          <t>IF(OR(F149="",AT149=""),"",IF(COUNT(AI149:AS149)=0,"",AT149-LOOKUP(2,1/(AI149:AS149&lt;&gt;""),AI149:AS149)))</t>
        </is>
      </c>
      <c r="BH149" s="49" t="inlineStr">
        <is>
          <t>IF(OR(F149="",AU149=""),"",IF(COUNT(AI149:AT149)=0,"",AU149-LOOKUP(2,1/(AI149:AT149&lt;&gt;""),AI149:AT149)))</t>
        </is>
      </c>
      <c r="BI149" s="49" t="inlineStr">
        <is>
          <t>IF(OR(F149="",AV149=""),"",IF(COUNT(AI149:AU149)=0,"",AV149-LOOKUP(2,1/(AI149:AU149&lt;&gt;""),AI149:AU149)))</t>
        </is>
      </c>
      <c r="BJ149" s="51" t="inlineStr">
        <is>
          <t>IF(J149="","All_Provinces",IFERROR(VLOOKUP(J149,'09_Lookups'!$A$4:$B$20,2,FALSE),"All_Provinces"))</t>
        </is>
      </c>
      <c r="BK149" s="51" t="inlineStr">
        <is>
          <t>IF(K149="","All_Districts",IFERROR(VLOOKUP(K149,'09_Lookups'!$E$4:$F$42,2,FALSE),"All_Districts"))</t>
        </is>
      </c>
    </row>
    <row r="150" ht="18" customHeight="1">
      <c r="A150" s="42" t="inlineStr">
        <is>
          <t>IF(F150="","",ROW()-3)</t>
        </is>
      </c>
      <c r="B150" s="52" t="n"/>
      <c r="C150" s="52" t="n"/>
      <c r="D150" s="52" t="n"/>
      <c r="E150" s="52" t="n"/>
      <c r="F150" s="52" t="n"/>
      <c r="G150" s="52" t="n"/>
      <c r="H150" s="52" t="n"/>
      <c r="I150" s="52" t="n"/>
      <c r="J150" s="52" t="n"/>
      <c r="K150" s="52" t="n"/>
      <c r="L150" s="52" t="n"/>
      <c r="M150" s="52" t="n"/>
      <c r="N150" s="52" t="n"/>
      <c r="O150" s="52" t="n"/>
      <c r="P150" s="52" t="n"/>
      <c r="Q150" s="52" t="n"/>
      <c r="R150" s="52" t="n"/>
      <c r="S150" s="53" t="n"/>
      <c r="T150" s="46" t="inlineStr">
        <is>
          <t>IF(AQ150="","",AQ150)</t>
        </is>
      </c>
      <c r="U150" s="54" t="n"/>
      <c r="V150" s="55" t="n"/>
      <c r="W150" s="54" t="n"/>
      <c r="X150" s="46" t="inlineStr">
        <is>
          <t>IF(W150&lt;&gt;"",W150,IF(OR(T150="",V150=""),"",EDATE(T150,V150)))</t>
        </is>
      </c>
      <c r="Y150" s="54" t="n"/>
      <c r="Z150" s="55" t="n"/>
      <c r="AA150" s="52" t="n"/>
      <c r="AB150" s="52" t="n"/>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42" t="inlineStr">
        <is>
          <t>IF(F151="","",ROW()-3)</t>
        </is>
      </c>
      <c r="B151" s="44" t="n"/>
      <c r="C151" s="44" t="n"/>
      <c r="D151" s="44" t="n"/>
      <c r="E151" s="44" t="n"/>
      <c r="F151" s="44" t="n"/>
      <c r="G151" s="44" t="n"/>
      <c r="H151" s="44" t="n"/>
      <c r="I151" s="44" t="n"/>
      <c r="J151" s="44" t="n"/>
      <c r="K151" s="44" t="n"/>
      <c r="L151" s="44" t="n"/>
      <c r="M151" s="44" t="n"/>
      <c r="N151" s="44" t="n"/>
      <c r="O151" s="44" t="n"/>
      <c r="P151" s="44" t="n"/>
      <c r="Q151" s="44" t="n"/>
      <c r="R151" s="44" t="n"/>
      <c r="S151" s="45" t="n"/>
      <c r="T151" s="46" t="inlineStr">
        <is>
          <t>IF(AQ151="","",AQ151)</t>
        </is>
      </c>
      <c r="U151" s="47" t="n"/>
      <c r="V151" s="48" t="n"/>
      <c r="W151" s="47" t="n"/>
      <c r="X151" s="46" t="inlineStr">
        <is>
          <t>IF(W151&lt;&gt;"",W151,IF(OR(T151="",V151=""),"",EDATE(T151,V151)))</t>
        </is>
      </c>
      <c r="Y151" s="47" t="n"/>
      <c r="Z151" s="48" t="n"/>
      <c r="AA151" s="44" t="n"/>
      <c r="AB151" s="44" t="n"/>
      <c r="AC151" s="42" t="inlineStr">
        <is>
          <t>IF(F151="","",IF(COUNT(AI151:AV151)=0,IF(AA151="","Not started",AA151),SUBSTITUTE(LOOKUP(2,1/(AI151:AV151&lt;&gt;""),$AI$3:$AV$3),"Date: ","")))</t>
        </is>
      </c>
      <c r="AD151" s="49" t="inlineStr">
        <is>
          <t>IF(OR(F151="",COUNT(AI151:AV151)=0),"",TODAY()-LOOKUP(2,1/(AI151:AV151&lt;&gt;""),AI151:AV151))</t>
        </is>
      </c>
      <c r="AE151" s="49" t="inlineStr">
        <is>
          <t>IF(OR(F151="",COUNT(AI151:AV151)&lt;2),"",LOOKUP(2,1/(AI151:AV151&lt;&gt;""),AI151:AV151)-MIN(AI151:AV151))</t>
        </is>
      </c>
      <c r="AF151" s="49" t="inlineStr">
        <is>
          <t>IF(OR(AD151="",AC151="Not started",AC151=""),"",IFERROR(AD151-IF(VLOOKUP(AC151,'06_Status_Pipeline'!$B$3:$E$20,4,FALSE)="",0,VLOOKUP(AC151,'06_Status_Pipeline'!$B$3:$E$20,4,FALSE)),""))</t>
        </is>
      </c>
      <c r="AG151" s="4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49" t="inlineStr">
        <is>
          <t>IF(OR(F151="",AC151="Completed / Handover",AC151="Cancelled"),"",IF(O151="Not awarded",IF(U151&lt;&gt;"",U151-TODAY(),IF(X151="","",X151-TODAY())),IF(X151="","",X151-TODAY())))</t>
        </is>
      </c>
      <c r="AI151" s="47" t="n"/>
      <c r="AJ151" s="47" t="n"/>
      <c r="AK151" s="47" t="n"/>
      <c r="AL151" s="47" t="n"/>
      <c r="AM151" s="47" t="n"/>
      <c r="AN151" s="47" t="n"/>
      <c r="AO151" s="47" t="n"/>
      <c r="AP151" s="47" t="n"/>
      <c r="AQ151" s="47" t="n"/>
      <c r="AR151" s="47" t="n"/>
      <c r="AS151" s="47" t="n"/>
      <c r="AT151" s="50" t="n"/>
      <c r="AU151" s="50" t="n"/>
      <c r="AV151" s="50" t="n"/>
      <c r="AW151" s="49" t="inlineStr">
        <is>
          <t>IF(OR(F151="",AJ151=""),"",IF(COUNT(AI151:AI151)=0,"",AJ151-LOOKUP(2,1/(AI151:AI151&lt;&gt;""),AI151:AI151)))</t>
        </is>
      </c>
      <c r="AX151" s="49" t="inlineStr">
        <is>
          <t>IF(OR(F151="",AK151=""),"",IF(COUNT(AI151:AJ151)=0,"",AK151-LOOKUP(2,1/(AI151:AJ151&lt;&gt;""),AI151:AJ151)))</t>
        </is>
      </c>
      <c r="AY151" s="49" t="inlineStr">
        <is>
          <t>IF(OR(F151="",AL151=""),"",IF(COUNT(AI151:AK151)=0,"",AL151-LOOKUP(2,1/(AI151:AK151&lt;&gt;""),AI151:AK151)))</t>
        </is>
      </c>
      <c r="AZ151" s="49" t="inlineStr">
        <is>
          <t>IF(OR(F151="",AM151=""),"",IF(COUNT(AI151:AL151)=0,"",AM151-LOOKUP(2,1/(AI151:AL151&lt;&gt;""),AI151:AL151)))</t>
        </is>
      </c>
      <c r="BA151" s="49" t="inlineStr">
        <is>
          <t>IF(OR(F151="",AN151=""),"",IF(COUNT(AI151:AM151)=0,"",AN151-LOOKUP(2,1/(AI151:AM151&lt;&gt;""),AI151:AM151)))</t>
        </is>
      </c>
      <c r="BB151" s="49" t="inlineStr">
        <is>
          <t>IF(OR(F151="",AO151=""),"",IF(COUNT(AI151:AN151)=0,"",AO151-LOOKUP(2,1/(AI151:AN151&lt;&gt;""),AI151:AN151)))</t>
        </is>
      </c>
      <c r="BC151" s="49" t="inlineStr">
        <is>
          <t>IF(OR(F151="",AP151=""),"",IF(COUNT(AI151:AO151)=0,"",AP151-LOOKUP(2,1/(AI151:AO151&lt;&gt;""),AI151:AO151)))</t>
        </is>
      </c>
      <c r="BD151" s="49" t="inlineStr">
        <is>
          <t>IF(OR(F151="",AQ151=""),"",IF(COUNT(AI151:AP151)=0,"",AQ151-LOOKUP(2,1/(AI151:AP151&lt;&gt;""),AI151:AP151)))</t>
        </is>
      </c>
      <c r="BE151" s="49" t="inlineStr">
        <is>
          <t>IF(OR(F151="",AR151=""),"",IF(COUNT(AI151:AQ151)=0,"",AR151-LOOKUP(2,1/(AI151:AQ151&lt;&gt;""),AI151:AQ151)))</t>
        </is>
      </c>
      <c r="BF151" s="49" t="inlineStr">
        <is>
          <t>IF(OR(F151="",AS151=""),"",IF(COUNT(AI151:AR151)=0,"",AS151-LOOKUP(2,1/(AI151:AR151&lt;&gt;""),AI151:AR151)))</t>
        </is>
      </c>
      <c r="BG151" s="49" t="inlineStr">
        <is>
          <t>IF(OR(F151="",AT151=""),"",IF(COUNT(AI151:AS151)=0,"",AT151-LOOKUP(2,1/(AI151:AS151&lt;&gt;""),AI151:AS151)))</t>
        </is>
      </c>
      <c r="BH151" s="49" t="inlineStr">
        <is>
          <t>IF(OR(F151="",AU151=""),"",IF(COUNT(AI151:AT151)=0,"",AU151-LOOKUP(2,1/(AI151:AT151&lt;&gt;""),AI151:AT151)))</t>
        </is>
      </c>
      <c r="BI151" s="49" t="inlineStr">
        <is>
          <t>IF(OR(F151="",AV151=""),"",IF(COUNT(AI151:AU151)=0,"",AV151-LOOKUP(2,1/(AI151:AU151&lt;&gt;""),AI151:AU151)))</t>
        </is>
      </c>
      <c r="BJ151" s="51" t="inlineStr">
        <is>
          <t>IF(J151="","All_Provinces",IFERROR(VLOOKUP(J151,'09_Lookups'!$A$4:$B$20,2,FALSE),"All_Provinces"))</t>
        </is>
      </c>
      <c r="BK151" s="51" t="inlineStr">
        <is>
          <t>IF(K151="","All_Districts",IFERROR(VLOOKUP(K151,'09_Lookups'!$E$4:$F$42,2,FALSE),"All_Districts"))</t>
        </is>
      </c>
    </row>
    <row r="152" ht="18" customHeight="1">
      <c r="A152" s="42" t="inlineStr">
        <is>
          <t>IF(F152="","",ROW()-3)</t>
        </is>
      </c>
      <c r="B152" s="52" t="n"/>
      <c r="C152" s="52" t="n"/>
      <c r="D152" s="52" t="n"/>
      <c r="E152" s="52" t="n"/>
      <c r="F152" s="52" t="n"/>
      <c r="G152" s="52" t="n"/>
      <c r="H152" s="52" t="n"/>
      <c r="I152" s="52" t="n"/>
      <c r="J152" s="52" t="n"/>
      <c r="K152" s="52" t="n"/>
      <c r="L152" s="52" t="n"/>
      <c r="M152" s="52" t="n"/>
      <c r="N152" s="52" t="n"/>
      <c r="O152" s="52" t="n"/>
      <c r="P152" s="52" t="n"/>
      <c r="Q152" s="52" t="n"/>
      <c r="R152" s="52" t="n"/>
      <c r="S152" s="53" t="n"/>
      <c r="T152" s="46" t="inlineStr">
        <is>
          <t>IF(AQ152="","",AQ152)</t>
        </is>
      </c>
      <c r="U152" s="54" t="n"/>
      <c r="V152" s="55" t="n"/>
      <c r="W152" s="54" t="n"/>
      <c r="X152" s="46" t="inlineStr">
        <is>
          <t>IF(W152&lt;&gt;"",W152,IF(OR(T152="",V152=""),"",EDATE(T152,V152)))</t>
        </is>
      </c>
      <c r="Y152" s="54" t="n"/>
      <c r="Z152" s="55" t="n"/>
      <c r="AA152" s="52" t="n"/>
      <c r="AB152" s="52" t="n"/>
      <c r="AC152" s="42" t="inlineStr">
        <is>
          <t>IF(F152="","",IF(COUNT(AI152:AV152)=0,IF(AA152="","Not started",AA152),SUBSTITUTE(LOOKUP(2,1/(AI152:AV152&lt;&gt;""),$AI$3:$AV$3),"Date: ","")))</t>
        </is>
      </c>
      <c r="AD152" s="49" t="inlineStr">
        <is>
          <t>IF(OR(F152="",COUNT(AI152:AV152)=0),"",TODAY()-LOOKUP(2,1/(AI152:AV152&lt;&gt;""),AI152:AV152))</t>
        </is>
      </c>
      <c r="AE152" s="49" t="inlineStr">
        <is>
          <t>IF(OR(F152="",COUNT(AI152:AV152)&lt;2),"",LOOKUP(2,1/(AI152:AV152&lt;&gt;""),AI152:AV152)-MIN(AI152:AV152))</t>
        </is>
      </c>
      <c r="AF152" s="49" t="inlineStr">
        <is>
          <t>IF(OR(AD152="",AC152="Not started",AC152=""),"",IFERROR(AD152-IF(VLOOKUP(AC152,'06_Status_Pipeline'!$B$3:$E$20,4,FALSE)="",0,VLOOKUP(AC152,'06_Status_Pipeline'!$B$3:$E$20,4,FALSE)),""))</t>
        </is>
      </c>
      <c r="AG152" s="4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49" t="inlineStr">
        <is>
          <t>IF(OR(F152="",AC152="Completed / Handover",AC152="Cancelled"),"",IF(O152="Not awarded",IF(U152&lt;&gt;"",U152-TODAY(),IF(X152="","",X152-TODAY())),IF(X152="","",X152-TODAY())))</t>
        </is>
      </c>
      <c r="AI152" s="54" t="n"/>
      <c r="AJ152" s="54" t="n"/>
      <c r="AK152" s="54" t="n"/>
      <c r="AL152" s="54" t="n"/>
      <c r="AM152" s="54" t="n"/>
      <c r="AN152" s="54" t="n"/>
      <c r="AO152" s="54" t="n"/>
      <c r="AP152" s="54" t="n"/>
      <c r="AQ152" s="54" t="n"/>
      <c r="AR152" s="54" t="n"/>
      <c r="AS152" s="54" t="n"/>
      <c r="AT152" s="50" t="n"/>
      <c r="AU152" s="50" t="n"/>
      <c r="AV152" s="50" t="n"/>
      <c r="AW152" s="49" t="inlineStr">
        <is>
          <t>IF(OR(F152="",AJ152=""),"",IF(COUNT(AI152:AI152)=0,"",AJ152-LOOKUP(2,1/(AI152:AI152&lt;&gt;""),AI152:AI152)))</t>
        </is>
      </c>
      <c r="AX152" s="49" t="inlineStr">
        <is>
          <t>IF(OR(F152="",AK152=""),"",IF(COUNT(AI152:AJ152)=0,"",AK152-LOOKUP(2,1/(AI152:AJ152&lt;&gt;""),AI152:AJ152)))</t>
        </is>
      </c>
      <c r="AY152" s="49" t="inlineStr">
        <is>
          <t>IF(OR(F152="",AL152=""),"",IF(COUNT(AI152:AK152)=0,"",AL152-LOOKUP(2,1/(AI152:AK152&lt;&gt;""),AI152:AK152)))</t>
        </is>
      </c>
      <c r="AZ152" s="49" t="inlineStr">
        <is>
          <t>IF(OR(F152="",AM152=""),"",IF(COUNT(AI152:AL152)=0,"",AM152-LOOKUP(2,1/(AI152:AL152&lt;&gt;""),AI152:AL152)))</t>
        </is>
      </c>
      <c r="BA152" s="49" t="inlineStr">
        <is>
          <t>IF(OR(F152="",AN152=""),"",IF(COUNT(AI152:AM152)=0,"",AN152-LOOKUP(2,1/(AI152:AM152&lt;&gt;""),AI152:AM152)))</t>
        </is>
      </c>
      <c r="BB152" s="49" t="inlineStr">
        <is>
          <t>IF(OR(F152="",AO152=""),"",IF(COUNT(AI152:AN152)=0,"",AO152-LOOKUP(2,1/(AI152:AN152&lt;&gt;""),AI152:AN152)))</t>
        </is>
      </c>
      <c r="BC152" s="49" t="inlineStr">
        <is>
          <t>IF(OR(F152="",AP152=""),"",IF(COUNT(AI152:AO152)=0,"",AP152-LOOKUP(2,1/(AI152:AO152&lt;&gt;""),AI152:AO152)))</t>
        </is>
      </c>
      <c r="BD152" s="49" t="inlineStr">
        <is>
          <t>IF(OR(F152="",AQ152=""),"",IF(COUNT(AI152:AP152)=0,"",AQ152-LOOKUP(2,1/(AI152:AP152&lt;&gt;""),AI152:AP152)))</t>
        </is>
      </c>
      <c r="BE152" s="49" t="inlineStr">
        <is>
          <t>IF(OR(F152="",AR152=""),"",IF(COUNT(AI152:AQ152)=0,"",AR152-LOOKUP(2,1/(AI152:AQ152&lt;&gt;""),AI152:AQ152)))</t>
        </is>
      </c>
      <c r="BF152" s="49" t="inlineStr">
        <is>
          <t>IF(OR(F152="",AS152=""),"",IF(COUNT(AI152:AR152)=0,"",AS152-LOOKUP(2,1/(AI152:AR152&lt;&gt;""),AI152:AR152)))</t>
        </is>
      </c>
      <c r="BG152" s="49" t="inlineStr">
        <is>
          <t>IF(OR(F152="",AT152=""),"",IF(COUNT(AI152:AS152)=0,"",AT152-LOOKUP(2,1/(AI152:AS152&lt;&gt;""),AI152:AS152)))</t>
        </is>
      </c>
      <c r="BH152" s="49" t="inlineStr">
        <is>
          <t>IF(OR(F152="",AU152=""),"",IF(COUNT(AI152:AT152)=0,"",AU152-LOOKUP(2,1/(AI152:AT152&lt;&gt;""),AI152:AT152)))</t>
        </is>
      </c>
      <c r="BI152" s="49" t="inlineStr">
        <is>
          <t>IF(OR(F152="",AV152=""),"",IF(COUNT(AI152:AU152)=0,"",AV152-LOOKUP(2,1/(AI152:AU152&lt;&gt;""),AI152:AU152)))</t>
        </is>
      </c>
      <c r="BJ152" s="51" t="inlineStr">
        <is>
          <t>IF(J152="","All_Provinces",IFERROR(VLOOKUP(J152,'09_Lookups'!$A$4:$B$20,2,FALSE),"All_Provinces"))</t>
        </is>
      </c>
      <c r="BK152" s="51" t="inlineStr">
        <is>
          <t>IF(K152="","All_Districts",IFERROR(VLOOKUP(K152,'09_Lookups'!$E$4:$F$42,2,FALSE),"All_Districts"))</t>
        </is>
      </c>
    </row>
    <row r="153" ht="18" customHeight="1">
      <c r="A153" s="42" t="inlineStr">
        <is>
          <t>IF(F153="","",ROW()-3)</t>
        </is>
      </c>
      <c r="B153" s="44" t="n"/>
      <c r="C153" s="44" t="n"/>
      <c r="D153" s="44" t="n"/>
      <c r="E153" s="44" t="n"/>
      <c r="F153" s="44" t="n"/>
      <c r="G153" s="44" t="n"/>
      <c r="H153" s="44" t="n"/>
      <c r="I153" s="44" t="n"/>
      <c r="J153" s="44" t="n"/>
      <c r="K153" s="44" t="n"/>
      <c r="L153" s="44" t="n"/>
      <c r="M153" s="44" t="n"/>
      <c r="N153" s="44" t="n"/>
      <c r="O153" s="44" t="n"/>
      <c r="P153" s="44" t="n"/>
      <c r="Q153" s="44" t="n"/>
      <c r="R153" s="44" t="n"/>
      <c r="S153" s="45" t="n"/>
      <c r="T153" s="46" t="inlineStr">
        <is>
          <t>IF(AQ153="","",AQ153)</t>
        </is>
      </c>
      <c r="U153" s="47" t="n"/>
      <c r="V153" s="48" t="n"/>
      <c r="W153" s="47" t="n"/>
      <c r="X153" s="46" t="inlineStr">
        <is>
          <t>IF(W153&lt;&gt;"",W153,IF(OR(T153="",V153=""),"",EDATE(T153,V153)))</t>
        </is>
      </c>
      <c r="Y153" s="47" t="n"/>
      <c r="Z153" s="48" t="n"/>
      <c r="AA153" s="44" t="n"/>
      <c r="AB153" s="44" t="n"/>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47" t="n"/>
      <c r="AJ153" s="47" t="n"/>
      <c r="AK153" s="47" t="n"/>
      <c r="AL153" s="47" t="n"/>
      <c r="AM153" s="47" t="n"/>
      <c r="AN153" s="47" t="n"/>
      <c r="AO153" s="47" t="n"/>
      <c r="AP153" s="47" t="n"/>
      <c r="AQ153" s="47" t="n"/>
      <c r="AR153" s="47" t="n"/>
      <c r="AS153" s="4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ht="18" customHeight="1">
      <c r="A154" s="42" t="inlineStr">
        <is>
          <t>IF(F154="","",ROW()-3)</t>
        </is>
      </c>
      <c r="B154" s="52" t="n"/>
      <c r="C154" s="52" t="n"/>
      <c r="D154" s="52" t="n"/>
      <c r="E154" s="52" t="n"/>
      <c r="F154" s="52" t="n"/>
      <c r="G154" s="52" t="n"/>
      <c r="H154" s="52" t="n"/>
      <c r="I154" s="52" t="n"/>
      <c r="J154" s="52" t="n"/>
      <c r="K154" s="52" t="n"/>
      <c r="L154" s="52" t="n"/>
      <c r="M154" s="52" t="n"/>
      <c r="N154" s="52" t="n"/>
      <c r="O154" s="52" t="n"/>
      <c r="P154" s="52" t="n"/>
      <c r="Q154" s="52" t="n"/>
      <c r="R154" s="52" t="n"/>
      <c r="S154" s="53" t="n"/>
      <c r="T154" s="46" t="inlineStr">
        <is>
          <t>IF(AQ154="","",AQ154)</t>
        </is>
      </c>
      <c r="U154" s="54" t="n"/>
      <c r="V154" s="55" t="n"/>
      <c r="W154" s="54" t="n"/>
      <c r="X154" s="46" t="inlineStr">
        <is>
          <t>IF(W154&lt;&gt;"",W154,IF(OR(T154="",V154=""),"",EDATE(T154,V154)))</t>
        </is>
      </c>
      <c r="Y154" s="54" t="n"/>
      <c r="Z154" s="55" t="n"/>
      <c r="AA154" s="52" t="n"/>
      <c r="AB154" s="52" t="n"/>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54" t="n"/>
      <c r="AJ154" s="54" t="n"/>
      <c r="AK154" s="54" t="n"/>
      <c r="AL154" s="54" t="n"/>
      <c r="AM154" s="54" t="n"/>
      <c r="AN154" s="54" t="n"/>
      <c r="AO154" s="54" t="n"/>
      <c r="AP154" s="54" t="n"/>
      <c r="AQ154" s="54" t="n"/>
      <c r="AR154" s="54" t="n"/>
      <c r="AS154" s="54"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42" t="inlineStr">
        <is>
          <t>IF(F155="","",ROW()-3)</t>
        </is>
      </c>
      <c r="B155" s="44" t="n"/>
      <c r="C155" s="44" t="n"/>
      <c r="D155" s="44" t="n"/>
      <c r="E155" s="44" t="n"/>
      <c r="F155" s="44" t="n"/>
      <c r="G155" s="44" t="n"/>
      <c r="H155" s="44" t="n"/>
      <c r="I155" s="44" t="n"/>
      <c r="J155" s="44" t="n"/>
      <c r="K155" s="44" t="n"/>
      <c r="L155" s="44" t="n"/>
      <c r="M155" s="44" t="n"/>
      <c r="N155" s="44" t="n"/>
      <c r="O155" s="44" t="n"/>
      <c r="P155" s="44" t="n"/>
      <c r="Q155" s="44" t="n"/>
      <c r="R155" s="44" t="n"/>
      <c r="S155" s="45" t="n"/>
      <c r="T155" s="46" t="inlineStr">
        <is>
          <t>IF(AQ155="","",AQ155)</t>
        </is>
      </c>
      <c r="U155" s="47" t="n"/>
      <c r="V155" s="48" t="n"/>
      <c r="W155" s="47" t="n"/>
      <c r="X155" s="46" t="inlineStr">
        <is>
          <t>IF(W155&lt;&gt;"",W155,IF(OR(T155="",V155=""),"",EDATE(T155,V155)))</t>
        </is>
      </c>
      <c r="Y155" s="47" t="n"/>
      <c r="Z155" s="48" t="n"/>
      <c r="AA155" s="44" t="n"/>
      <c r="AB155" s="44" t="n"/>
      <c r="AC155" s="42" t="inlineStr">
        <is>
          <t>IF(F155="","",IF(COUNT(AI155:AV155)=0,IF(AA155="","Not started",AA155),SUBSTITUTE(LOOKUP(2,1/(AI155:AV155&lt;&gt;""),$AI$3:$AV$3),"Date: ","")))</t>
        </is>
      </c>
      <c r="AD155" s="49" t="inlineStr">
        <is>
          <t>IF(OR(F155="",COUNT(AI155:AV155)=0),"",TODAY()-LOOKUP(2,1/(AI155:AV155&lt;&gt;""),AI155:AV155))</t>
        </is>
      </c>
      <c r="AE155" s="49" t="inlineStr">
        <is>
          <t>IF(OR(F155="",COUNT(AI155:AV155)&lt;2),"",LOOKUP(2,1/(AI155:AV155&lt;&gt;""),AI155:AV155)-MIN(AI155:AV155))</t>
        </is>
      </c>
      <c r="AF155" s="49" t="inlineStr">
        <is>
          <t>IF(OR(AD155="",AC155="Not started",AC155=""),"",IFERROR(AD155-IF(VLOOKUP(AC155,'06_Status_Pipeline'!$B$3:$E$20,4,FALSE)="",0,VLOOKUP(AC155,'06_Status_Pipeline'!$B$3:$E$20,4,FALSE)),""))</t>
        </is>
      </c>
      <c r="AG155" s="4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49" t="inlineStr">
        <is>
          <t>IF(OR(F155="",AC155="Completed / Handover",AC155="Cancelled"),"",IF(O155="Not awarded",IF(U155&lt;&gt;"",U155-TODAY(),IF(X155="","",X155-TODAY())),IF(X155="","",X155-TODAY())))</t>
        </is>
      </c>
      <c r="AI155" s="47" t="n"/>
      <c r="AJ155" s="47" t="n"/>
      <c r="AK155" s="47" t="n"/>
      <c r="AL155" s="47" t="n"/>
      <c r="AM155" s="47" t="n"/>
      <c r="AN155" s="47" t="n"/>
      <c r="AO155" s="47" t="n"/>
      <c r="AP155" s="47" t="n"/>
      <c r="AQ155" s="47" t="n"/>
      <c r="AR155" s="47" t="n"/>
      <c r="AS155" s="47" t="n"/>
      <c r="AT155" s="50" t="n"/>
      <c r="AU155" s="50" t="n"/>
      <c r="AV155" s="50" t="n"/>
      <c r="AW155" s="49" t="inlineStr">
        <is>
          <t>IF(OR(F155="",AJ155=""),"",IF(COUNT(AI155:AI155)=0,"",AJ155-LOOKUP(2,1/(AI155:AI155&lt;&gt;""),AI155:AI155)))</t>
        </is>
      </c>
      <c r="AX155" s="49" t="inlineStr">
        <is>
          <t>IF(OR(F155="",AK155=""),"",IF(COUNT(AI155:AJ155)=0,"",AK155-LOOKUP(2,1/(AI155:AJ155&lt;&gt;""),AI155:AJ155)))</t>
        </is>
      </c>
      <c r="AY155" s="49" t="inlineStr">
        <is>
          <t>IF(OR(F155="",AL155=""),"",IF(COUNT(AI155:AK155)=0,"",AL155-LOOKUP(2,1/(AI155:AK155&lt;&gt;""),AI155:AK155)))</t>
        </is>
      </c>
      <c r="AZ155" s="49" t="inlineStr">
        <is>
          <t>IF(OR(F155="",AM155=""),"",IF(COUNT(AI155:AL155)=0,"",AM155-LOOKUP(2,1/(AI155:AL155&lt;&gt;""),AI155:AL155)))</t>
        </is>
      </c>
      <c r="BA155" s="49" t="inlineStr">
        <is>
          <t>IF(OR(F155="",AN155=""),"",IF(COUNT(AI155:AM155)=0,"",AN155-LOOKUP(2,1/(AI155:AM155&lt;&gt;""),AI155:AM155)))</t>
        </is>
      </c>
      <c r="BB155" s="49" t="inlineStr">
        <is>
          <t>IF(OR(F155="",AO155=""),"",IF(COUNT(AI155:AN155)=0,"",AO155-LOOKUP(2,1/(AI155:AN155&lt;&gt;""),AI155:AN155)))</t>
        </is>
      </c>
      <c r="BC155" s="49" t="inlineStr">
        <is>
          <t>IF(OR(F155="",AP155=""),"",IF(COUNT(AI155:AO155)=0,"",AP155-LOOKUP(2,1/(AI155:AO155&lt;&gt;""),AI155:AO155)))</t>
        </is>
      </c>
      <c r="BD155" s="49" t="inlineStr">
        <is>
          <t>IF(OR(F155="",AQ155=""),"",IF(COUNT(AI155:AP155)=0,"",AQ155-LOOKUP(2,1/(AI155:AP155&lt;&gt;""),AI155:AP155)))</t>
        </is>
      </c>
      <c r="BE155" s="49" t="inlineStr">
        <is>
          <t>IF(OR(F155="",AR155=""),"",IF(COUNT(AI155:AQ155)=0,"",AR155-LOOKUP(2,1/(AI155:AQ155&lt;&gt;""),AI155:AQ155)))</t>
        </is>
      </c>
      <c r="BF155" s="49" t="inlineStr">
        <is>
          <t>IF(OR(F155="",AS155=""),"",IF(COUNT(AI155:AR155)=0,"",AS155-LOOKUP(2,1/(AI155:AR155&lt;&gt;""),AI155:AR155)))</t>
        </is>
      </c>
      <c r="BG155" s="49" t="inlineStr">
        <is>
          <t>IF(OR(F155="",AT155=""),"",IF(COUNT(AI155:AS155)=0,"",AT155-LOOKUP(2,1/(AI155:AS155&lt;&gt;""),AI155:AS155)))</t>
        </is>
      </c>
      <c r="BH155" s="49" t="inlineStr">
        <is>
          <t>IF(OR(F155="",AU155=""),"",IF(COUNT(AI155:AT155)=0,"",AU155-LOOKUP(2,1/(AI155:AT155&lt;&gt;""),AI155:AT155)))</t>
        </is>
      </c>
      <c r="BI155" s="49" t="inlineStr">
        <is>
          <t>IF(OR(F155="",AV155=""),"",IF(COUNT(AI155:AU155)=0,"",AV155-LOOKUP(2,1/(AI155:AU155&lt;&gt;""),AI155:AU155)))</t>
        </is>
      </c>
      <c r="BJ155" s="51" t="inlineStr">
        <is>
          <t>IF(J155="","All_Provinces",IFERROR(VLOOKUP(J155,'09_Lookups'!$A$4:$B$20,2,FALSE),"All_Provinces"))</t>
        </is>
      </c>
      <c r="BK155" s="51" t="inlineStr">
        <is>
          <t>IF(K155="","All_Districts",IFERROR(VLOOKUP(K155,'09_Lookups'!$E$4:$F$42,2,FALSE),"All_Districts"))</t>
        </is>
      </c>
    </row>
    <row r="156" ht="18" customHeight="1">
      <c r="A156" s="42" t="inlineStr">
        <is>
          <t>IF(F156="","",ROW()-3)</t>
        </is>
      </c>
      <c r="B156" s="52" t="n"/>
      <c r="C156" s="52" t="n"/>
      <c r="D156" s="52" t="n"/>
      <c r="E156" s="52" t="n"/>
      <c r="F156" s="52" t="n"/>
      <c r="G156" s="52" t="n"/>
      <c r="H156" s="52" t="n"/>
      <c r="I156" s="52" t="n"/>
      <c r="J156" s="52" t="n"/>
      <c r="K156" s="52" t="n"/>
      <c r="L156" s="52" t="n"/>
      <c r="M156" s="52" t="n"/>
      <c r="N156" s="52" t="n"/>
      <c r="O156" s="52" t="n"/>
      <c r="P156" s="52" t="n"/>
      <c r="Q156" s="52" t="n"/>
      <c r="R156" s="52" t="n"/>
      <c r="S156" s="53" t="n"/>
      <c r="T156" s="46" t="inlineStr">
        <is>
          <t>IF(AQ156="","",AQ156)</t>
        </is>
      </c>
      <c r="U156" s="54" t="n"/>
      <c r="V156" s="55" t="n"/>
      <c r="W156" s="54" t="n"/>
      <c r="X156" s="46" t="inlineStr">
        <is>
          <t>IF(W156&lt;&gt;"",W156,IF(OR(T156="",V156=""),"",EDATE(T156,V156)))</t>
        </is>
      </c>
      <c r="Y156" s="54" t="n"/>
      <c r="Z156" s="55" t="n"/>
      <c r="AA156" s="52" t="n"/>
      <c r="AB156" s="52" t="n"/>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42" t="inlineStr">
        <is>
          <t>IF(F157="","",ROW()-3)</t>
        </is>
      </c>
      <c r="B157" s="44" t="n"/>
      <c r="C157" s="44" t="n"/>
      <c r="D157" s="44" t="n"/>
      <c r="E157" s="44" t="n"/>
      <c r="F157" s="44" t="n"/>
      <c r="G157" s="44" t="n"/>
      <c r="H157" s="44" t="n"/>
      <c r="I157" s="44" t="n"/>
      <c r="J157" s="44" t="n"/>
      <c r="K157" s="44" t="n"/>
      <c r="L157" s="44" t="n"/>
      <c r="M157" s="44" t="n"/>
      <c r="N157" s="44" t="n"/>
      <c r="O157" s="44" t="n"/>
      <c r="P157" s="44" t="n"/>
      <c r="Q157" s="44" t="n"/>
      <c r="R157" s="44" t="n"/>
      <c r="S157" s="45" t="n"/>
      <c r="T157" s="46" t="inlineStr">
        <is>
          <t>IF(AQ157="","",AQ157)</t>
        </is>
      </c>
      <c r="U157" s="47" t="n"/>
      <c r="V157" s="48" t="n"/>
      <c r="W157" s="47" t="n"/>
      <c r="X157" s="46" t="inlineStr">
        <is>
          <t>IF(W157&lt;&gt;"",W157,IF(OR(T157="",V157=""),"",EDATE(T157,V157)))</t>
        </is>
      </c>
      <c r="Y157" s="47" t="n"/>
      <c r="Z157" s="48" t="n"/>
      <c r="AA157" s="44" t="n"/>
      <c r="AB157" s="44" t="n"/>
      <c r="AC157" s="42" t="inlineStr">
        <is>
          <t>IF(F157="","",IF(COUNT(AI157:AV157)=0,IF(AA157="","Not started",AA157),SUBSTITUTE(LOOKUP(2,1/(AI157:AV157&lt;&gt;""),$AI$3:$AV$3),"Date: ","")))</t>
        </is>
      </c>
      <c r="AD157" s="49" t="inlineStr">
        <is>
          <t>IF(OR(F157="",COUNT(AI157:AV157)=0),"",TODAY()-LOOKUP(2,1/(AI157:AV157&lt;&gt;""),AI157:AV157))</t>
        </is>
      </c>
      <c r="AE157" s="49" t="inlineStr">
        <is>
          <t>IF(OR(F157="",COUNT(AI157:AV157)&lt;2),"",LOOKUP(2,1/(AI157:AV157&lt;&gt;""),AI157:AV157)-MIN(AI157:AV157))</t>
        </is>
      </c>
      <c r="AF157" s="49" t="inlineStr">
        <is>
          <t>IF(OR(AD157="",AC157="Not started",AC157=""),"",IFERROR(AD157-IF(VLOOKUP(AC157,'06_Status_Pipeline'!$B$3:$E$20,4,FALSE)="",0,VLOOKUP(AC157,'06_Status_Pipeline'!$B$3:$E$20,4,FALSE)),""))</t>
        </is>
      </c>
      <c r="AG157" s="4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49" t="inlineStr">
        <is>
          <t>IF(OR(F157="",AC157="Completed / Handover",AC157="Cancelled"),"",IF(O157="Not awarded",IF(U157&lt;&gt;"",U157-TODAY(),IF(X157="","",X157-TODAY())),IF(X157="","",X157-TODAY())))</t>
        </is>
      </c>
      <c r="AI157" s="47" t="n"/>
      <c r="AJ157" s="47" t="n"/>
      <c r="AK157" s="47" t="n"/>
      <c r="AL157" s="47" t="n"/>
      <c r="AM157" s="47" t="n"/>
      <c r="AN157" s="47" t="n"/>
      <c r="AO157" s="47" t="n"/>
      <c r="AP157" s="47" t="n"/>
      <c r="AQ157" s="47" t="n"/>
      <c r="AR157" s="47" t="n"/>
      <c r="AS157" s="47" t="n"/>
      <c r="AT157" s="50" t="n"/>
      <c r="AU157" s="50" t="n"/>
      <c r="AV157" s="50" t="n"/>
      <c r="AW157" s="49" t="inlineStr">
        <is>
          <t>IF(OR(F157="",AJ157=""),"",IF(COUNT(AI157:AI157)=0,"",AJ157-LOOKUP(2,1/(AI157:AI157&lt;&gt;""),AI157:AI157)))</t>
        </is>
      </c>
      <c r="AX157" s="49" t="inlineStr">
        <is>
          <t>IF(OR(F157="",AK157=""),"",IF(COUNT(AI157:AJ157)=0,"",AK157-LOOKUP(2,1/(AI157:AJ157&lt;&gt;""),AI157:AJ157)))</t>
        </is>
      </c>
      <c r="AY157" s="49" t="inlineStr">
        <is>
          <t>IF(OR(F157="",AL157=""),"",IF(COUNT(AI157:AK157)=0,"",AL157-LOOKUP(2,1/(AI157:AK157&lt;&gt;""),AI157:AK157)))</t>
        </is>
      </c>
      <c r="AZ157" s="49" t="inlineStr">
        <is>
          <t>IF(OR(F157="",AM157=""),"",IF(COUNT(AI157:AL157)=0,"",AM157-LOOKUP(2,1/(AI157:AL157&lt;&gt;""),AI157:AL157)))</t>
        </is>
      </c>
      <c r="BA157" s="49" t="inlineStr">
        <is>
          <t>IF(OR(F157="",AN157=""),"",IF(COUNT(AI157:AM157)=0,"",AN157-LOOKUP(2,1/(AI157:AM157&lt;&gt;""),AI157:AM157)))</t>
        </is>
      </c>
      <c r="BB157" s="49" t="inlineStr">
        <is>
          <t>IF(OR(F157="",AO157=""),"",IF(COUNT(AI157:AN157)=0,"",AO157-LOOKUP(2,1/(AI157:AN157&lt;&gt;""),AI157:AN157)))</t>
        </is>
      </c>
      <c r="BC157" s="49" t="inlineStr">
        <is>
          <t>IF(OR(F157="",AP157=""),"",IF(COUNT(AI157:AO157)=0,"",AP157-LOOKUP(2,1/(AI157:AO157&lt;&gt;""),AI157:AO157)))</t>
        </is>
      </c>
      <c r="BD157" s="49" t="inlineStr">
        <is>
          <t>IF(OR(F157="",AQ157=""),"",IF(COUNT(AI157:AP157)=0,"",AQ157-LOOKUP(2,1/(AI157:AP157&lt;&gt;""),AI157:AP157)))</t>
        </is>
      </c>
      <c r="BE157" s="49" t="inlineStr">
        <is>
          <t>IF(OR(F157="",AR157=""),"",IF(COUNT(AI157:AQ157)=0,"",AR157-LOOKUP(2,1/(AI157:AQ157&lt;&gt;""),AI157:AQ157)))</t>
        </is>
      </c>
      <c r="BF157" s="49" t="inlineStr">
        <is>
          <t>IF(OR(F157="",AS157=""),"",IF(COUNT(AI157:AR157)=0,"",AS157-LOOKUP(2,1/(AI157:AR157&lt;&gt;""),AI157:AR157)))</t>
        </is>
      </c>
      <c r="BG157" s="49" t="inlineStr">
        <is>
          <t>IF(OR(F157="",AT157=""),"",IF(COUNT(AI157:AS157)=0,"",AT157-LOOKUP(2,1/(AI157:AS157&lt;&gt;""),AI157:AS157)))</t>
        </is>
      </c>
      <c r="BH157" s="49" t="inlineStr">
        <is>
          <t>IF(OR(F157="",AU157=""),"",IF(COUNT(AI157:AT157)=0,"",AU157-LOOKUP(2,1/(AI157:AT157&lt;&gt;""),AI157:AT157)))</t>
        </is>
      </c>
      <c r="BI157" s="49" t="inlineStr">
        <is>
          <t>IF(OR(F157="",AV157=""),"",IF(COUNT(AI157:AU157)=0,"",AV157-LOOKUP(2,1/(AI157:AU157&lt;&gt;""),AI157:AU157)))</t>
        </is>
      </c>
      <c r="BJ157" s="51" t="inlineStr">
        <is>
          <t>IF(J157="","All_Provinces",IFERROR(VLOOKUP(J157,'09_Lookups'!$A$4:$B$20,2,FALSE),"All_Provinces"))</t>
        </is>
      </c>
      <c r="BK157" s="51" t="inlineStr">
        <is>
          <t>IF(K157="","All_Districts",IFERROR(VLOOKUP(K157,'09_Lookups'!$E$4:$F$42,2,FALSE),"All_Districts"))</t>
        </is>
      </c>
    </row>
    <row r="158" ht="18" customHeight="1">
      <c r="A158" s="42" t="inlineStr">
        <is>
          <t>IF(F158="","",ROW()-3)</t>
        </is>
      </c>
      <c r="B158" s="52" t="n"/>
      <c r="C158" s="52" t="n"/>
      <c r="D158" s="52" t="n"/>
      <c r="E158" s="52" t="n"/>
      <c r="F158" s="52" t="n"/>
      <c r="G158" s="52" t="n"/>
      <c r="H158" s="52" t="n"/>
      <c r="I158" s="52" t="n"/>
      <c r="J158" s="52" t="n"/>
      <c r="K158" s="52" t="n"/>
      <c r="L158" s="52" t="n"/>
      <c r="M158" s="52" t="n"/>
      <c r="N158" s="52" t="n"/>
      <c r="O158" s="52" t="n"/>
      <c r="P158" s="52" t="n"/>
      <c r="Q158" s="52" t="n"/>
      <c r="R158" s="52" t="n"/>
      <c r="S158" s="53" t="n"/>
      <c r="T158" s="46" t="inlineStr">
        <is>
          <t>IF(AQ158="","",AQ158)</t>
        </is>
      </c>
      <c r="U158" s="54" t="n"/>
      <c r="V158" s="55" t="n"/>
      <c r="W158" s="54" t="n"/>
      <c r="X158" s="46" t="inlineStr">
        <is>
          <t>IF(W158&lt;&gt;"",W158,IF(OR(T158="",V158=""),"",EDATE(T158,V158)))</t>
        </is>
      </c>
      <c r="Y158" s="54" t="n"/>
      <c r="Z158" s="55" t="n"/>
      <c r="AA158" s="52" t="n"/>
      <c r="AB158" s="52" t="n"/>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54" t="n"/>
      <c r="AJ158" s="54" t="n"/>
      <c r="AK158" s="54" t="n"/>
      <c r="AL158" s="54" t="n"/>
      <c r="AM158" s="54" t="n"/>
      <c r="AN158" s="54" t="n"/>
      <c r="AO158" s="54" t="n"/>
      <c r="AP158" s="54" t="n"/>
      <c r="AQ158" s="54" t="n"/>
      <c r="AR158" s="54" t="n"/>
      <c r="AS158" s="54"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42" t="inlineStr">
        <is>
          <t>IF(F159="","",ROW()-3)</t>
        </is>
      </c>
      <c r="B159" s="44" t="n"/>
      <c r="C159" s="44" t="n"/>
      <c r="D159" s="44" t="n"/>
      <c r="E159" s="44" t="n"/>
      <c r="F159" s="44" t="n"/>
      <c r="G159" s="44" t="n"/>
      <c r="H159" s="44" t="n"/>
      <c r="I159" s="44" t="n"/>
      <c r="J159" s="44" t="n"/>
      <c r="K159" s="44" t="n"/>
      <c r="L159" s="44" t="n"/>
      <c r="M159" s="44" t="n"/>
      <c r="N159" s="44" t="n"/>
      <c r="O159" s="44" t="n"/>
      <c r="P159" s="44" t="n"/>
      <c r="Q159" s="44" t="n"/>
      <c r="R159" s="44" t="n"/>
      <c r="S159" s="45" t="n"/>
      <c r="T159" s="46" t="inlineStr">
        <is>
          <t>IF(AQ159="","",AQ159)</t>
        </is>
      </c>
      <c r="U159" s="47" t="n"/>
      <c r="V159" s="48" t="n"/>
      <c r="W159" s="47" t="n"/>
      <c r="X159" s="46" t="inlineStr">
        <is>
          <t>IF(W159&lt;&gt;"",W159,IF(OR(T159="",V159=""),"",EDATE(T159,V159)))</t>
        </is>
      </c>
      <c r="Y159" s="47" t="n"/>
      <c r="Z159" s="48" t="n"/>
      <c r="AA159" s="44" t="n"/>
      <c r="AB159" s="44" t="n"/>
      <c r="AC159" s="42" t="inlineStr">
        <is>
          <t>IF(F159="","",IF(COUNT(AI159:AV159)=0,IF(AA159="","Not started",AA159),SUBSTITUTE(LOOKUP(2,1/(AI159:AV159&lt;&gt;""),$AI$3:$AV$3),"Date: ","")))</t>
        </is>
      </c>
      <c r="AD159" s="49" t="inlineStr">
        <is>
          <t>IF(OR(F159="",COUNT(AI159:AV159)=0),"",TODAY()-LOOKUP(2,1/(AI159:AV159&lt;&gt;""),AI159:AV159))</t>
        </is>
      </c>
      <c r="AE159" s="49" t="inlineStr">
        <is>
          <t>IF(OR(F159="",COUNT(AI159:AV159)&lt;2),"",LOOKUP(2,1/(AI159:AV159&lt;&gt;""),AI159:AV159)-MIN(AI159:AV159))</t>
        </is>
      </c>
      <c r="AF159" s="49" t="inlineStr">
        <is>
          <t>IF(OR(AD159="",AC159="Not started",AC159=""),"",IFERROR(AD159-IF(VLOOKUP(AC159,'06_Status_Pipeline'!$B$3:$E$20,4,FALSE)="",0,VLOOKUP(AC159,'06_Status_Pipeline'!$B$3:$E$20,4,FALSE)),""))</t>
        </is>
      </c>
      <c r="AG159" s="4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49" t="inlineStr">
        <is>
          <t>IF(OR(F159="",AC159="Completed / Handover",AC159="Cancelled"),"",IF(O159="Not awarded",IF(U159&lt;&gt;"",U159-TODAY(),IF(X159="","",X159-TODAY())),IF(X159="","",X159-TODAY())))</t>
        </is>
      </c>
      <c r="AI159" s="47" t="n"/>
      <c r="AJ159" s="47" t="n"/>
      <c r="AK159" s="47" t="n"/>
      <c r="AL159" s="47" t="n"/>
      <c r="AM159" s="47" t="n"/>
      <c r="AN159" s="47" t="n"/>
      <c r="AO159" s="47" t="n"/>
      <c r="AP159" s="47" t="n"/>
      <c r="AQ159" s="47" t="n"/>
      <c r="AR159" s="47" t="n"/>
      <c r="AS159" s="47" t="n"/>
      <c r="AT159" s="50" t="n"/>
      <c r="AU159" s="50" t="n"/>
      <c r="AV159" s="50" t="n"/>
      <c r="AW159" s="49" t="inlineStr">
        <is>
          <t>IF(OR(F159="",AJ159=""),"",IF(COUNT(AI159:AI159)=0,"",AJ159-LOOKUP(2,1/(AI159:AI159&lt;&gt;""),AI159:AI159)))</t>
        </is>
      </c>
      <c r="AX159" s="49" t="inlineStr">
        <is>
          <t>IF(OR(F159="",AK159=""),"",IF(COUNT(AI159:AJ159)=0,"",AK159-LOOKUP(2,1/(AI159:AJ159&lt;&gt;""),AI159:AJ159)))</t>
        </is>
      </c>
      <c r="AY159" s="49" t="inlineStr">
        <is>
          <t>IF(OR(F159="",AL159=""),"",IF(COUNT(AI159:AK159)=0,"",AL159-LOOKUP(2,1/(AI159:AK159&lt;&gt;""),AI159:AK159)))</t>
        </is>
      </c>
      <c r="AZ159" s="49" t="inlineStr">
        <is>
          <t>IF(OR(F159="",AM159=""),"",IF(COUNT(AI159:AL159)=0,"",AM159-LOOKUP(2,1/(AI159:AL159&lt;&gt;""),AI159:AL159)))</t>
        </is>
      </c>
      <c r="BA159" s="49" t="inlineStr">
        <is>
          <t>IF(OR(F159="",AN159=""),"",IF(COUNT(AI159:AM159)=0,"",AN159-LOOKUP(2,1/(AI159:AM159&lt;&gt;""),AI159:AM159)))</t>
        </is>
      </c>
      <c r="BB159" s="49" t="inlineStr">
        <is>
          <t>IF(OR(F159="",AO159=""),"",IF(COUNT(AI159:AN159)=0,"",AO159-LOOKUP(2,1/(AI159:AN159&lt;&gt;""),AI159:AN159)))</t>
        </is>
      </c>
      <c r="BC159" s="49" t="inlineStr">
        <is>
          <t>IF(OR(F159="",AP159=""),"",IF(COUNT(AI159:AO159)=0,"",AP159-LOOKUP(2,1/(AI159:AO159&lt;&gt;""),AI159:AO159)))</t>
        </is>
      </c>
      <c r="BD159" s="49" t="inlineStr">
        <is>
          <t>IF(OR(F159="",AQ159=""),"",IF(COUNT(AI159:AP159)=0,"",AQ159-LOOKUP(2,1/(AI159:AP159&lt;&gt;""),AI159:AP159)))</t>
        </is>
      </c>
      <c r="BE159" s="49" t="inlineStr">
        <is>
          <t>IF(OR(F159="",AR159=""),"",IF(COUNT(AI159:AQ159)=0,"",AR159-LOOKUP(2,1/(AI159:AQ159&lt;&gt;""),AI159:AQ159)))</t>
        </is>
      </c>
      <c r="BF159" s="49" t="inlineStr">
        <is>
          <t>IF(OR(F159="",AS159=""),"",IF(COUNT(AI159:AR159)=0,"",AS159-LOOKUP(2,1/(AI159:AR159&lt;&gt;""),AI159:AR159)))</t>
        </is>
      </c>
      <c r="BG159" s="49" t="inlineStr">
        <is>
          <t>IF(OR(F159="",AT159=""),"",IF(COUNT(AI159:AS159)=0,"",AT159-LOOKUP(2,1/(AI159:AS159&lt;&gt;""),AI159:AS159)))</t>
        </is>
      </c>
      <c r="BH159" s="49" t="inlineStr">
        <is>
          <t>IF(OR(F159="",AU159=""),"",IF(COUNT(AI159:AT159)=0,"",AU159-LOOKUP(2,1/(AI159:AT159&lt;&gt;""),AI159:AT159)))</t>
        </is>
      </c>
      <c r="BI159" s="49" t="inlineStr">
        <is>
          <t>IF(OR(F159="",AV159=""),"",IF(COUNT(AI159:AU159)=0,"",AV159-LOOKUP(2,1/(AI159:AU159&lt;&gt;""),AI159:AU159)))</t>
        </is>
      </c>
      <c r="BJ159" s="51" t="inlineStr">
        <is>
          <t>IF(J159="","All_Provinces",IFERROR(VLOOKUP(J159,'09_Lookups'!$A$4:$B$20,2,FALSE),"All_Provinces"))</t>
        </is>
      </c>
      <c r="BK159" s="51" t="inlineStr">
        <is>
          <t>IF(K159="","All_Districts",IFERROR(VLOOKUP(K159,'09_Lookups'!$E$4:$F$42,2,FALSE),"All_Districts"))</t>
        </is>
      </c>
    </row>
    <row r="160" ht="18" customHeight="1">
      <c r="A160" s="42" t="inlineStr">
        <is>
          <t>IF(F160="","",ROW()-3)</t>
        </is>
      </c>
      <c r="B160" s="52" t="n"/>
      <c r="C160" s="52" t="n"/>
      <c r="D160" s="52" t="n"/>
      <c r="E160" s="52" t="n"/>
      <c r="F160" s="52" t="n"/>
      <c r="G160" s="52" t="n"/>
      <c r="H160" s="52" t="n"/>
      <c r="I160" s="52" t="n"/>
      <c r="J160" s="52" t="n"/>
      <c r="K160" s="52" t="n"/>
      <c r="L160" s="52" t="n"/>
      <c r="M160" s="52" t="n"/>
      <c r="N160" s="52" t="n"/>
      <c r="O160" s="52" t="n"/>
      <c r="P160" s="52" t="n"/>
      <c r="Q160" s="52" t="n"/>
      <c r="R160" s="52" t="n"/>
      <c r="S160" s="53" t="n"/>
      <c r="T160" s="46" t="inlineStr">
        <is>
          <t>IF(AQ160="","",AQ160)</t>
        </is>
      </c>
      <c r="U160" s="54" t="n"/>
      <c r="V160" s="55" t="n"/>
      <c r="W160" s="54" t="n"/>
      <c r="X160" s="46" t="inlineStr">
        <is>
          <t>IF(W160&lt;&gt;"",W160,IF(OR(T160="",V160=""),"",EDATE(T160,V160)))</t>
        </is>
      </c>
      <c r="Y160" s="54" t="n"/>
      <c r="Z160" s="55" t="n"/>
      <c r="AA160" s="52" t="n"/>
      <c r="AB160" s="52" t="n"/>
      <c r="AC160" s="42" t="inlineStr">
        <is>
          <t>IF(F160="","",IF(COUNT(AI160:AV160)=0,IF(AA160="","Not started",AA160),SUBSTITUTE(LOOKUP(2,1/(AI160:AV160&lt;&gt;""),$AI$3:$AV$3),"Date: ","")))</t>
        </is>
      </c>
      <c r="AD160" s="49" t="inlineStr">
        <is>
          <t>IF(OR(F160="",COUNT(AI160:AV160)=0),"",TODAY()-LOOKUP(2,1/(AI160:AV160&lt;&gt;""),AI160:AV160))</t>
        </is>
      </c>
      <c r="AE160" s="49" t="inlineStr">
        <is>
          <t>IF(OR(F160="",COUNT(AI160:AV160)&lt;2),"",LOOKUP(2,1/(AI160:AV160&lt;&gt;""),AI160:AV160)-MIN(AI160:AV160))</t>
        </is>
      </c>
      <c r="AF160" s="49" t="inlineStr">
        <is>
          <t>IF(OR(AD160="",AC160="Not started",AC160=""),"",IFERROR(AD160-IF(VLOOKUP(AC160,'06_Status_Pipeline'!$B$3:$E$20,4,FALSE)="",0,VLOOKUP(AC160,'06_Status_Pipeline'!$B$3:$E$20,4,FALSE)),""))</t>
        </is>
      </c>
      <c r="AG160" s="4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49" t="inlineStr">
        <is>
          <t>IF(OR(F160="",AC160="Completed / Handover",AC160="Cancelled"),"",IF(O160="Not awarded",IF(U160&lt;&gt;"",U160-TODAY(),IF(X160="","",X160-TODAY())),IF(X160="","",X160-TODAY())))</t>
        </is>
      </c>
      <c r="AI160" s="54" t="n"/>
      <c r="AJ160" s="54" t="n"/>
      <c r="AK160" s="54" t="n"/>
      <c r="AL160" s="54" t="n"/>
      <c r="AM160" s="54" t="n"/>
      <c r="AN160" s="54" t="n"/>
      <c r="AO160" s="54" t="n"/>
      <c r="AP160" s="54" t="n"/>
      <c r="AQ160" s="54" t="n"/>
      <c r="AR160" s="54" t="n"/>
      <c r="AS160" s="54" t="n"/>
      <c r="AT160" s="50" t="n"/>
      <c r="AU160" s="50" t="n"/>
      <c r="AV160" s="50" t="n"/>
      <c r="AW160" s="49" t="inlineStr">
        <is>
          <t>IF(OR(F160="",AJ160=""),"",IF(COUNT(AI160:AI160)=0,"",AJ160-LOOKUP(2,1/(AI160:AI160&lt;&gt;""),AI160:AI160)))</t>
        </is>
      </c>
      <c r="AX160" s="49" t="inlineStr">
        <is>
          <t>IF(OR(F160="",AK160=""),"",IF(COUNT(AI160:AJ160)=0,"",AK160-LOOKUP(2,1/(AI160:AJ160&lt;&gt;""),AI160:AJ160)))</t>
        </is>
      </c>
      <c r="AY160" s="49" t="inlineStr">
        <is>
          <t>IF(OR(F160="",AL160=""),"",IF(COUNT(AI160:AK160)=0,"",AL160-LOOKUP(2,1/(AI160:AK160&lt;&gt;""),AI160:AK160)))</t>
        </is>
      </c>
      <c r="AZ160" s="49" t="inlineStr">
        <is>
          <t>IF(OR(F160="",AM160=""),"",IF(COUNT(AI160:AL160)=0,"",AM160-LOOKUP(2,1/(AI160:AL160&lt;&gt;""),AI160:AL160)))</t>
        </is>
      </c>
      <c r="BA160" s="49" t="inlineStr">
        <is>
          <t>IF(OR(F160="",AN160=""),"",IF(COUNT(AI160:AM160)=0,"",AN160-LOOKUP(2,1/(AI160:AM160&lt;&gt;""),AI160:AM160)))</t>
        </is>
      </c>
      <c r="BB160" s="49" t="inlineStr">
        <is>
          <t>IF(OR(F160="",AO160=""),"",IF(COUNT(AI160:AN160)=0,"",AO160-LOOKUP(2,1/(AI160:AN160&lt;&gt;""),AI160:AN160)))</t>
        </is>
      </c>
      <c r="BC160" s="49" t="inlineStr">
        <is>
          <t>IF(OR(F160="",AP160=""),"",IF(COUNT(AI160:AO160)=0,"",AP160-LOOKUP(2,1/(AI160:AO160&lt;&gt;""),AI160:AO160)))</t>
        </is>
      </c>
      <c r="BD160" s="49" t="inlineStr">
        <is>
          <t>IF(OR(F160="",AQ160=""),"",IF(COUNT(AI160:AP160)=0,"",AQ160-LOOKUP(2,1/(AI160:AP160&lt;&gt;""),AI160:AP160)))</t>
        </is>
      </c>
      <c r="BE160" s="49" t="inlineStr">
        <is>
          <t>IF(OR(F160="",AR160=""),"",IF(COUNT(AI160:AQ160)=0,"",AR160-LOOKUP(2,1/(AI160:AQ160&lt;&gt;""),AI160:AQ160)))</t>
        </is>
      </c>
      <c r="BF160" s="49" t="inlineStr">
        <is>
          <t>IF(OR(F160="",AS160=""),"",IF(COUNT(AI160:AR160)=0,"",AS160-LOOKUP(2,1/(AI160:AR160&lt;&gt;""),AI160:AR160)))</t>
        </is>
      </c>
      <c r="BG160" s="49" t="inlineStr">
        <is>
          <t>IF(OR(F160="",AT160=""),"",IF(COUNT(AI160:AS160)=0,"",AT160-LOOKUP(2,1/(AI160:AS160&lt;&gt;""),AI160:AS160)))</t>
        </is>
      </c>
      <c r="BH160" s="49" t="inlineStr">
        <is>
          <t>IF(OR(F160="",AU160=""),"",IF(COUNT(AI160:AT160)=0,"",AU160-LOOKUP(2,1/(AI160:AT160&lt;&gt;""),AI160:AT160)))</t>
        </is>
      </c>
      <c r="BI160" s="49" t="inlineStr">
        <is>
          <t>IF(OR(F160="",AV160=""),"",IF(COUNT(AI160:AU160)=0,"",AV160-LOOKUP(2,1/(AI160:AU160&lt;&gt;""),AI160:AU160)))</t>
        </is>
      </c>
      <c r="BJ160" s="51" t="inlineStr">
        <is>
          <t>IF(J160="","All_Provinces",IFERROR(VLOOKUP(J160,'09_Lookups'!$A$4:$B$20,2,FALSE),"All_Provinces"))</t>
        </is>
      </c>
      <c r="BK160" s="51" t="inlineStr">
        <is>
          <t>IF(K160="","All_Districts",IFERROR(VLOOKUP(K160,'09_Lookups'!$E$4:$F$42,2,FALSE),"All_Districts"))</t>
        </is>
      </c>
    </row>
    <row r="161" ht="18" customHeight="1">
      <c r="A161" s="42" t="inlineStr">
        <is>
          <t>IF(F161="","",ROW()-3)</t>
        </is>
      </c>
      <c r="B161" s="44" t="n"/>
      <c r="C161" s="44" t="n"/>
      <c r="D161" s="44" t="n"/>
      <c r="E161" s="44" t="n"/>
      <c r="F161" s="44" t="n"/>
      <c r="G161" s="44" t="n"/>
      <c r="H161" s="44" t="n"/>
      <c r="I161" s="44" t="n"/>
      <c r="J161" s="44" t="n"/>
      <c r="K161" s="44" t="n"/>
      <c r="L161" s="44" t="n"/>
      <c r="M161" s="44" t="n"/>
      <c r="N161" s="44" t="n"/>
      <c r="O161" s="44" t="n"/>
      <c r="P161" s="44" t="n"/>
      <c r="Q161" s="44" t="n"/>
      <c r="R161" s="44" t="n"/>
      <c r="S161" s="45" t="n"/>
      <c r="T161" s="46" t="inlineStr">
        <is>
          <t>IF(AQ161="","",AQ161)</t>
        </is>
      </c>
      <c r="U161" s="47" t="n"/>
      <c r="V161" s="48" t="n"/>
      <c r="W161" s="47" t="n"/>
      <c r="X161" s="46" t="inlineStr">
        <is>
          <t>IF(W161&lt;&gt;"",W161,IF(OR(T161="",V161=""),"",EDATE(T161,V161)))</t>
        </is>
      </c>
      <c r="Y161" s="47" t="n"/>
      <c r="Z161" s="48" t="n"/>
      <c r="AA161" s="44" t="n"/>
      <c r="AB161" s="44" t="n"/>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47" t="n"/>
      <c r="AJ161" s="47" t="n"/>
      <c r="AK161" s="47" t="n"/>
      <c r="AL161" s="47" t="n"/>
      <c r="AM161" s="47" t="n"/>
      <c r="AN161" s="47" t="n"/>
      <c r="AO161" s="47" t="n"/>
      <c r="AP161" s="47" t="n"/>
      <c r="AQ161" s="47" t="n"/>
      <c r="AR161" s="47" t="n"/>
      <c r="AS161" s="4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ht="18" customHeight="1">
      <c r="A162" s="42" t="inlineStr">
        <is>
          <t>IF(F162="","",ROW()-3)</t>
        </is>
      </c>
      <c r="B162" s="52" t="n"/>
      <c r="C162" s="52" t="n"/>
      <c r="D162" s="52" t="n"/>
      <c r="E162" s="52" t="n"/>
      <c r="F162" s="52" t="n"/>
      <c r="G162" s="52" t="n"/>
      <c r="H162" s="52" t="n"/>
      <c r="I162" s="52" t="n"/>
      <c r="J162" s="52" t="n"/>
      <c r="K162" s="52" t="n"/>
      <c r="L162" s="52" t="n"/>
      <c r="M162" s="52" t="n"/>
      <c r="N162" s="52" t="n"/>
      <c r="O162" s="52" t="n"/>
      <c r="P162" s="52" t="n"/>
      <c r="Q162" s="52" t="n"/>
      <c r="R162" s="52" t="n"/>
      <c r="S162" s="53" t="n"/>
      <c r="T162" s="46" t="inlineStr">
        <is>
          <t>IF(AQ162="","",AQ162)</t>
        </is>
      </c>
      <c r="U162" s="54" t="n"/>
      <c r="V162" s="55" t="n"/>
      <c r="W162" s="54" t="n"/>
      <c r="X162" s="46" t="inlineStr">
        <is>
          <t>IF(W162&lt;&gt;"",W162,IF(OR(T162="",V162=""),"",EDATE(T162,V162)))</t>
        </is>
      </c>
      <c r="Y162" s="54" t="n"/>
      <c r="Z162" s="55" t="n"/>
      <c r="AA162" s="52" t="n"/>
      <c r="AB162" s="52" t="n"/>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54" t="n"/>
      <c r="AJ162" s="54" t="n"/>
      <c r="AK162" s="54" t="n"/>
      <c r="AL162" s="54" t="n"/>
      <c r="AM162" s="54" t="n"/>
      <c r="AN162" s="54" t="n"/>
      <c r="AO162" s="54" t="n"/>
      <c r="AP162" s="54" t="n"/>
      <c r="AQ162" s="54" t="n"/>
      <c r="AR162" s="54" t="n"/>
      <c r="AS162" s="54"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ht="18" customHeight="1">
      <c r="A163" s="42" t="inlineStr">
        <is>
          <t>IF(F163="","",ROW()-3)</t>
        </is>
      </c>
      <c r="B163" s="44" t="n"/>
      <c r="C163" s="44" t="n"/>
      <c r="D163" s="44" t="n"/>
      <c r="E163" s="44" t="n"/>
      <c r="F163" s="44" t="n"/>
      <c r="G163" s="44" t="n"/>
      <c r="H163" s="44" t="n"/>
      <c r="I163" s="44" t="n"/>
      <c r="J163" s="44" t="n"/>
      <c r="K163" s="44" t="n"/>
      <c r="L163" s="44" t="n"/>
      <c r="M163" s="44" t="n"/>
      <c r="N163" s="44" t="n"/>
      <c r="O163" s="44" t="n"/>
      <c r="P163" s="44" t="n"/>
      <c r="Q163" s="44" t="n"/>
      <c r="R163" s="44" t="n"/>
      <c r="S163" s="45" t="n"/>
      <c r="T163" s="46" t="inlineStr">
        <is>
          <t>IF(AQ163="","",AQ163)</t>
        </is>
      </c>
      <c r="U163" s="47" t="n"/>
      <c r="V163" s="48" t="n"/>
      <c r="W163" s="47" t="n"/>
      <c r="X163" s="46" t="inlineStr">
        <is>
          <t>IF(W163&lt;&gt;"",W163,IF(OR(T163="",V163=""),"",EDATE(T163,V163)))</t>
        </is>
      </c>
      <c r="Y163" s="47" t="n"/>
      <c r="Z163" s="48" t="n"/>
      <c r="AA163" s="44" t="n"/>
      <c r="AB163" s="44" t="n"/>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47" t="n"/>
      <c r="AJ163" s="47" t="n"/>
      <c r="AK163" s="47" t="n"/>
      <c r="AL163" s="47" t="n"/>
      <c r="AM163" s="47" t="n"/>
      <c r="AN163" s="47" t="n"/>
      <c r="AO163" s="47" t="n"/>
      <c r="AP163" s="47" t="n"/>
      <c r="AQ163" s="47" t="n"/>
      <c r="AR163" s="47" t="n"/>
      <c r="AS163" s="4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42" t="inlineStr">
        <is>
          <t>IF(F164="","",ROW()-3)</t>
        </is>
      </c>
      <c r="B164" s="52" t="n"/>
      <c r="C164" s="52" t="n"/>
      <c r="D164" s="52" t="n"/>
      <c r="E164" s="52" t="n"/>
      <c r="F164" s="52" t="n"/>
      <c r="G164" s="52" t="n"/>
      <c r="H164" s="52" t="n"/>
      <c r="I164" s="52" t="n"/>
      <c r="J164" s="52" t="n"/>
      <c r="K164" s="52" t="n"/>
      <c r="L164" s="52" t="n"/>
      <c r="M164" s="52" t="n"/>
      <c r="N164" s="52" t="n"/>
      <c r="O164" s="52" t="n"/>
      <c r="P164" s="52" t="n"/>
      <c r="Q164" s="52" t="n"/>
      <c r="R164" s="52" t="n"/>
      <c r="S164" s="53" t="n"/>
      <c r="T164" s="46" t="inlineStr">
        <is>
          <t>IF(AQ164="","",AQ164)</t>
        </is>
      </c>
      <c r="U164" s="54" t="n"/>
      <c r="V164" s="55" t="n"/>
      <c r="W164" s="54" t="n"/>
      <c r="X164" s="46" t="inlineStr">
        <is>
          <t>IF(W164&lt;&gt;"",W164,IF(OR(T164="",V164=""),"",EDATE(T164,V164)))</t>
        </is>
      </c>
      <c r="Y164" s="54" t="n"/>
      <c r="Z164" s="55" t="n"/>
      <c r="AA164" s="52" t="n"/>
      <c r="AB164" s="52" t="n"/>
      <c r="AC164" s="42" t="inlineStr">
        <is>
          <t>IF(F164="","",IF(COUNT(AI164:AV164)=0,IF(AA164="","Not started",AA164),SUBSTITUTE(LOOKUP(2,1/(AI164:AV164&lt;&gt;""),$AI$3:$AV$3),"Date: ","")))</t>
        </is>
      </c>
      <c r="AD164" s="49" t="inlineStr">
        <is>
          <t>IF(OR(F164="",COUNT(AI164:AV164)=0),"",TODAY()-LOOKUP(2,1/(AI164:AV164&lt;&gt;""),AI164:AV164))</t>
        </is>
      </c>
      <c r="AE164" s="49" t="inlineStr">
        <is>
          <t>IF(OR(F164="",COUNT(AI164:AV164)&lt;2),"",LOOKUP(2,1/(AI164:AV164&lt;&gt;""),AI164:AV164)-MIN(AI164:AV164))</t>
        </is>
      </c>
      <c r="AF164" s="49" t="inlineStr">
        <is>
          <t>IF(OR(AD164="",AC164="Not started",AC164=""),"",IFERROR(AD164-IF(VLOOKUP(AC164,'06_Status_Pipeline'!$B$3:$E$20,4,FALSE)="",0,VLOOKUP(AC164,'06_Status_Pipeline'!$B$3:$E$20,4,FALSE)),""))</t>
        </is>
      </c>
      <c r="AG164" s="4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49" t="inlineStr">
        <is>
          <t>IF(OR(F164="",AC164="Completed / Handover",AC164="Cancelled"),"",IF(O164="Not awarded",IF(U164&lt;&gt;"",U164-TODAY(),IF(X164="","",X164-TODAY())),IF(X164="","",X164-TODAY())))</t>
        </is>
      </c>
      <c r="AI164" s="54" t="n"/>
      <c r="AJ164" s="54" t="n"/>
      <c r="AK164" s="54" t="n"/>
      <c r="AL164" s="54" t="n"/>
      <c r="AM164" s="54" t="n"/>
      <c r="AN164" s="54" t="n"/>
      <c r="AO164" s="54" t="n"/>
      <c r="AP164" s="54" t="n"/>
      <c r="AQ164" s="54" t="n"/>
      <c r="AR164" s="54" t="n"/>
      <c r="AS164" s="54" t="n"/>
      <c r="AT164" s="50" t="n"/>
      <c r="AU164" s="50" t="n"/>
      <c r="AV164" s="50" t="n"/>
      <c r="AW164" s="49" t="inlineStr">
        <is>
          <t>IF(OR(F164="",AJ164=""),"",IF(COUNT(AI164:AI164)=0,"",AJ164-LOOKUP(2,1/(AI164:AI164&lt;&gt;""),AI164:AI164)))</t>
        </is>
      </c>
      <c r="AX164" s="49" t="inlineStr">
        <is>
          <t>IF(OR(F164="",AK164=""),"",IF(COUNT(AI164:AJ164)=0,"",AK164-LOOKUP(2,1/(AI164:AJ164&lt;&gt;""),AI164:AJ164)))</t>
        </is>
      </c>
      <c r="AY164" s="49" t="inlineStr">
        <is>
          <t>IF(OR(F164="",AL164=""),"",IF(COUNT(AI164:AK164)=0,"",AL164-LOOKUP(2,1/(AI164:AK164&lt;&gt;""),AI164:AK164)))</t>
        </is>
      </c>
      <c r="AZ164" s="49" t="inlineStr">
        <is>
          <t>IF(OR(F164="",AM164=""),"",IF(COUNT(AI164:AL164)=0,"",AM164-LOOKUP(2,1/(AI164:AL164&lt;&gt;""),AI164:AL164)))</t>
        </is>
      </c>
      <c r="BA164" s="49" t="inlineStr">
        <is>
          <t>IF(OR(F164="",AN164=""),"",IF(COUNT(AI164:AM164)=0,"",AN164-LOOKUP(2,1/(AI164:AM164&lt;&gt;""),AI164:AM164)))</t>
        </is>
      </c>
      <c r="BB164" s="49" t="inlineStr">
        <is>
          <t>IF(OR(F164="",AO164=""),"",IF(COUNT(AI164:AN164)=0,"",AO164-LOOKUP(2,1/(AI164:AN164&lt;&gt;""),AI164:AN164)))</t>
        </is>
      </c>
      <c r="BC164" s="49" t="inlineStr">
        <is>
          <t>IF(OR(F164="",AP164=""),"",IF(COUNT(AI164:AO164)=0,"",AP164-LOOKUP(2,1/(AI164:AO164&lt;&gt;""),AI164:AO164)))</t>
        </is>
      </c>
      <c r="BD164" s="49" t="inlineStr">
        <is>
          <t>IF(OR(F164="",AQ164=""),"",IF(COUNT(AI164:AP164)=0,"",AQ164-LOOKUP(2,1/(AI164:AP164&lt;&gt;""),AI164:AP164)))</t>
        </is>
      </c>
      <c r="BE164" s="49" t="inlineStr">
        <is>
          <t>IF(OR(F164="",AR164=""),"",IF(COUNT(AI164:AQ164)=0,"",AR164-LOOKUP(2,1/(AI164:AQ164&lt;&gt;""),AI164:AQ164)))</t>
        </is>
      </c>
      <c r="BF164" s="49" t="inlineStr">
        <is>
          <t>IF(OR(F164="",AS164=""),"",IF(COUNT(AI164:AR164)=0,"",AS164-LOOKUP(2,1/(AI164:AR164&lt;&gt;""),AI164:AR164)))</t>
        </is>
      </c>
      <c r="BG164" s="49" t="inlineStr">
        <is>
          <t>IF(OR(F164="",AT164=""),"",IF(COUNT(AI164:AS164)=0,"",AT164-LOOKUP(2,1/(AI164:AS164&lt;&gt;""),AI164:AS164)))</t>
        </is>
      </c>
      <c r="BH164" s="49" t="inlineStr">
        <is>
          <t>IF(OR(F164="",AU164=""),"",IF(COUNT(AI164:AT164)=0,"",AU164-LOOKUP(2,1/(AI164:AT164&lt;&gt;""),AI164:AT164)))</t>
        </is>
      </c>
      <c r="BI164" s="49" t="inlineStr">
        <is>
          <t>IF(OR(F164="",AV164=""),"",IF(COUNT(AI164:AU164)=0,"",AV164-LOOKUP(2,1/(AI164:AU164&lt;&gt;""),AI164:AU164)))</t>
        </is>
      </c>
      <c r="BJ164" s="51" t="inlineStr">
        <is>
          <t>IF(J164="","All_Provinces",IFERROR(VLOOKUP(J164,'09_Lookups'!$A$4:$B$20,2,FALSE),"All_Provinces"))</t>
        </is>
      </c>
      <c r="BK164" s="51" t="inlineStr">
        <is>
          <t>IF(K164="","All_Districts",IFERROR(VLOOKUP(K164,'09_Lookups'!$E$4:$F$42,2,FALSE),"All_Districts"))</t>
        </is>
      </c>
    </row>
    <row r="165" ht="18" customHeight="1">
      <c r="A165" s="42" t="inlineStr">
        <is>
          <t>IF(F165="","",ROW()-3)</t>
        </is>
      </c>
      <c r="B165" s="44" t="n"/>
      <c r="C165" s="44" t="n"/>
      <c r="D165" s="44" t="n"/>
      <c r="E165" s="44" t="n"/>
      <c r="F165" s="44" t="n"/>
      <c r="G165" s="44" t="n"/>
      <c r="H165" s="44" t="n"/>
      <c r="I165" s="44" t="n"/>
      <c r="J165" s="44" t="n"/>
      <c r="K165" s="44" t="n"/>
      <c r="L165" s="44" t="n"/>
      <c r="M165" s="44" t="n"/>
      <c r="N165" s="44" t="n"/>
      <c r="O165" s="44" t="n"/>
      <c r="P165" s="44" t="n"/>
      <c r="Q165" s="44" t="n"/>
      <c r="R165" s="44" t="n"/>
      <c r="S165" s="45" t="n"/>
      <c r="T165" s="46" t="inlineStr">
        <is>
          <t>IF(AQ165="","",AQ165)</t>
        </is>
      </c>
      <c r="U165" s="47" t="n"/>
      <c r="V165" s="48" t="n"/>
      <c r="W165" s="47" t="n"/>
      <c r="X165" s="46" t="inlineStr">
        <is>
          <t>IF(W165&lt;&gt;"",W165,IF(OR(T165="",V165=""),"",EDATE(T165,V165)))</t>
        </is>
      </c>
      <c r="Y165" s="47" t="n"/>
      <c r="Z165" s="48" t="n"/>
      <c r="AA165" s="44" t="n"/>
      <c r="AB165" s="44" t="n"/>
      <c r="AC165" s="42" t="inlineStr">
        <is>
          <t>IF(F165="","",IF(COUNT(AI165:AV165)=0,IF(AA165="","Not started",AA165),SUBSTITUTE(LOOKUP(2,1/(AI165:AV165&lt;&gt;""),$AI$3:$AV$3),"Date: ","")))</t>
        </is>
      </c>
      <c r="AD165" s="49" t="inlineStr">
        <is>
          <t>IF(OR(F165="",COUNT(AI165:AV165)=0),"",TODAY()-LOOKUP(2,1/(AI165:AV165&lt;&gt;""),AI165:AV165))</t>
        </is>
      </c>
      <c r="AE165" s="49" t="inlineStr">
        <is>
          <t>IF(OR(F165="",COUNT(AI165:AV165)&lt;2),"",LOOKUP(2,1/(AI165:AV165&lt;&gt;""),AI165:AV165)-MIN(AI165:AV165))</t>
        </is>
      </c>
      <c r="AF165" s="49" t="inlineStr">
        <is>
          <t>IF(OR(AD165="",AC165="Not started",AC165=""),"",IFERROR(AD165-IF(VLOOKUP(AC165,'06_Status_Pipeline'!$B$3:$E$20,4,FALSE)="",0,VLOOKUP(AC165,'06_Status_Pipeline'!$B$3:$E$20,4,FALSE)),""))</t>
        </is>
      </c>
      <c r="AG165" s="4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49" t="inlineStr">
        <is>
          <t>IF(OR(F165="",AC165="Completed / Handover",AC165="Cancelled"),"",IF(O165="Not awarded",IF(U165&lt;&gt;"",U165-TODAY(),IF(X165="","",X165-TODAY())),IF(X165="","",X165-TODAY())))</t>
        </is>
      </c>
      <c r="AI165" s="47" t="n"/>
      <c r="AJ165" s="47" t="n"/>
      <c r="AK165" s="47" t="n"/>
      <c r="AL165" s="47" t="n"/>
      <c r="AM165" s="47" t="n"/>
      <c r="AN165" s="47" t="n"/>
      <c r="AO165" s="47" t="n"/>
      <c r="AP165" s="47" t="n"/>
      <c r="AQ165" s="47" t="n"/>
      <c r="AR165" s="47" t="n"/>
      <c r="AS165" s="47" t="n"/>
      <c r="AT165" s="50" t="n"/>
      <c r="AU165" s="50" t="n"/>
      <c r="AV165" s="50" t="n"/>
      <c r="AW165" s="49" t="inlineStr">
        <is>
          <t>IF(OR(F165="",AJ165=""),"",IF(COUNT(AI165:AI165)=0,"",AJ165-LOOKUP(2,1/(AI165:AI165&lt;&gt;""),AI165:AI165)))</t>
        </is>
      </c>
      <c r="AX165" s="49" t="inlineStr">
        <is>
          <t>IF(OR(F165="",AK165=""),"",IF(COUNT(AI165:AJ165)=0,"",AK165-LOOKUP(2,1/(AI165:AJ165&lt;&gt;""),AI165:AJ165)))</t>
        </is>
      </c>
      <c r="AY165" s="49" t="inlineStr">
        <is>
          <t>IF(OR(F165="",AL165=""),"",IF(COUNT(AI165:AK165)=0,"",AL165-LOOKUP(2,1/(AI165:AK165&lt;&gt;""),AI165:AK165)))</t>
        </is>
      </c>
      <c r="AZ165" s="49" t="inlineStr">
        <is>
          <t>IF(OR(F165="",AM165=""),"",IF(COUNT(AI165:AL165)=0,"",AM165-LOOKUP(2,1/(AI165:AL165&lt;&gt;""),AI165:AL165)))</t>
        </is>
      </c>
      <c r="BA165" s="49" t="inlineStr">
        <is>
          <t>IF(OR(F165="",AN165=""),"",IF(COUNT(AI165:AM165)=0,"",AN165-LOOKUP(2,1/(AI165:AM165&lt;&gt;""),AI165:AM165)))</t>
        </is>
      </c>
      <c r="BB165" s="49" t="inlineStr">
        <is>
          <t>IF(OR(F165="",AO165=""),"",IF(COUNT(AI165:AN165)=0,"",AO165-LOOKUP(2,1/(AI165:AN165&lt;&gt;""),AI165:AN165)))</t>
        </is>
      </c>
      <c r="BC165" s="49" t="inlineStr">
        <is>
          <t>IF(OR(F165="",AP165=""),"",IF(COUNT(AI165:AO165)=0,"",AP165-LOOKUP(2,1/(AI165:AO165&lt;&gt;""),AI165:AO165)))</t>
        </is>
      </c>
      <c r="BD165" s="49" t="inlineStr">
        <is>
          <t>IF(OR(F165="",AQ165=""),"",IF(COUNT(AI165:AP165)=0,"",AQ165-LOOKUP(2,1/(AI165:AP165&lt;&gt;""),AI165:AP165)))</t>
        </is>
      </c>
      <c r="BE165" s="49" t="inlineStr">
        <is>
          <t>IF(OR(F165="",AR165=""),"",IF(COUNT(AI165:AQ165)=0,"",AR165-LOOKUP(2,1/(AI165:AQ165&lt;&gt;""),AI165:AQ165)))</t>
        </is>
      </c>
      <c r="BF165" s="49" t="inlineStr">
        <is>
          <t>IF(OR(F165="",AS165=""),"",IF(COUNT(AI165:AR165)=0,"",AS165-LOOKUP(2,1/(AI165:AR165&lt;&gt;""),AI165:AR165)))</t>
        </is>
      </c>
      <c r="BG165" s="49" t="inlineStr">
        <is>
          <t>IF(OR(F165="",AT165=""),"",IF(COUNT(AI165:AS165)=0,"",AT165-LOOKUP(2,1/(AI165:AS165&lt;&gt;""),AI165:AS165)))</t>
        </is>
      </c>
      <c r="BH165" s="49" t="inlineStr">
        <is>
          <t>IF(OR(F165="",AU165=""),"",IF(COUNT(AI165:AT165)=0,"",AU165-LOOKUP(2,1/(AI165:AT165&lt;&gt;""),AI165:AT165)))</t>
        </is>
      </c>
      <c r="BI165" s="49" t="inlineStr">
        <is>
          <t>IF(OR(F165="",AV165=""),"",IF(COUNT(AI165:AU165)=0,"",AV165-LOOKUP(2,1/(AI165:AU165&lt;&gt;""),AI165:AU165)))</t>
        </is>
      </c>
      <c r="BJ165" s="51" t="inlineStr">
        <is>
          <t>IF(J165="","All_Provinces",IFERROR(VLOOKUP(J165,'09_Lookups'!$A$4:$B$20,2,FALSE),"All_Provinces"))</t>
        </is>
      </c>
      <c r="BK165" s="51" t="inlineStr">
        <is>
          <t>IF(K165="","All_Districts",IFERROR(VLOOKUP(K165,'09_Lookups'!$E$4:$F$42,2,FALSE),"All_Districts"))</t>
        </is>
      </c>
    </row>
    <row r="166" ht="18" customHeight="1">
      <c r="A166" s="42" t="inlineStr">
        <is>
          <t>IF(F166="","",ROW()-3)</t>
        </is>
      </c>
      <c r="B166" s="52" t="n"/>
      <c r="C166" s="52" t="n"/>
      <c r="D166" s="52" t="n"/>
      <c r="E166" s="52" t="n"/>
      <c r="F166" s="52" t="n"/>
      <c r="G166" s="52" t="n"/>
      <c r="H166" s="52" t="n"/>
      <c r="I166" s="52" t="n"/>
      <c r="J166" s="52" t="n"/>
      <c r="K166" s="52" t="n"/>
      <c r="L166" s="52" t="n"/>
      <c r="M166" s="52" t="n"/>
      <c r="N166" s="52" t="n"/>
      <c r="O166" s="52" t="n"/>
      <c r="P166" s="52" t="n"/>
      <c r="Q166" s="52" t="n"/>
      <c r="R166" s="52" t="n"/>
      <c r="S166" s="53" t="n"/>
      <c r="T166" s="46" t="inlineStr">
        <is>
          <t>IF(AQ166="","",AQ166)</t>
        </is>
      </c>
      <c r="U166" s="54" t="n"/>
      <c r="V166" s="55" t="n"/>
      <c r="W166" s="54" t="n"/>
      <c r="X166" s="46" t="inlineStr">
        <is>
          <t>IF(W166&lt;&gt;"",W166,IF(OR(T166="",V166=""),"",EDATE(T166,V166)))</t>
        </is>
      </c>
      <c r="Y166" s="54" t="n"/>
      <c r="Z166" s="55" t="n"/>
      <c r="AA166" s="52" t="n"/>
      <c r="AB166" s="52" t="n"/>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42" t="inlineStr">
        <is>
          <t>IF(F167="","",ROW()-3)</t>
        </is>
      </c>
      <c r="B167" s="44" t="n"/>
      <c r="C167" s="44" t="n"/>
      <c r="D167" s="44" t="n"/>
      <c r="E167" s="44" t="n"/>
      <c r="F167" s="44" t="n"/>
      <c r="G167" s="44" t="n"/>
      <c r="H167" s="44" t="n"/>
      <c r="I167" s="44" t="n"/>
      <c r="J167" s="44" t="n"/>
      <c r="K167" s="44" t="n"/>
      <c r="L167" s="44" t="n"/>
      <c r="M167" s="44" t="n"/>
      <c r="N167" s="44" t="n"/>
      <c r="O167" s="44" t="n"/>
      <c r="P167" s="44" t="n"/>
      <c r="Q167" s="44" t="n"/>
      <c r="R167" s="44" t="n"/>
      <c r="S167" s="45" t="n"/>
      <c r="T167" s="46" t="inlineStr">
        <is>
          <t>IF(AQ167="","",AQ167)</t>
        </is>
      </c>
      <c r="U167" s="47" t="n"/>
      <c r="V167" s="48" t="n"/>
      <c r="W167" s="47" t="n"/>
      <c r="X167" s="46" t="inlineStr">
        <is>
          <t>IF(W167&lt;&gt;"",W167,IF(OR(T167="",V167=""),"",EDATE(T167,V167)))</t>
        </is>
      </c>
      <c r="Y167" s="47" t="n"/>
      <c r="Z167" s="48" t="n"/>
      <c r="AA167" s="44" t="n"/>
      <c r="AB167" s="44" t="n"/>
      <c r="AC167" s="42" t="inlineStr">
        <is>
          <t>IF(F167="","",IF(COUNT(AI167:AV167)=0,IF(AA167="","Not started",AA167),SUBSTITUTE(LOOKUP(2,1/(AI167:AV167&lt;&gt;""),$AI$3:$AV$3),"Date: ","")))</t>
        </is>
      </c>
      <c r="AD167" s="49" t="inlineStr">
        <is>
          <t>IF(OR(F167="",COUNT(AI167:AV167)=0),"",TODAY()-LOOKUP(2,1/(AI167:AV167&lt;&gt;""),AI167:AV167))</t>
        </is>
      </c>
      <c r="AE167" s="49" t="inlineStr">
        <is>
          <t>IF(OR(F167="",COUNT(AI167:AV167)&lt;2),"",LOOKUP(2,1/(AI167:AV167&lt;&gt;""),AI167:AV167)-MIN(AI167:AV167))</t>
        </is>
      </c>
      <c r="AF167" s="49" t="inlineStr">
        <is>
          <t>IF(OR(AD167="",AC167="Not started",AC167=""),"",IFERROR(AD167-IF(VLOOKUP(AC167,'06_Status_Pipeline'!$B$3:$E$20,4,FALSE)="",0,VLOOKUP(AC167,'06_Status_Pipeline'!$B$3:$E$20,4,FALSE)),""))</t>
        </is>
      </c>
      <c r="AG167" s="4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49" t="inlineStr">
        <is>
          <t>IF(OR(F167="",AC167="Completed / Handover",AC167="Cancelled"),"",IF(O167="Not awarded",IF(U167&lt;&gt;"",U167-TODAY(),IF(X167="","",X167-TODAY())),IF(X167="","",X167-TODAY())))</t>
        </is>
      </c>
      <c r="AI167" s="47" t="n"/>
      <c r="AJ167" s="47" t="n"/>
      <c r="AK167" s="47" t="n"/>
      <c r="AL167" s="47" t="n"/>
      <c r="AM167" s="47" t="n"/>
      <c r="AN167" s="47" t="n"/>
      <c r="AO167" s="47" t="n"/>
      <c r="AP167" s="47" t="n"/>
      <c r="AQ167" s="47" t="n"/>
      <c r="AR167" s="47" t="n"/>
      <c r="AS167" s="47" t="n"/>
      <c r="AT167" s="50" t="n"/>
      <c r="AU167" s="50" t="n"/>
      <c r="AV167" s="50" t="n"/>
      <c r="AW167" s="49" t="inlineStr">
        <is>
          <t>IF(OR(F167="",AJ167=""),"",IF(COUNT(AI167:AI167)=0,"",AJ167-LOOKUP(2,1/(AI167:AI167&lt;&gt;""),AI167:AI167)))</t>
        </is>
      </c>
      <c r="AX167" s="49" t="inlineStr">
        <is>
          <t>IF(OR(F167="",AK167=""),"",IF(COUNT(AI167:AJ167)=0,"",AK167-LOOKUP(2,1/(AI167:AJ167&lt;&gt;""),AI167:AJ167)))</t>
        </is>
      </c>
      <c r="AY167" s="49" t="inlineStr">
        <is>
          <t>IF(OR(F167="",AL167=""),"",IF(COUNT(AI167:AK167)=0,"",AL167-LOOKUP(2,1/(AI167:AK167&lt;&gt;""),AI167:AK167)))</t>
        </is>
      </c>
      <c r="AZ167" s="49" t="inlineStr">
        <is>
          <t>IF(OR(F167="",AM167=""),"",IF(COUNT(AI167:AL167)=0,"",AM167-LOOKUP(2,1/(AI167:AL167&lt;&gt;""),AI167:AL167)))</t>
        </is>
      </c>
      <c r="BA167" s="49" t="inlineStr">
        <is>
          <t>IF(OR(F167="",AN167=""),"",IF(COUNT(AI167:AM167)=0,"",AN167-LOOKUP(2,1/(AI167:AM167&lt;&gt;""),AI167:AM167)))</t>
        </is>
      </c>
      <c r="BB167" s="49" t="inlineStr">
        <is>
          <t>IF(OR(F167="",AO167=""),"",IF(COUNT(AI167:AN167)=0,"",AO167-LOOKUP(2,1/(AI167:AN167&lt;&gt;""),AI167:AN167)))</t>
        </is>
      </c>
      <c r="BC167" s="49" t="inlineStr">
        <is>
          <t>IF(OR(F167="",AP167=""),"",IF(COUNT(AI167:AO167)=0,"",AP167-LOOKUP(2,1/(AI167:AO167&lt;&gt;""),AI167:AO167)))</t>
        </is>
      </c>
      <c r="BD167" s="49" t="inlineStr">
        <is>
          <t>IF(OR(F167="",AQ167=""),"",IF(COUNT(AI167:AP167)=0,"",AQ167-LOOKUP(2,1/(AI167:AP167&lt;&gt;""),AI167:AP167)))</t>
        </is>
      </c>
      <c r="BE167" s="49" t="inlineStr">
        <is>
          <t>IF(OR(F167="",AR167=""),"",IF(COUNT(AI167:AQ167)=0,"",AR167-LOOKUP(2,1/(AI167:AQ167&lt;&gt;""),AI167:AQ167)))</t>
        </is>
      </c>
      <c r="BF167" s="49" t="inlineStr">
        <is>
          <t>IF(OR(F167="",AS167=""),"",IF(COUNT(AI167:AR167)=0,"",AS167-LOOKUP(2,1/(AI167:AR167&lt;&gt;""),AI167:AR167)))</t>
        </is>
      </c>
      <c r="BG167" s="49" t="inlineStr">
        <is>
          <t>IF(OR(F167="",AT167=""),"",IF(COUNT(AI167:AS167)=0,"",AT167-LOOKUP(2,1/(AI167:AS167&lt;&gt;""),AI167:AS167)))</t>
        </is>
      </c>
      <c r="BH167" s="49" t="inlineStr">
        <is>
          <t>IF(OR(F167="",AU167=""),"",IF(COUNT(AI167:AT167)=0,"",AU167-LOOKUP(2,1/(AI167:AT167&lt;&gt;""),AI167:AT167)))</t>
        </is>
      </c>
      <c r="BI167" s="49" t="inlineStr">
        <is>
          <t>IF(OR(F167="",AV167=""),"",IF(COUNT(AI167:AU167)=0,"",AV167-LOOKUP(2,1/(AI167:AU167&lt;&gt;""),AI167:AU167)))</t>
        </is>
      </c>
      <c r="BJ167" s="51" t="inlineStr">
        <is>
          <t>IF(J167="","All_Provinces",IFERROR(VLOOKUP(J167,'09_Lookups'!$A$4:$B$20,2,FALSE),"All_Provinces"))</t>
        </is>
      </c>
      <c r="BK167" s="51" t="inlineStr">
        <is>
          <t>IF(K167="","All_Districts",IFERROR(VLOOKUP(K167,'09_Lookups'!$E$4:$F$42,2,FALSE),"All_Districts"))</t>
        </is>
      </c>
    </row>
    <row r="168" ht="18" customHeight="1">
      <c r="A168" s="42" t="inlineStr">
        <is>
          <t>IF(F168="","",ROW()-3)</t>
        </is>
      </c>
      <c r="B168" s="52" t="n"/>
      <c r="C168" s="52" t="n"/>
      <c r="D168" s="52" t="n"/>
      <c r="E168" s="52" t="n"/>
      <c r="F168" s="52" t="n"/>
      <c r="G168" s="52" t="n"/>
      <c r="H168" s="52" t="n"/>
      <c r="I168" s="52" t="n"/>
      <c r="J168" s="52" t="n"/>
      <c r="K168" s="52" t="n"/>
      <c r="L168" s="52" t="n"/>
      <c r="M168" s="52" t="n"/>
      <c r="N168" s="52" t="n"/>
      <c r="O168" s="52" t="n"/>
      <c r="P168" s="52" t="n"/>
      <c r="Q168" s="52" t="n"/>
      <c r="R168" s="52" t="n"/>
      <c r="S168" s="53" t="n"/>
      <c r="T168" s="46" t="inlineStr">
        <is>
          <t>IF(AQ168="","",AQ168)</t>
        </is>
      </c>
      <c r="U168" s="54" t="n"/>
      <c r="V168" s="55" t="n"/>
      <c r="W168" s="54" t="n"/>
      <c r="X168" s="46" t="inlineStr">
        <is>
          <t>IF(W168&lt;&gt;"",W168,IF(OR(T168="",V168=""),"",EDATE(T168,V168)))</t>
        </is>
      </c>
      <c r="Y168" s="54" t="n"/>
      <c r="Z168" s="55" t="n"/>
      <c r="AA168" s="52" t="n"/>
      <c r="AB168" s="52" t="n"/>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ht="18" customHeight="1">
      <c r="A169" s="42" t="inlineStr">
        <is>
          <t>IF(F169="","",ROW()-3)</t>
        </is>
      </c>
      <c r="B169" s="44" t="n"/>
      <c r="C169" s="44" t="n"/>
      <c r="D169" s="44" t="n"/>
      <c r="E169" s="44" t="n"/>
      <c r="F169" s="44" t="n"/>
      <c r="G169" s="44" t="n"/>
      <c r="H169" s="44" t="n"/>
      <c r="I169" s="44" t="n"/>
      <c r="J169" s="44" t="n"/>
      <c r="K169" s="44" t="n"/>
      <c r="L169" s="44" t="n"/>
      <c r="M169" s="44" t="n"/>
      <c r="N169" s="44" t="n"/>
      <c r="O169" s="44" t="n"/>
      <c r="P169" s="44" t="n"/>
      <c r="Q169" s="44" t="n"/>
      <c r="R169" s="44" t="n"/>
      <c r="S169" s="45" t="n"/>
      <c r="T169" s="46" t="inlineStr">
        <is>
          <t>IF(AQ169="","",AQ169)</t>
        </is>
      </c>
      <c r="U169" s="47" t="n"/>
      <c r="V169" s="48" t="n"/>
      <c r="W169" s="47" t="n"/>
      <c r="X169" s="46" t="inlineStr">
        <is>
          <t>IF(W169&lt;&gt;"",W169,IF(OR(T169="",V169=""),"",EDATE(T169,V169)))</t>
        </is>
      </c>
      <c r="Y169" s="47" t="n"/>
      <c r="Z169" s="48" t="n"/>
      <c r="AA169" s="44" t="n"/>
      <c r="AB169" s="44" t="n"/>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42" t="inlineStr">
        <is>
          <t>IF(F170="","",ROW()-3)</t>
        </is>
      </c>
      <c r="B170" s="52" t="n"/>
      <c r="C170" s="52" t="n"/>
      <c r="D170" s="52" t="n"/>
      <c r="E170" s="52" t="n"/>
      <c r="F170" s="52" t="n"/>
      <c r="G170" s="52" t="n"/>
      <c r="H170" s="52" t="n"/>
      <c r="I170" s="52" t="n"/>
      <c r="J170" s="52" t="n"/>
      <c r="K170" s="52" t="n"/>
      <c r="L170" s="52" t="n"/>
      <c r="M170" s="52" t="n"/>
      <c r="N170" s="52" t="n"/>
      <c r="O170" s="52" t="n"/>
      <c r="P170" s="52" t="n"/>
      <c r="Q170" s="52" t="n"/>
      <c r="R170" s="52" t="n"/>
      <c r="S170" s="53" t="n"/>
      <c r="T170" s="46" t="inlineStr">
        <is>
          <t>IF(AQ170="","",AQ170)</t>
        </is>
      </c>
      <c r="U170" s="54" t="n"/>
      <c r="V170" s="55" t="n"/>
      <c r="W170" s="54" t="n"/>
      <c r="X170" s="46" t="inlineStr">
        <is>
          <t>IF(W170&lt;&gt;"",W170,IF(OR(T170="",V170=""),"",EDATE(T170,V170)))</t>
        </is>
      </c>
      <c r="Y170" s="54" t="n"/>
      <c r="Z170" s="55" t="n"/>
      <c r="AA170" s="52" t="n"/>
      <c r="AB170" s="52" t="n"/>
      <c r="AC170" s="42" t="inlineStr">
        <is>
          <t>IF(F170="","",IF(COUNT(AI170:AV170)=0,IF(AA170="","Not started",AA170),SUBSTITUTE(LOOKUP(2,1/(AI170:AV170&lt;&gt;""),$AI$3:$AV$3),"Date: ","")))</t>
        </is>
      </c>
      <c r="AD170" s="49" t="inlineStr">
        <is>
          <t>IF(OR(F170="",COUNT(AI170:AV170)=0),"",TODAY()-LOOKUP(2,1/(AI170:AV170&lt;&gt;""),AI170:AV170))</t>
        </is>
      </c>
      <c r="AE170" s="49" t="inlineStr">
        <is>
          <t>IF(OR(F170="",COUNT(AI170:AV170)&lt;2),"",LOOKUP(2,1/(AI170:AV170&lt;&gt;""),AI170:AV170)-MIN(AI170:AV170))</t>
        </is>
      </c>
      <c r="AF170" s="49" t="inlineStr">
        <is>
          <t>IF(OR(AD170="",AC170="Not started",AC170=""),"",IFERROR(AD170-IF(VLOOKUP(AC170,'06_Status_Pipeline'!$B$3:$E$20,4,FALSE)="",0,VLOOKUP(AC170,'06_Status_Pipeline'!$B$3:$E$20,4,FALSE)),""))</t>
        </is>
      </c>
      <c r="AG170" s="4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49" t="inlineStr">
        <is>
          <t>IF(OR(F170="",AC170="Completed / Handover",AC170="Cancelled"),"",IF(O170="Not awarded",IF(U170&lt;&gt;"",U170-TODAY(),IF(X170="","",X170-TODAY())),IF(X170="","",X170-TODAY())))</t>
        </is>
      </c>
      <c r="AI170" s="54" t="n"/>
      <c r="AJ170" s="54" t="n"/>
      <c r="AK170" s="54" t="n"/>
      <c r="AL170" s="54" t="n"/>
      <c r="AM170" s="54" t="n"/>
      <c r="AN170" s="54" t="n"/>
      <c r="AO170" s="54" t="n"/>
      <c r="AP170" s="54" t="n"/>
      <c r="AQ170" s="54" t="n"/>
      <c r="AR170" s="54" t="n"/>
      <c r="AS170" s="54" t="n"/>
      <c r="AT170" s="50" t="n"/>
      <c r="AU170" s="50" t="n"/>
      <c r="AV170" s="50" t="n"/>
      <c r="AW170" s="49" t="inlineStr">
        <is>
          <t>IF(OR(F170="",AJ170=""),"",IF(COUNT(AI170:AI170)=0,"",AJ170-LOOKUP(2,1/(AI170:AI170&lt;&gt;""),AI170:AI170)))</t>
        </is>
      </c>
      <c r="AX170" s="49" t="inlineStr">
        <is>
          <t>IF(OR(F170="",AK170=""),"",IF(COUNT(AI170:AJ170)=0,"",AK170-LOOKUP(2,1/(AI170:AJ170&lt;&gt;""),AI170:AJ170)))</t>
        </is>
      </c>
      <c r="AY170" s="49" t="inlineStr">
        <is>
          <t>IF(OR(F170="",AL170=""),"",IF(COUNT(AI170:AK170)=0,"",AL170-LOOKUP(2,1/(AI170:AK170&lt;&gt;""),AI170:AK170)))</t>
        </is>
      </c>
      <c r="AZ170" s="49" t="inlineStr">
        <is>
          <t>IF(OR(F170="",AM170=""),"",IF(COUNT(AI170:AL170)=0,"",AM170-LOOKUP(2,1/(AI170:AL170&lt;&gt;""),AI170:AL170)))</t>
        </is>
      </c>
      <c r="BA170" s="49" t="inlineStr">
        <is>
          <t>IF(OR(F170="",AN170=""),"",IF(COUNT(AI170:AM170)=0,"",AN170-LOOKUP(2,1/(AI170:AM170&lt;&gt;""),AI170:AM170)))</t>
        </is>
      </c>
      <c r="BB170" s="49" t="inlineStr">
        <is>
          <t>IF(OR(F170="",AO170=""),"",IF(COUNT(AI170:AN170)=0,"",AO170-LOOKUP(2,1/(AI170:AN170&lt;&gt;""),AI170:AN170)))</t>
        </is>
      </c>
      <c r="BC170" s="49" t="inlineStr">
        <is>
          <t>IF(OR(F170="",AP170=""),"",IF(COUNT(AI170:AO170)=0,"",AP170-LOOKUP(2,1/(AI170:AO170&lt;&gt;""),AI170:AO170)))</t>
        </is>
      </c>
      <c r="BD170" s="49" t="inlineStr">
        <is>
          <t>IF(OR(F170="",AQ170=""),"",IF(COUNT(AI170:AP170)=0,"",AQ170-LOOKUP(2,1/(AI170:AP170&lt;&gt;""),AI170:AP170)))</t>
        </is>
      </c>
      <c r="BE170" s="49" t="inlineStr">
        <is>
          <t>IF(OR(F170="",AR170=""),"",IF(COUNT(AI170:AQ170)=0,"",AR170-LOOKUP(2,1/(AI170:AQ170&lt;&gt;""),AI170:AQ170)))</t>
        </is>
      </c>
      <c r="BF170" s="49" t="inlineStr">
        <is>
          <t>IF(OR(F170="",AS170=""),"",IF(COUNT(AI170:AR170)=0,"",AS170-LOOKUP(2,1/(AI170:AR170&lt;&gt;""),AI170:AR170)))</t>
        </is>
      </c>
      <c r="BG170" s="49" t="inlineStr">
        <is>
          <t>IF(OR(F170="",AT170=""),"",IF(COUNT(AI170:AS170)=0,"",AT170-LOOKUP(2,1/(AI170:AS170&lt;&gt;""),AI170:AS170)))</t>
        </is>
      </c>
      <c r="BH170" s="49" t="inlineStr">
        <is>
          <t>IF(OR(F170="",AU170=""),"",IF(COUNT(AI170:AT170)=0,"",AU170-LOOKUP(2,1/(AI170:AT170&lt;&gt;""),AI170:AT170)))</t>
        </is>
      </c>
      <c r="BI170" s="49" t="inlineStr">
        <is>
          <t>IF(OR(F170="",AV170=""),"",IF(COUNT(AI170:AU170)=0,"",AV170-LOOKUP(2,1/(AI170:AU170&lt;&gt;""),AI170:AU170)))</t>
        </is>
      </c>
      <c r="BJ170" s="51" t="inlineStr">
        <is>
          <t>IF(J170="","All_Provinces",IFERROR(VLOOKUP(J170,'09_Lookups'!$A$4:$B$20,2,FALSE),"All_Provinces"))</t>
        </is>
      </c>
      <c r="BK170" s="51" t="inlineStr">
        <is>
          <t>IF(K170="","All_Districts",IFERROR(VLOOKUP(K170,'09_Lookups'!$E$4:$F$42,2,FALSE),"All_Districts"))</t>
        </is>
      </c>
    </row>
    <row r="171" ht="18" customHeight="1">
      <c r="A171" s="42" t="inlineStr">
        <is>
          <t>IF(F171="","",ROW()-3)</t>
        </is>
      </c>
      <c r="B171" s="44" t="n"/>
      <c r="C171" s="44" t="n"/>
      <c r="D171" s="44" t="n"/>
      <c r="E171" s="44" t="n"/>
      <c r="F171" s="44" t="n"/>
      <c r="G171" s="44" t="n"/>
      <c r="H171" s="44" t="n"/>
      <c r="I171" s="44" t="n"/>
      <c r="J171" s="44" t="n"/>
      <c r="K171" s="44" t="n"/>
      <c r="L171" s="44" t="n"/>
      <c r="M171" s="44" t="n"/>
      <c r="N171" s="44" t="n"/>
      <c r="O171" s="44" t="n"/>
      <c r="P171" s="44" t="n"/>
      <c r="Q171" s="44" t="n"/>
      <c r="R171" s="44" t="n"/>
      <c r="S171" s="45" t="n"/>
      <c r="T171" s="46" t="inlineStr">
        <is>
          <t>IF(AQ171="","",AQ171)</t>
        </is>
      </c>
      <c r="U171" s="47" t="n"/>
      <c r="V171" s="48" t="n"/>
      <c r="W171" s="47" t="n"/>
      <c r="X171" s="46" t="inlineStr">
        <is>
          <t>IF(W171&lt;&gt;"",W171,IF(OR(T171="",V171=""),"",EDATE(T171,V171)))</t>
        </is>
      </c>
      <c r="Y171" s="47" t="n"/>
      <c r="Z171" s="48" t="n"/>
      <c r="AA171" s="44" t="n"/>
      <c r="AB171" s="44" t="n"/>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47" t="n"/>
      <c r="AJ171" s="47" t="n"/>
      <c r="AK171" s="47" t="n"/>
      <c r="AL171" s="47" t="n"/>
      <c r="AM171" s="47" t="n"/>
      <c r="AN171" s="47" t="n"/>
      <c r="AO171" s="47" t="n"/>
      <c r="AP171" s="47" t="n"/>
      <c r="AQ171" s="47" t="n"/>
      <c r="AR171" s="47" t="n"/>
      <c r="AS171" s="4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42" t="inlineStr">
        <is>
          <t>IF(F172="","",ROW()-3)</t>
        </is>
      </c>
      <c r="B172" s="52" t="n"/>
      <c r="C172" s="52" t="n"/>
      <c r="D172" s="52" t="n"/>
      <c r="E172" s="52" t="n"/>
      <c r="F172" s="52" t="n"/>
      <c r="G172" s="52" t="n"/>
      <c r="H172" s="52" t="n"/>
      <c r="I172" s="52" t="n"/>
      <c r="J172" s="52" t="n"/>
      <c r="K172" s="52" t="n"/>
      <c r="L172" s="52" t="n"/>
      <c r="M172" s="52" t="n"/>
      <c r="N172" s="52" t="n"/>
      <c r="O172" s="52" t="n"/>
      <c r="P172" s="52" t="n"/>
      <c r="Q172" s="52" t="n"/>
      <c r="R172" s="52" t="n"/>
      <c r="S172" s="53" t="n"/>
      <c r="T172" s="46" t="inlineStr">
        <is>
          <t>IF(AQ172="","",AQ172)</t>
        </is>
      </c>
      <c r="U172" s="54" t="n"/>
      <c r="V172" s="55" t="n"/>
      <c r="W172" s="54" t="n"/>
      <c r="X172" s="46" t="inlineStr">
        <is>
          <t>IF(W172&lt;&gt;"",W172,IF(OR(T172="",V172=""),"",EDATE(T172,V172)))</t>
        </is>
      </c>
      <c r="Y172" s="54" t="n"/>
      <c r="Z172" s="55" t="n"/>
      <c r="AA172" s="52" t="n"/>
      <c r="AB172" s="52" t="n"/>
      <c r="AC172" s="42" t="inlineStr">
        <is>
          <t>IF(F172="","",IF(COUNT(AI172:AV172)=0,IF(AA172="","Not started",AA172),SUBSTITUTE(LOOKUP(2,1/(AI172:AV172&lt;&gt;""),$AI$3:$AV$3),"Date: ","")))</t>
        </is>
      </c>
      <c r="AD172" s="49" t="inlineStr">
        <is>
          <t>IF(OR(F172="",COUNT(AI172:AV172)=0),"",TODAY()-LOOKUP(2,1/(AI172:AV172&lt;&gt;""),AI172:AV172))</t>
        </is>
      </c>
      <c r="AE172" s="49" t="inlineStr">
        <is>
          <t>IF(OR(F172="",COUNT(AI172:AV172)&lt;2),"",LOOKUP(2,1/(AI172:AV172&lt;&gt;""),AI172:AV172)-MIN(AI172:AV172))</t>
        </is>
      </c>
      <c r="AF172" s="49" t="inlineStr">
        <is>
          <t>IF(OR(AD172="",AC172="Not started",AC172=""),"",IFERROR(AD172-IF(VLOOKUP(AC172,'06_Status_Pipeline'!$B$3:$E$20,4,FALSE)="",0,VLOOKUP(AC172,'06_Status_Pipeline'!$B$3:$E$20,4,FALSE)),""))</t>
        </is>
      </c>
      <c r="AG172" s="4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49" t="inlineStr">
        <is>
          <t>IF(OR(F172="",AC172="Completed / Handover",AC172="Cancelled"),"",IF(O172="Not awarded",IF(U172&lt;&gt;"",U172-TODAY(),IF(X172="","",X172-TODAY())),IF(X172="","",X172-TODAY())))</t>
        </is>
      </c>
      <c r="AI172" s="54" t="n"/>
      <c r="AJ172" s="54" t="n"/>
      <c r="AK172" s="54" t="n"/>
      <c r="AL172" s="54" t="n"/>
      <c r="AM172" s="54" t="n"/>
      <c r="AN172" s="54" t="n"/>
      <c r="AO172" s="54" t="n"/>
      <c r="AP172" s="54" t="n"/>
      <c r="AQ172" s="54" t="n"/>
      <c r="AR172" s="54" t="n"/>
      <c r="AS172" s="54" t="n"/>
      <c r="AT172" s="50" t="n"/>
      <c r="AU172" s="50" t="n"/>
      <c r="AV172" s="50" t="n"/>
      <c r="AW172" s="49" t="inlineStr">
        <is>
          <t>IF(OR(F172="",AJ172=""),"",IF(COUNT(AI172:AI172)=0,"",AJ172-LOOKUP(2,1/(AI172:AI172&lt;&gt;""),AI172:AI172)))</t>
        </is>
      </c>
      <c r="AX172" s="49" t="inlineStr">
        <is>
          <t>IF(OR(F172="",AK172=""),"",IF(COUNT(AI172:AJ172)=0,"",AK172-LOOKUP(2,1/(AI172:AJ172&lt;&gt;""),AI172:AJ172)))</t>
        </is>
      </c>
      <c r="AY172" s="49" t="inlineStr">
        <is>
          <t>IF(OR(F172="",AL172=""),"",IF(COUNT(AI172:AK172)=0,"",AL172-LOOKUP(2,1/(AI172:AK172&lt;&gt;""),AI172:AK172)))</t>
        </is>
      </c>
      <c r="AZ172" s="49" t="inlineStr">
        <is>
          <t>IF(OR(F172="",AM172=""),"",IF(COUNT(AI172:AL172)=0,"",AM172-LOOKUP(2,1/(AI172:AL172&lt;&gt;""),AI172:AL172)))</t>
        </is>
      </c>
      <c r="BA172" s="49" t="inlineStr">
        <is>
          <t>IF(OR(F172="",AN172=""),"",IF(COUNT(AI172:AM172)=0,"",AN172-LOOKUP(2,1/(AI172:AM172&lt;&gt;""),AI172:AM172)))</t>
        </is>
      </c>
      <c r="BB172" s="49" t="inlineStr">
        <is>
          <t>IF(OR(F172="",AO172=""),"",IF(COUNT(AI172:AN172)=0,"",AO172-LOOKUP(2,1/(AI172:AN172&lt;&gt;""),AI172:AN172)))</t>
        </is>
      </c>
      <c r="BC172" s="49" t="inlineStr">
        <is>
          <t>IF(OR(F172="",AP172=""),"",IF(COUNT(AI172:AO172)=0,"",AP172-LOOKUP(2,1/(AI172:AO172&lt;&gt;""),AI172:AO172)))</t>
        </is>
      </c>
      <c r="BD172" s="49" t="inlineStr">
        <is>
          <t>IF(OR(F172="",AQ172=""),"",IF(COUNT(AI172:AP172)=0,"",AQ172-LOOKUP(2,1/(AI172:AP172&lt;&gt;""),AI172:AP172)))</t>
        </is>
      </c>
      <c r="BE172" s="49" t="inlineStr">
        <is>
          <t>IF(OR(F172="",AR172=""),"",IF(COUNT(AI172:AQ172)=0,"",AR172-LOOKUP(2,1/(AI172:AQ172&lt;&gt;""),AI172:AQ172)))</t>
        </is>
      </c>
      <c r="BF172" s="49" t="inlineStr">
        <is>
          <t>IF(OR(F172="",AS172=""),"",IF(COUNT(AI172:AR172)=0,"",AS172-LOOKUP(2,1/(AI172:AR172&lt;&gt;""),AI172:AR172)))</t>
        </is>
      </c>
      <c r="BG172" s="49" t="inlineStr">
        <is>
          <t>IF(OR(F172="",AT172=""),"",IF(COUNT(AI172:AS172)=0,"",AT172-LOOKUP(2,1/(AI172:AS172&lt;&gt;""),AI172:AS172)))</t>
        </is>
      </c>
      <c r="BH172" s="49" t="inlineStr">
        <is>
          <t>IF(OR(F172="",AU172=""),"",IF(COUNT(AI172:AT172)=0,"",AU172-LOOKUP(2,1/(AI172:AT172&lt;&gt;""),AI172:AT172)))</t>
        </is>
      </c>
      <c r="BI172" s="49" t="inlineStr">
        <is>
          <t>IF(OR(F172="",AV172=""),"",IF(COUNT(AI172:AU172)=0,"",AV172-LOOKUP(2,1/(AI172:AU172&lt;&gt;""),AI172:AU172)))</t>
        </is>
      </c>
      <c r="BJ172" s="51" t="inlineStr">
        <is>
          <t>IF(J172="","All_Provinces",IFERROR(VLOOKUP(J172,'09_Lookups'!$A$4:$B$20,2,FALSE),"All_Provinces"))</t>
        </is>
      </c>
      <c r="BK172" s="51" t="inlineStr">
        <is>
          <t>IF(K172="","All_Districts",IFERROR(VLOOKUP(K172,'09_Lookups'!$E$4:$F$42,2,FALSE),"All_Districts"))</t>
        </is>
      </c>
    </row>
    <row r="173" ht="18" customHeight="1">
      <c r="A173" s="42" t="inlineStr">
        <is>
          <t>IF(F173="","",ROW()-3)</t>
        </is>
      </c>
      <c r="B173" s="44" t="n"/>
      <c r="C173" s="44" t="n"/>
      <c r="D173" s="44" t="n"/>
      <c r="E173" s="44" t="n"/>
      <c r="F173" s="44" t="n"/>
      <c r="G173" s="44" t="n"/>
      <c r="H173" s="44" t="n"/>
      <c r="I173" s="44" t="n"/>
      <c r="J173" s="44" t="n"/>
      <c r="K173" s="44" t="n"/>
      <c r="L173" s="44" t="n"/>
      <c r="M173" s="44" t="n"/>
      <c r="N173" s="44" t="n"/>
      <c r="O173" s="44" t="n"/>
      <c r="P173" s="44" t="n"/>
      <c r="Q173" s="44" t="n"/>
      <c r="R173" s="44" t="n"/>
      <c r="S173" s="45" t="n"/>
      <c r="T173" s="46" t="inlineStr">
        <is>
          <t>IF(AQ173="","",AQ173)</t>
        </is>
      </c>
      <c r="U173" s="47" t="n"/>
      <c r="V173" s="48" t="n"/>
      <c r="W173" s="47" t="n"/>
      <c r="X173" s="46" t="inlineStr">
        <is>
          <t>IF(W173&lt;&gt;"",W173,IF(OR(T173="",V173=""),"",EDATE(T173,V173)))</t>
        </is>
      </c>
      <c r="Y173" s="47" t="n"/>
      <c r="Z173" s="48" t="n"/>
      <c r="AA173" s="44" t="n"/>
      <c r="AB173" s="44" t="n"/>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42" t="inlineStr">
        <is>
          <t>IF(F174="","",ROW()-3)</t>
        </is>
      </c>
      <c r="B174" s="52" t="n"/>
      <c r="C174" s="52" t="n"/>
      <c r="D174" s="52" t="n"/>
      <c r="E174" s="52" t="n"/>
      <c r="F174" s="52" t="n"/>
      <c r="G174" s="52" t="n"/>
      <c r="H174" s="52" t="n"/>
      <c r="I174" s="52" t="n"/>
      <c r="J174" s="52" t="n"/>
      <c r="K174" s="52" t="n"/>
      <c r="L174" s="52" t="n"/>
      <c r="M174" s="52" t="n"/>
      <c r="N174" s="52" t="n"/>
      <c r="O174" s="52" t="n"/>
      <c r="P174" s="52" t="n"/>
      <c r="Q174" s="52" t="n"/>
      <c r="R174" s="52" t="n"/>
      <c r="S174" s="53" t="n"/>
      <c r="T174" s="46" t="inlineStr">
        <is>
          <t>IF(AQ174="","",AQ174)</t>
        </is>
      </c>
      <c r="U174" s="54" t="n"/>
      <c r="V174" s="55" t="n"/>
      <c r="W174" s="54" t="n"/>
      <c r="X174" s="46" t="inlineStr">
        <is>
          <t>IF(W174&lt;&gt;"",W174,IF(OR(T174="",V174=""),"",EDATE(T174,V174)))</t>
        </is>
      </c>
      <c r="Y174" s="54" t="n"/>
      <c r="Z174" s="55" t="n"/>
      <c r="AA174" s="52" t="n"/>
      <c r="AB174" s="52" t="n"/>
      <c r="AC174" s="42" t="inlineStr">
        <is>
          <t>IF(F174="","",IF(COUNT(AI174:AV174)=0,IF(AA174="","Not started",AA174),SUBSTITUTE(LOOKUP(2,1/(AI174:AV174&lt;&gt;""),$AI$3:$AV$3),"Date: ","")))</t>
        </is>
      </c>
      <c r="AD174" s="49" t="inlineStr">
        <is>
          <t>IF(OR(F174="",COUNT(AI174:AV174)=0),"",TODAY()-LOOKUP(2,1/(AI174:AV174&lt;&gt;""),AI174:AV174))</t>
        </is>
      </c>
      <c r="AE174" s="49" t="inlineStr">
        <is>
          <t>IF(OR(F174="",COUNT(AI174:AV174)&lt;2),"",LOOKUP(2,1/(AI174:AV174&lt;&gt;""),AI174:AV174)-MIN(AI174:AV174))</t>
        </is>
      </c>
      <c r="AF174" s="49" t="inlineStr">
        <is>
          <t>IF(OR(AD174="",AC174="Not started",AC174=""),"",IFERROR(AD174-IF(VLOOKUP(AC174,'06_Status_Pipeline'!$B$3:$E$20,4,FALSE)="",0,VLOOKUP(AC174,'06_Status_Pipeline'!$B$3:$E$20,4,FALSE)),""))</t>
        </is>
      </c>
      <c r="AG174" s="4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49" t="inlineStr">
        <is>
          <t>IF(OR(F174="",AC174="Completed / Handover",AC174="Cancelled"),"",IF(O174="Not awarded",IF(U174&lt;&gt;"",U174-TODAY(),IF(X174="","",X174-TODAY())),IF(X174="","",X174-TODAY())))</t>
        </is>
      </c>
      <c r="AI174" s="54" t="n"/>
      <c r="AJ174" s="54" t="n"/>
      <c r="AK174" s="54" t="n"/>
      <c r="AL174" s="54" t="n"/>
      <c r="AM174" s="54" t="n"/>
      <c r="AN174" s="54" t="n"/>
      <c r="AO174" s="54" t="n"/>
      <c r="AP174" s="54" t="n"/>
      <c r="AQ174" s="54" t="n"/>
      <c r="AR174" s="54" t="n"/>
      <c r="AS174" s="54" t="n"/>
      <c r="AT174" s="50" t="n"/>
      <c r="AU174" s="50" t="n"/>
      <c r="AV174" s="50" t="n"/>
      <c r="AW174" s="49" t="inlineStr">
        <is>
          <t>IF(OR(F174="",AJ174=""),"",IF(COUNT(AI174:AI174)=0,"",AJ174-LOOKUP(2,1/(AI174:AI174&lt;&gt;""),AI174:AI174)))</t>
        </is>
      </c>
      <c r="AX174" s="49" t="inlineStr">
        <is>
          <t>IF(OR(F174="",AK174=""),"",IF(COUNT(AI174:AJ174)=0,"",AK174-LOOKUP(2,1/(AI174:AJ174&lt;&gt;""),AI174:AJ174)))</t>
        </is>
      </c>
      <c r="AY174" s="49" t="inlineStr">
        <is>
          <t>IF(OR(F174="",AL174=""),"",IF(COUNT(AI174:AK174)=0,"",AL174-LOOKUP(2,1/(AI174:AK174&lt;&gt;""),AI174:AK174)))</t>
        </is>
      </c>
      <c r="AZ174" s="49" t="inlineStr">
        <is>
          <t>IF(OR(F174="",AM174=""),"",IF(COUNT(AI174:AL174)=0,"",AM174-LOOKUP(2,1/(AI174:AL174&lt;&gt;""),AI174:AL174)))</t>
        </is>
      </c>
      <c r="BA174" s="49" t="inlineStr">
        <is>
          <t>IF(OR(F174="",AN174=""),"",IF(COUNT(AI174:AM174)=0,"",AN174-LOOKUP(2,1/(AI174:AM174&lt;&gt;""),AI174:AM174)))</t>
        </is>
      </c>
      <c r="BB174" s="49" t="inlineStr">
        <is>
          <t>IF(OR(F174="",AO174=""),"",IF(COUNT(AI174:AN174)=0,"",AO174-LOOKUP(2,1/(AI174:AN174&lt;&gt;""),AI174:AN174)))</t>
        </is>
      </c>
      <c r="BC174" s="49" t="inlineStr">
        <is>
          <t>IF(OR(F174="",AP174=""),"",IF(COUNT(AI174:AO174)=0,"",AP174-LOOKUP(2,1/(AI174:AO174&lt;&gt;""),AI174:AO174)))</t>
        </is>
      </c>
      <c r="BD174" s="49" t="inlineStr">
        <is>
          <t>IF(OR(F174="",AQ174=""),"",IF(COUNT(AI174:AP174)=0,"",AQ174-LOOKUP(2,1/(AI174:AP174&lt;&gt;""),AI174:AP174)))</t>
        </is>
      </c>
      <c r="BE174" s="49" t="inlineStr">
        <is>
          <t>IF(OR(F174="",AR174=""),"",IF(COUNT(AI174:AQ174)=0,"",AR174-LOOKUP(2,1/(AI174:AQ174&lt;&gt;""),AI174:AQ174)))</t>
        </is>
      </c>
      <c r="BF174" s="49" t="inlineStr">
        <is>
          <t>IF(OR(F174="",AS174=""),"",IF(COUNT(AI174:AR174)=0,"",AS174-LOOKUP(2,1/(AI174:AR174&lt;&gt;""),AI174:AR174)))</t>
        </is>
      </c>
      <c r="BG174" s="49" t="inlineStr">
        <is>
          <t>IF(OR(F174="",AT174=""),"",IF(COUNT(AI174:AS174)=0,"",AT174-LOOKUP(2,1/(AI174:AS174&lt;&gt;""),AI174:AS174)))</t>
        </is>
      </c>
      <c r="BH174" s="49" t="inlineStr">
        <is>
          <t>IF(OR(F174="",AU174=""),"",IF(COUNT(AI174:AT174)=0,"",AU174-LOOKUP(2,1/(AI174:AT174&lt;&gt;""),AI174:AT174)))</t>
        </is>
      </c>
      <c r="BI174" s="49" t="inlineStr">
        <is>
          <t>IF(OR(F174="",AV174=""),"",IF(COUNT(AI174:AU174)=0,"",AV174-LOOKUP(2,1/(AI174:AU174&lt;&gt;""),AI174:AU174)))</t>
        </is>
      </c>
      <c r="BJ174" s="51" t="inlineStr">
        <is>
          <t>IF(J174="","All_Provinces",IFERROR(VLOOKUP(J174,'09_Lookups'!$A$4:$B$20,2,FALSE),"All_Provinces"))</t>
        </is>
      </c>
      <c r="BK174" s="51" t="inlineStr">
        <is>
          <t>IF(K174="","All_Districts",IFERROR(VLOOKUP(K174,'09_Lookups'!$E$4:$F$42,2,FALSE),"All_Districts"))</t>
        </is>
      </c>
    </row>
    <row r="175" ht="18" customHeight="1">
      <c r="A175" s="42" t="inlineStr">
        <is>
          <t>IF(F175="","",ROW()-3)</t>
        </is>
      </c>
      <c r="B175" s="44" t="n"/>
      <c r="C175" s="44" t="n"/>
      <c r="D175" s="44" t="n"/>
      <c r="E175" s="44" t="n"/>
      <c r="F175" s="44" t="n"/>
      <c r="G175" s="44" t="n"/>
      <c r="H175" s="44" t="n"/>
      <c r="I175" s="44" t="n"/>
      <c r="J175" s="44" t="n"/>
      <c r="K175" s="44" t="n"/>
      <c r="L175" s="44" t="n"/>
      <c r="M175" s="44" t="n"/>
      <c r="N175" s="44" t="n"/>
      <c r="O175" s="44" t="n"/>
      <c r="P175" s="44" t="n"/>
      <c r="Q175" s="44" t="n"/>
      <c r="R175" s="44" t="n"/>
      <c r="S175" s="45" t="n"/>
      <c r="T175" s="46" t="inlineStr">
        <is>
          <t>IF(AQ175="","",AQ175)</t>
        </is>
      </c>
      <c r="U175" s="47" t="n"/>
      <c r="V175" s="48" t="n"/>
      <c r="W175" s="47" t="n"/>
      <c r="X175" s="46" t="inlineStr">
        <is>
          <t>IF(W175&lt;&gt;"",W175,IF(OR(T175="",V175=""),"",EDATE(T175,V175)))</t>
        </is>
      </c>
      <c r="Y175" s="47" t="n"/>
      <c r="Z175" s="48" t="n"/>
      <c r="AA175" s="44" t="n"/>
      <c r="AB175" s="44" t="n"/>
      <c r="AC175" s="42" t="inlineStr">
        <is>
          <t>IF(F175="","",IF(COUNT(AI175:AV175)=0,IF(AA175="","Not started",AA175),SUBSTITUTE(LOOKUP(2,1/(AI175:AV175&lt;&gt;""),$AI$3:$AV$3),"Date: ","")))</t>
        </is>
      </c>
      <c r="AD175" s="49" t="inlineStr">
        <is>
          <t>IF(OR(F175="",COUNT(AI175:AV175)=0),"",TODAY()-LOOKUP(2,1/(AI175:AV175&lt;&gt;""),AI175:AV175))</t>
        </is>
      </c>
      <c r="AE175" s="49" t="inlineStr">
        <is>
          <t>IF(OR(F175="",COUNT(AI175:AV175)&lt;2),"",LOOKUP(2,1/(AI175:AV175&lt;&gt;""),AI175:AV175)-MIN(AI175:AV175))</t>
        </is>
      </c>
      <c r="AF175" s="49" t="inlineStr">
        <is>
          <t>IF(OR(AD175="",AC175="Not started",AC175=""),"",IFERROR(AD175-IF(VLOOKUP(AC175,'06_Status_Pipeline'!$B$3:$E$20,4,FALSE)="",0,VLOOKUP(AC175,'06_Status_Pipeline'!$B$3:$E$20,4,FALSE)),""))</t>
        </is>
      </c>
      <c r="AG175" s="4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49" t="inlineStr">
        <is>
          <t>IF(OR(F175="",AC175="Completed / Handover",AC175="Cancelled"),"",IF(O175="Not awarded",IF(U175&lt;&gt;"",U175-TODAY(),IF(X175="","",X175-TODAY())),IF(X175="","",X175-TODAY())))</t>
        </is>
      </c>
      <c r="AI175" s="47" t="n"/>
      <c r="AJ175" s="47" t="n"/>
      <c r="AK175" s="47" t="n"/>
      <c r="AL175" s="47" t="n"/>
      <c r="AM175" s="47" t="n"/>
      <c r="AN175" s="47" t="n"/>
      <c r="AO175" s="47" t="n"/>
      <c r="AP175" s="47" t="n"/>
      <c r="AQ175" s="47" t="n"/>
      <c r="AR175" s="47" t="n"/>
      <c r="AS175" s="47" t="n"/>
      <c r="AT175" s="50" t="n"/>
      <c r="AU175" s="50" t="n"/>
      <c r="AV175" s="50" t="n"/>
      <c r="AW175" s="49" t="inlineStr">
        <is>
          <t>IF(OR(F175="",AJ175=""),"",IF(COUNT(AI175:AI175)=0,"",AJ175-LOOKUP(2,1/(AI175:AI175&lt;&gt;""),AI175:AI175)))</t>
        </is>
      </c>
      <c r="AX175" s="49" t="inlineStr">
        <is>
          <t>IF(OR(F175="",AK175=""),"",IF(COUNT(AI175:AJ175)=0,"",AK175-LOOKUP(2,1/(AI175:AJ175&lt;&gt;""),AI175:AJ175)))</t>
        </is>
      </c>
      <c r="AY175" s="49" t="inlineStr">
        <is>
          <t>IF(OR(F175="",AL175=""),"",IF(COUNT(AI175:AK175)=0,"",AL175-LOOKUP(2,1/(AI175:AK175&lt;&gt;""),AI175:AK175)))</t>
        </is>
      </c>
      <c r="AZ175" s="49" t="inlineStr">
        <is>
          <t>IF(OR(F175="",AM175=""),"",IF(COUNT(AI175:AL175)=0,"",AM175-LOOKUP(2,1/(AI175:AL175&lt;&gt;""),AI175:AL175)))</t>
        </is>
      </c>
      <c r="BA175" s="49" t="inlineStr">
        <is>
          <t>IF(OR(F175="",AN175=""),"",IF(COUNT(AI175:AM175)=0,"",AN175-LOOKUP(2,1/(AI175:AM175&lt;&gt;""),AI175:AM175)))</t>
        </is>
      </c>
      <c r="BB175" s="49" t="inlineStr">
        <is>
          <t>IF(OR(F175="",AO175=""),"",IF(COUNT(AI175:AN175)=0,"",AO175-LOOKUP(2,1/(AI175:AN175&lt;&gt;""),AI175:AN175)))</t>
        </is>
      </c>
      <c r="BC175" s="49" t="inlineStr">
        <is>
          <t>IF(OR(F175="",AP175=""),"",IF(COUNT(AI175:AO175)=0,"",AP175-LOOKUP(2,1/(AI175:AO175&lt;&gt;""),AI175:AO175)))</t>
        </is>
      </c>
      <c r="BD175" s="49" t="inlineStr">
        <is>
          <t>IF(OR(F175="",AQ175=""),"",IF(COUNT(AI175:AP175)=0,"",AQ175-LOOKUP(2,1/(AI175:AP175&lt;&gt;""),AI175:AP175)))</t>
        </is>
      </c>
      <c r="BE175" s="49" t="inlineStr">
        <is>
          <t>IF(OR(F175="",AR175=""),"",IF(COUNT(AI175:AQ175)=0,"",AR175-LOOKUP(2,1/(AI175:AQ175&lt;&gt;""),AI175:AQ175)))</t>
        </is>
      </c>
      <c r="BF175" s="49" t="inlineStr">
        <is>
          <t>IF(OR(F175="",AS175=""),"",IF(COUNT(AI175:AR175)=0,"",AS175-LOOKUP(2,1/(AI175:AR175&lt;&gt;""),AI175:AR175)))</t>
        </is>
      </c>
      <c r="BG175" s="49" t="inlineStr">
        <is>
          <t>IF(OR(F175="",AT175=""),"",IF(COUNT(AI175:AS175)=0,"",AT175-LOOKUP(2,1/(AI175:AS175&lt;&gt;""),AI175:AS175)))</t>
        </is>
      </c>
      <c r="BH175" s="49" t="inlineStr">
        <is>
          <t>IF(OR(F175="",AU175=""),"",IF(COUNT(AI175:AT175)=0,"",AU175-LOOKUP(2,1/(AI175:AT175&lt;&gt;""),AI175:AT175)))</t>
        </is>
      </c>
      <c r="BI175" s="49" t="inlineStr">
        <is>
          <t>IF(OR(F175="",AV175=""),"",IF(COUNT(AI175:AU175)=0,"",AV175-LOOKUP(2,1/(AI175:AU175&lt;&gt;""),AI175:AU175)))</t>
        </is>
      </c>
      <c r="BJ175" s="51" t="inlineStr">
        <is>
          <t>IF(J175="","All_Provinces",IFERROR(VLOOKUP(J175,'09_Lookups'!$A$4:$B$20,2,FALSE),"All_Provinces"))</t>
        </is>
      </c>
      <c r="BK175" s="51" t="inlineStr">
        <is>
          <t>IF(K175="","All_Districts",IFERROR(VLOOKUP(K175,'09_Lookups'!$E$4:$F$42,2,FALSE),"All_Districts"))</t>
        </is>
      </c>
    </row>
    <row r="176" ht="18" customHeight="1">
      <c r="A176" s="42" t="inlineStr">
        <is>
          <t>IF(F176="","",ROW()-3)</t>
        </is>
      </c>
      <c r="B176" s="52" t="n"/>
      <c r="C176" s="52" t="n"/>
      <c r="D176" s="52" t="n"/>
      <c r="E176" s="52" t="n"/>
      <c r="F176" s="52" t="n"/>
      <c r="G176" s="52" t="n"/>
      <c r="H176" s="52" t="n"/>
      <c r="I176" s="52" t="n"/>
      <c r="J176" s="52" t="n"/>
      <c r="K176" s="52" t="n"/>
      <c r="L176" s="52" t="n"/>
      <c r="M176" s="52" t="n"/>
      <c r="N176" s="52" t="n"/>
      <c r="O176" s="52" t="n"/>
      <c r="P176" s="52" t="n"/>
      <c r="Q176" s="52" t="n"/>
      <c r="R176" s="52" t="n"/>
      <c r="S176" s="53" t="n"/>
      <c r="T176" s="46" t="inlineStr">
        <is>
          <t>IF(AQ176="","",AQ176)</t>
        </is>
      </c>
      <c r="U176" s="54" t="n"/>
      <c r="V176" s="55" t="n"/>
      <c r="W176" s="54" t="n"/>
      <c r="X176" s="46" t="inlineStr">
        <is>
          <t>IF(W176&lt;&gt;"",W176,IF(OR(T176="",V176=""),"",EDATE(T176,V176)))</t>
        </is>
      </c>
      <c r="Y176" s="54" t="n"/>
      <c r="Z176" s="55" t="n"/>
      <c r="AA176" s="52" t="n"/>
      <c r="AB176" s="52" t="n"/>
      <c r="AC176" s="42" t="inlineStr">
        <is>
          <t>IF(F176="","",IF(COUNT(AI176:AV176)=0,IF(AA176="","Not started",AA176),SUBSTITUTE(LOOKUP(2,1/(AI176:AV176&lt;&gt;""),$AI$3:$AV$3),"Date: ","")))</t>
        </is>
      </c>
      <c r="AD176" s="49" t="inlineStr">
        <is>
          <t>IF(OR(F176="",COUNT(AI176:AV176)=0),"",TODAY()-LOOKUP(2,1/(AI176:AV176&lt;&gt;""),AI176:AV176))</t>
        </is>
      </c>
      <c r="AE176" s="49" t="inlineStr">
        <is>
          <t>IF(OR(F176="",COUNT(AI176:AV176)&lt;2),"",LOOKUP(2,1/(AI176:AV176&lt;&gt;""),AI176:AV176)-MIN(AI176:AV176))</t>
        </is>
      </c>
      <c r="AF176" s="49" t="inlineStr">
        <is>
          <t>IF(OR(AD176="",AC176="Not started",AC176=""),"",IFERROR(AD176-IF(VLOOKUP(AC176,'06_Status_Pipeline'!$B$3:$E$20,4,FALSE)="",0,VLOOKUP(AC176,'06_Status_Pipeline'!$B$3:$E$20,4,FALSE)),""))</t>
        </is>
      </c>
      <c r="AG176" s="4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49" t="inlineStr">
        <is>
          <t>IF(OR(F176="",AC176="Completed / Handover",AC176="Cancelled"),"",IF(O176="Not awarded",IF(U176&lt;&gt;"",U176-TODAY(),IF(X176="","",X176-TODAY())),IF(X176="","",X176-TODAY())))</t>
        </is>
      </c>
      <c r="AI176" s="54" t="n"/>
      <c r="AJ176" s="54" t="n"/>
      <c r="AK176" s="54" t="n"/>
      <c r="AL176" s="54" t="n"/>
      <c r="AM176" s="54" t="n"/>
      <c r="AN176" s="54" t="n"/>
      <c r="AO176" s="54" t="n"/>
      <c r="AP176" s="54" t="n"/>
      <c r="AQ176" s="54" t="n"/>
      <c r="AR176" s="54" t="n"/>
      <c r="AS176" s="54" t="n"/>
      <c r="AT176" s="50" t="n"/>
      <c r="AU176" s="50" t="n"/>
      <c r="AV176" s="50" t="n"/>
      <c r="AW176" s="49" t="inlineStr">
        <is>
          <t>IF(OR(F176="",AJ176=""),"",IF(COUNT(AI176:AI176)=0,"",AJ176-LOOKUP(2,1/(AI176:AI176&lt;&gt;""),AI176:AI176)))</t>
        </is>
      </c>
      <c r="AX176" s="49" t="inlineStr">
        <is>
          <t>IF(OR(F176="",AK176=""),"",IF(COUNT(AI176:AJ176)=0,"",AK176-LOOKUP(2,1/(AI176:AJ176&lt;&gt;""),AI176:AJ176)))</t>
        </is>
      </c>
      <c r="AY176" s="49" t="inlineStr">
        <is>
          <t>IF(OR(F176="",AL176=""),"",IF(COUNT(AI176:AK176)=0,"",AL176-LOOKUP(2,1/(AI176:AK176&lt;&gt;""),AI176:AK176)))</t>
        </is>
      </c>
      <c r="AZ176" s="49" t="inlineStr">
        <is>
          <t>IF(OR(F176="",AM176=""),"",IF(COUNT(AI176:AL176)=0,"",AM176-LOOKUP(2,1/(AI176:AL176&lt;&gt;""),AI176:AL176)))</t>
        </is>
      </c>
      <c r="BA176" s="49" t="inlineStr">
        <is>
          <t>IF(OR(F176="",AN176=""),"",IF(COUNT(AI176:AM176)=0,"",AN176-LOOKUP(2,1/(AI176:AM176&lt;&gt;""),AI176:AM176)))</t>
        </is>
      </c>
      <c r="BB176" s="49" t="inlineStr">
        <is>
          <t>IF(OR(F176="",AO176=""),"",IF(COUNT(AI176:AN176)=0,"",AO176-LOOKUP(2,1/(AI176:AN176&lt;&gt;""),AI176:AN176)))</t>
        </is>
      </c>
      <c r="BC176" s="49" t="inlineStr">
        <is>
          <t>IF(OR(F176="",AP176=""),"",IF(COUNT(AI176:AO176)=0,"",AP176-LOOKUP(2,1/(AI176:AO176&lt;&gt;""),AI176:AO176)))</t>
        </is>
      </c>
      <c r="BD176" s="49" t="inlineStr">
        <is>
          <t>IF(OR(F176="",AQ176=""),"",IF(COUNT(AI176:AP176)=0,"",AQ176-LOOKUP(2,1/(AI176:AP176&lt;&gt;""),AI176:AP176)))</t>
        </is>
      </c>
      <c r="BE176" s="49" t="inlineStr">
        <is>
          <t>IF(OR(F176="",AR176=""),"",IF(COUNT(AI176:AQ176)=0,"",AR176-LOOKUP(2,1/(AI176:AQ176&lt;&gt;""),AI176:AQ176)))</t>
        </is>
      </c>
      <c r="BF176" s="49" t="inlineStr">
        <is>
          <t>IF(OR(F176="",AS176=""),"",IF(COUNT(AI176:AR176)=0,"",AS176-LOOKUP(2,1/(AI176:AR176&lt;&gt;""),AI176:AR176)))</t>
        </is>
      </c>
      <c r="BG176" s="49" t="inlineStr">
        <is>
          <t>IF(OR(F176="",AT176=""),"",IF(COUNT(AI176:AS176)=0,"",AT176-LOOKUP(2,1/(AI176:AS176&lt;&gt;""),AI176:AS176)))</t>
        </is>
      </c>
      <c r="BH176" s="49" t="inlineStr">
        <is>
          <t>IF(OR(F176="",AU176=""),"",IF(COUNT(AI176:AT176)=0,"",AU176-LOOKUP(2,1/(AI176:AT176&lt;&gt;""),AI176:AT176)))</t>
        </is>
      </c>
      <c r="BI176" s="49" t="inlineStr">
        <is>
          <t>IF(OR(F176="",AV176=""),"",IF(COUNT(AI176:AU176)=0,"",AV176-LOOKUP(2,1/(AI176:AU176&lt;&gt;""),AI176:AU176)))</t>
        </is>
      </c>
      <c r="BJ176" s="51" t="inlineStr">
        <is>
          <t>IF(J176="","All_Provinces",IFERROR(VLOOKUP(J176,'09_Lookups'!$A$4:$B$20,2,FALSE),"All_Provinces"))</t>
        </is>
      </c>
      <c r="BK176" s="51" t="inlineStr">
        <is>
          <t>IF(K176="","All_Districts",IFERROR(VLOOKUP(K176,'09_Lookups'!$E$4:$F$42,2,FALSE),"All_Districts"))</t>
        </is>
      </c>
    </row>
    <row r="177" ht="18" customHeight="1">
      <c r="A177" s="42" t="inlineStr">
        <is>
          <t>IF(F177="","",ROW()-3)</t>
        </is>
      </c>
      <c r="B177" s="44" t="n"/>
      <c r="C177" s="44" t="n"/>
      <c r="D177" s="44" t="n"/>
      <c r="E177" s="44" t="n"/>
      <c r="F177" s="44" t="n"/>
      <c r="G177" s="44" t="n"/>
      <c r="H177" s="44" t="n"/>
      <c r="I177" s="44" t="n"/>
      <c r="J177" s="44" t="n"/>
      <c r="K177" s="44" t="n"/>
      <c r="L177" s="44" t="n"/>
      <c r="M177" s="44" t="n"/>
      <c r="N177" s="44" t="n"/>
      <c r="O177" s="44" t="n"/>
      <c r="P177" s="44" t="n"/>
      <c r="Q177" s="44" t="n"/>
      <c r="R177" s="44" t="n"/>
      <c r="S177" s="45" t="n"/>
      <c r="T177" s="46" t="inlineStr">
        <is>
          <t>IF(AQ177="","",AQ177)</t>
        </is>
      </c>
      <c r="U177" s="47" t="n"/>
      <c r="V177" s="48" t="n"/>
      <c r="W177" s="47" t="n"/>
      <c r="X177" s="46" t="inlineStr">
        <is>
          <t>IF(W177&lt;&gt;"",W177,IF(OR(T177="",V177=""),"",EDATE(T177,V177)))</t>
        </is>
      </c>
      <c r="Y177" s="47" t="n"/>
      <c r="Z177" s="48" t="n"/>
      <c r="AA177" s="44" t="n"/>
      <c r="AB177" s="44" t="n"/>
      <c r="AC177" s="42" t="inlineStr">
        <is>
          <t>IF(F177="","",IF(COUNT(AI177:AV177)=0,IF(AA177="","Not started",AA177),SUBSTITUTE(LOOKUP(2,1/(AI177:AV177&lt;&gt;""),$AI$3:$AV$3),"Date: ","")))</t>
        </is>
      </c>
      <c r="AD177" s="49" t="inlineStr">
        <is>
          <t>IF(OR(F177="",COUNT(AI177:AV177)=0),"",TODAY()-LOOKUP(2,1/(AI177:AV177&lt;&gt;""),AI177:AV177))</t>
        </is>
      </c>
      <c r="AE177" s="49" t="inlineStr">
        <is>
          <t>IF(OR(F177="",COUNT(AI177:AV177)&lt;2),"",LOOKUP(2,1/(AI177:AV177&lt;&gt;""),AI177:AV177)-MIN(AI177:AV177))</t>
        </is>
      </c>
      <c r="AF177" s="49" t="inlineStr">
        <is>
          <t>IF(OR(AD177="",AC177="Not started",AC177=""),"",IFERROR(AD177-IF(VLOOKUP(AC177,'06_Status_Pipeline'!$B$3:$E$20,4,FALSE)="",0,VLOOKUP(AC177,'06_Status_Pipeline'!$B$3:$E$20,4,FALSE)),""))</t>
        </is>
      </c>
      <c r="AG177" s="4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49" t="inlineStr">
        <is>
          <t>IF(OR(F177="",AC177="Completed / Handover",AC177="Cancelled"),"",IF(O177="Not awarded",IF(U177&lt;&gt;"",U177-TODAY(),IF(X177="","",X177-TODAY())),IF(X177="","",X177-TODAY())))</t>
        </is>
      </c>
      <c r="AI177" s="47" t="n"/>
      <c r="AJ177" s="47" t="n"/>
      <c r="AK177" s="47" t="n"/>
      <c r="AL177" s="47" t="n"/>
      <c r="AM177" s="47" t="n"/>
      <c r="AN177" s="47" t="n"/>
      <c r="AO177" s="47" t="n"/>
      <c r="AP177" s="47" t="n"/>
      <c r="AQ177" s="47" t="n"/>
      <c r="AR177" s="47" t="n"/>
      <c r="AS177" s="47" t="n"/>
      <c r="AT177" s="50" t="n"/>
      <c r="AU177" s="50" t="n"/>
      <c r="AV177" s="50" t="n"/>
      <c r="AW177" s="49" t="inlineStr">
        <is>
          <t>IF(OR(F177="",AJ177=""),"",IF(COUNT(AI177:AI177)=0,"",AJ177-LOOKUP(2,1/(AI177:AI177&lt;&gt;""),AI177:AI177)))</t>
        </is>
      </c>
      <c r="AX177" s="49" t="inlineStr">
        <is>
          <t>IF(OR(F177="",AK177=""),"",IF(COUNT(AI177:AJ177)=0,"",AK177-LOOKUP(2,1/(AI177:AJ177&lt;&gt;""),AI177:AJ177)))</t>
        </is>
      </c>
      <c r="AY177" s="49" t="inlineStr">
        <is>
          <t>IF(OR(F177="",AL177=""),"",IF(COUNT(AI177:AK177)=0,"",AL177-LOOKUP(2,1/(AI177:AK177&lt;&gt;""),AI177:AK177)))</t>
        </is>
      </c>
      <c r="AZ177" s="49" t="inlineStr">
        <is>
          <t>IF(OR(F177="",AM177=""),"",IF(COUNT(AI177:AL177)=0,"",AM177-LOOKUP(2,1/(AI177:AL177&lt;&gt;""),AI177:AL177)))</t>
        </is>
      </c>
      <c r="BA177" s="49" t="inlineStr">
        <is>
          <t>IF(OR(F177="",AN177=""),"",IF(COUNT(AI177:AM177)=0,"",AN177-LOOKUP(2,1/(AI177:AM177&lt;&gt;""),AI177:AM177)))</t>
        </is>
      </c>
      <c r="BB177" s="49" t="inlineStr">
        <is>
          <t>IF(OR(F177="",AO177=""),"",IF(COUNT(AI177:AN177)=0,"",AO177-LOOKUP(2,1/(AI177:AN177&lt;&gt;""),AI177:AN177)))</t>
        </is>
      </c>
      <c r="BC177" s="49" t="inlineStr">
        <is>
          <t>IF(OR(F177="",AP177=""),"",IF(COUNT(AI177:AO177)=0,"",AP177-LOOKUP(2,1/(AI177:AO177&lt;&gt;""),AI177:AO177)))</t>
        </is>
      </c>
      <c r="BD177" s="49" t="inlineStr">
        <is>
          <t>IF(OR(F177="",AQ177=""),"",IF(COUNT(AI177:AP177)=0,"",AQ177-LOOKUP(2,1/(AI177:AP177&lt;&gt;""),AI177:AP177)))</t>
        </is>
      </c>
      <c r="BE177" s="49" t="inlineStr">
        <is>
          <t>IF(OR(F177="",AR177=""),"",IF(COUNT(AI177:AQ177)=0,"",AR177-LOOKUP(2,1/(AI177:AQ177&lt;&gt;""),AI177:AQ177)))</t>
        </is>
      </c>
      <c r="BF177" s="49" t="inlineStr">
        <is>
          <t>IF(OR(F177="",AS177=""),"",IF(COUNT(AI177:AR177)=0,"",AS177-LOOKUP(2,1/(AI177:AR177&lt;&gt;""),AI177:AR177)))</t>
        </is>
      </c>
      <c r="BG177" s="49" t="inlineStr">
        <is>
          <t>IF(OR(F177="",AT177=""),"",IF(COUNT(AI177:AS177)=0,"",AT177-LOOKUP(2,1/(AI177:AS177&lt;&gt;""),AI177:AS177)))</t>
        </is>
      </c>
      <c r="BH177" s="49" t="inlineStr">
        <is>
          <t>IF(OR(F177="",AU177=""),"",IF(COUNT(AI177:AT177)=0,"",AU177-LOOKUP(2,1/(AI177:AT177&lt;&gt;""),AI177:AT177)))</t>
        </is>
      </c>
      <c r="BI177" s="49" t="inlineStr">
        <is>
          <t>IF(OR(F177="",AV177=""),"",IF(COUNT(AI177:AU177)=0,"",AV177-LOOKUP(2,1/(AI177:AU177&lt;&gt;""),AI177:AU177)))</t>
        </is>
      </c>
      <c r="BJ177" s="51" t="inlineStr">
        <is>
          <t>IF(J177="","All_Provinces",IFERROR(VLOOKUP(J177,'09_Lookups'!$A$4:$B$20,2,FALSE),"All_Provinces"))</t>
        </is>
      </c>
      <c r="BK177" s="51" t="inlineStr">
        <is>
          <t>IF(K177="","All_Districts",IFERROR(VLOOKUP(K177,'09_Lookups'!$E$4:$F$42,2,FALSE),"All_Districts"))</t>
        </is>
      </c>
    </row>
    <row r="178" ht="18" customHeight="1">
      <c r="A178" s="42" t="inlineStr">
        <is>
          <t>IF(F178="","",ROW()-3)</t>
        </is>
      </c>
      <c r="B178" s="52" t="n"/>
      <c r="C178" s="52" t="n"/>
      <c r="D178" s="52" t="n"/>
      <c r="E178" s="52" t="n"/>
      <c r="F178" s="52" t="n"/>
      <c r="G178" s="52" t="n"/>
      <c r="H178" s="52" t="n"/>
      <c r="I178" s="52" t="n"/>
      <c r="J178" s="52" t="n"/>
      <c r="K178" s="52" t="n"/>
      <c r="L178" s="52" t="n"/>
      <c r="M178" s="52" t="n"/>
      <c r="N178" s="52" t="n"/>
      <c r="O178" s="52" t="n"/>
      <c r="P178" s="52" t="n"/>
      <c r="Q178" s="52" t="n"/>
      <c r="R178" s="52" t="n"/>
      <c r="S178" s="53" t="n"/>
      <c r="T178" s="46" t="inlineStr">
        <is>
          <t>IF(AQ178="","",AQ178)</t>
        </is>
      </c>
      <c r="U178" s="54" t="n"/>
      <c r="V178" s="55" t="n"/>
      <c r="W178" s="54" t="n"/>
      <c r="X178" s="46" t="inlineStr">
        <is>
          <t>IF(W178&lt;&gt;"",W178,IF(OR(T178="",V178=""),"",EDATE(T178,V178)))</t>
        </is>
      </c>
      <c r="Y178" s="54" t="n"/>
      <c r="Z178" s="55" t="n"/>
      <c r="AA178" s="52" t="n"/>
      <c r="AB178" s="52" t="n"/>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54" t="n"/>
      <c r="AJ178" s="54" t="n"/>
      <c r="AK178" s="54" t="n"/>
      <c r="AL178" s="54" t="n"/>
      <c r="AM178" s="54" t="n"/>
      <c r="AN178" s="54" t="n"/>
      <c r="AO178" s="54" t="n"/>
      <c r="AP178" s="54" t="n"/>
      <c r="AQ178" s="54" t="n"/>
      <c r="AR178" s="54" t="n"/>
      <c r="AS178" s="54" t="n"/>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42" t="inlineStr">
        <is>
          <t>IF(F179="","",ROW()-3)</t>
        </is>
      </c>
      <c r="B179" s="44" t="n"/>
      <c r="C179" s="44" t="n"/>
      <c r="D179" s="44" t="n"/>
      <c r="E179" s="44" t="n"/>
      <c r="F179" s="44" t="n"/>
      <c r="G179" s="44" t="n"/>
      <c r="H179" s="44" t="n"/>
      <c r="I179" s="44" t="n"/>
      <c r="J179" s="44" t="n"/>
      <c r="K179" s="44" t="n"/>
      <c r="L179" s="44" t="n"/>
      <c r="M179" s="44" t="n"/>
      <c r="N179" s="44" t="n"/>
      <c r="O179" s="44" t="n"/>
      <c r="P179" s="44" t="n"/>
      <c r="Q179" s="44" t="n"/>
      <c r="R179" s="44" t="n"/>
      <c r="S179" s="45" t="n"/>
      <c r="T179" s="46" t="inlineStr">
        <is>
          <t>IF(AQ179="","",AQ179)</t>
        </is>
      </c>
      <c r="U179" s="47" t="n"/>
      <c r="V179" s="48" t="n"/>
      <c r="W179" s="47" t="n"/>
      <c r="X179" s="46" t="inlineStr">
        <is>
          <t>IF(W179&lt;&gt;"",W179,IF(OR(T179="",V179=""),"",EDATE(T179,V179)))</t>
        </is>
      </c>
      <c r="Y179" s="47" t="n"/>
      <c r="Z179" s="48" t="n"/>
      <c r="AA179" s="44" t="n"/>
      <c r="AB179" s="44" t="n"/>
      <c r="AC179" s="42" t="inlineStr">
        <is>
          <t>IF(F179="","",IF(COUNT(AI179:AV179)=0,IF(AA179="","Not started",AA179),SUBSTITUTE(LOOKUP(2,1/(AI179:AV179&lt;&gt;""),$AI$3:$AV$3),"Date: ","")))</t>
        </is>
      </c>
      <c r="AD179" s="49" t="inlineStr">
        <is>
          <t>IF(OR(F179="",COUNT(AI179:AV179)=0),"",TODAY()-LOOKUP(2,1/(AI179:AV179&lt;&gt;""),AI179:AV179))</t>
        </is>
      </c>
      <c r="AE179" s="49" t="inlineStr">
        <is>
          <t>IF(OR(F179="",COUNT(AI179:AV179)&lt;2),"",LOOKUP(2,1/(AI179:AV179&lt;&gt;""),AI179:AV179)-MIN(AI179:AV179))</t>
        </is>
      </c>
      <c r="AF179" s="49" t="inlineStr">
        <is>
          <t>IF(OR(AD179="",AC179="Not started",AC179=""),"",IFERROR(AD179-IF(VLOOKUP(AC179,'06_Status_Pipeline'!$B$3:$E$20,4,FALSE)="",0,VLOOKUP(AC179,'06_Status_Pipeline'!$B$3:$E$20,4,FALSE)),""))</t>
        </is>
      </c>
      <c r="AG179" s="4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49" t="inlineStr">
        <is>
          <t>IF(OR(F179="",AC179="Completed / Handover",AC179="Cancelled"),"",IF(O179="Not awarded",IF(U179&lt;&gt;"",U179-TODAY(),IF(X179="","",X179-TODAY())),IF(X179="","",X179-TODAY())))</t>
        </is>
      </c>
      <c r="AI179" s="47" t="n"/>
      <c r="AJ179" s="47" t="n"/>
      <c r="AK179" s="47" t="n"/>
      <c r="AL179" s="47" t="n"/>
      <c r="AM179" s="47" t="n"/>
      <c r="AN179" s="47" t="n"/>
      <c r="AO179" s="47" t="n"/>
      <c r="AP179" s="47" t="n"/>
      <c r="AQ179" s="47" t="n"/>
      <c r="AR179" s="47" t="n"/>
      <c r="AS179" s="47" t="n"/>
      <c r="AT179" s="50" t="n"/>
      <c r="AU179" s="50" t="n"/>
      <c r="AV179" s="50" t="n"/>
      <c r="AW179" s="49" t="inlineStr">
        <is>
          <t>IF(OR(F179="",AJ179=""),"",IF(COUNT(AI179:AI179)=0,"",AJ179-LOOKUP(2,1/(AI179:AI179&lt;&gt;""),AI179:AI179)))</t>
        </is>
      </c>
      <c r="AX179" s="49" t="inlineStr">
        <is>
          <t>IF(OR(F179="",AK179=""),"",IF(COUNT(AI179:AJ179)=0,"",AK179-LOOKUP(2,1/(AI179:AJ179&lt;&gt;""),AI179:AJ179)))</t>
        </is>
      </c>
      <c r="AY179" s="49" t="inlineStr">
        <is>
          <t>IF(OR(F179="",AL179=""),"",IF(COUNT(AI179:AK179)=0,"",AL179-LOOKUP(2,1/(AI179:AK179&lt;&gt;""),AI179:AK179)))</t>
        </is>
      </c>
      <c r="AZ179" s="49" t="inlineStr">
        <is>
          <t>IF(OR(F179="",AM179=""),"",IF(COUNT(AI179:AL179)=0,"",AM179-LOOKUP(2,1/(AI179:AL179&lt;&gt;""),AI179:AL179)))</t>
        </is>
      </c>
      <c r="BA179" s="49" t="inlineStr">
        <is>
          <t>IF(OR(F179="",AN179=""),"",IF(COUNT(AI179:AM179)=0,"",AN179-LOOKUP(2,1/(AI179:AM179&lt;&gt;""),AI179:AM179)))</t>
        </is>
      </c>
      <c r="BB179" s="49" t="inlineStr">
        <is>
          <t>IF(OR(F179="",AO179=""),"",IF(COUNT(AI179:AN179)=0,"",AO179-LOOKUP(2,1/(AI179:AN179&lt;&gt;""),AI179:AN179)))</t>
        </is>
      </c>
      <c r="BC179" s="49" t="inlineStr">
        <is>
          <t>IF(OR(F179="",AP179=""),"",IF(COUNT(AI179:AO179)=0,"",AP179-LOOKUP(2,1/(AI179:AO179&lt;&gt;""),AI179:AO179)))</t>
        </is>
      </c>
      <c r="BD179" s="49" t="inlineStr">
        <is>
          <t>IF(OR(F179="",AQ179=""),"",IF(COUNT(AI179:AP179)=0,"",AQ179-LOOKUP(2,1/(AI179:AP179&lt;&gt;""),AI179:AP179)))</t>
        </is>
      </c>
      <c r="BE179" s="49" t="inlineStr">
        <is>
          <t>IF(OR(F179="",AR179=""),"",IF(COUNT(AI179:AQ179)=0,"",AR179-LOOKUP(2,1/(AI179:AQ179&lt;&gt;""),AI179:AQ179)))</t>
        </is>
      </c>
      <c r="BF179" s="49" t="inlineStr">
        <is>
          <t>IF(OR(F179="",AS179=""),"",IF(COUNT(AI179:AR179)=0,"",AS179-LOOKUP(2,1/(AI179:AR179&lt;&gt;""),AI179:AR179)))</t>
        </is>
      </c>
      <c r="BG179" s="49" t="inlineStr">
        <is>
          <t>IF(OR(F179="",AT179=""),"",IF(COUNT(AI179:AS179)=0,"",AT179-LOOKUP(2,1/(AI179:AS179&lt;&gt;""),AI179:AS179)))</t>
        </is>
      </c>
      <c r="BH179" s="49" t="inlineStr">
        <is>
          <t>IF(OR(F179="",AU179=""),"",IF(COUNT(AI179:AT179)=0,"",AU179-LOOKUP(2,1/(AI179:AT179&lt;&gt;""),AI179:AT179)))</t>
        </is>
      </c>
      <c r="BI179" s="49" t="inlineStr">
        <is>
          <t>IF(OR(F179="",AV179=""),"",IF(COUNT(AI179:AU179)=0,"",AV179-LOOKUP(2,1/(AI179:AU179&lt;&gt;""),AI179:AU179)))</t>
        </is>
      </c>
      <c r="BJ179" s="51" t="inlineStr">
        <is>
          <t>IF(J179="","All_Provinces",IFERROR(VLOOKUP(J179,'09_Lookups'!$A$4:$B$20,2,FALSE),"All_Provinces"))</t>
        </is>
      </c>
      <c r="BK179" s="51" t="inlineStr">
        <is>
          <t>IF(K179="","All_Districts",IFERROR(VLOOKUP(K179,'09_Lookups'!$E$4:$F$42,2,FALSE),"All_Districts"))</t>
        </is>
      </c>
    </row>
    <row r="180" ht="18" customHeight="1">
      <c r="A180" s="42" t="inlineStr">
        <is>
          <t>IF(F180="","",ROW()-3)</t>
        </is>
      </c>
      <c r="B180" s="52" t="n"/>
      <c r="C180" s="52" t="n"/>
      <c r="D180" s="52" t="n"/>
      <c r="E180" s="52" t="n"/>
      <c r="F180" s="52" t="n"/>
      <c r="G180" s="52" t="n"/>
      <c r="H180" s="52" t="n"/>
      <c r="I180" s="52" t="n"/>
      <c r="J180" s="52" t="n"/>
      <c r="K180" s="52" t="n"/>
      <c r="L180" s="52" t="n"/>
      <c r="M180" s="52" t="n"/>
      <c r="N180" s="52" t="n"/>
      <c r="O180" s="52" t="n"/>
      <c r="P180" s="52" t="n"/>
      <c r="Q180" s="52" t="n"/>
      <c r="R180" s="52" t="n"/>
      <c r="S180" s="53" t="n"/>
      <c r="T180" s="46" t="inlineStr">
        <is>
          <t>IF(AQ180="","",AQ180)</t>
        </is>
      </c>
      <c r="U180" s="54" t="n"/>
      <c r="V180" s="55" t="n"/>
      <c r="W180" s="54" t="n"/>
      <c r="X180" s="46" t="inlineStr">
        <is>
          <t>IF(W180&lt;&gt;"",W180,IF(OR(T180="",V180=""),"",EDATE(T180,V180)))</t>
        </is>
      </c>
      <c r="Y180" s="54" t="n"/>
      <c r="Z180" s="55" t="n"/>
      <c r="AA180" s="52" t="n"/>
      <c r="AB180" s="52" t="n"/>
      <c r="AC180" s="42" t="inlineStr">
        <is>
          <t>IF(F180="","",IF(COUNT(AI180:AV180)=0,IF(AA180="","Not started",AA180),SUBSTITUTE(LOOKUP(2,1/(AI180:AV180&lt;&gt;""),$AI$3:$AV$3),"Date: ","")))</t>
        </is>
      </c>
      <c r="AD180" s="49" t="inlineStr">
        <is>
          <t>IF(OR(F180="",COUNT(AI180:AV180)=0),"",TODAY()-LOOKUP(2,1/(AI180:AV180&lt;&gt;""),AI180:AV180))</t>
        </is>
      </c>
      <c r="AE180" s="49" t="inlineStr">
        <is>
          <t>IF(OR(F180="",COUNT(AI180:AV180)&lt;2),"",LOOKUP(2,1/(AI180:AV180&lt;&gt;""),AI180:AV180)-MIN(AI180:AV180))</t>
        </is>
      </c>
      <c r="AF180" s="49" t="inlineStr">
        <is>
          <t>IF(OR(AD180="",AC180="Not started",AC180=""),"",IFERROR(AD180-IF(VLOOKUP(AC180,'06_Status_Pipeline'!$B$3:$E$20,4,FALSE)="",0,VLOOKUP(AC180,'06_Status_Pipeline'!$B$3:$E$20,4,FALSE)),""))</t>
        </is>
      </c>
      <c r="AG180" s="4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49" t="inlineStr">
        <is>
          <t>IF(OR(F180="",AC180="Completed / Handover",AC180="Cancelled"),"",IF(O180="Not awarded",IF(U180&lt;&gt;"",U180-TODAY(),IF(X180="","",X180-TODAY())),IF(X180="","",X180-TODAY())))</t>
        </is>
      </c>
      <c r="AI180" s="54" t="n"/>
      <c r="AJ180" s="54" t="n"/>
      <c r="AK180" s="54" t="n"/>
      <c r="AL180" s="54" t="n"/>
      <c r="AM180" s="54" t="n"/>
      <c r="AN180" s="54" t="n"/>
      <c r="AO180" s="54" t="n"/>
      <c r="AP180" s="54" t="n"/>
      <c r="AQ180" s="54" t="n"/>
      <c r="AR180" s="54" t="n"/>
      <c r="AS180" s="54" t="n"/>
      <c r="AT180" s="50" t="n"/>
      <c r="AU180" s="50" t="n"/>
      <c r="AV180" s="50" t="n"/>
      <c r="AW180" s="49" t="inlineStr">
        <is>
          <t>IF(OR(F180="",AJ180=""),"",IF(COUNT(AI180:AI180)=0,"",AJ180-LOOKUP(2,1/(AI180:AI180&lt;&gt;""),AI180:AI180)))</t>
        </is>
      </c>
      <c r="AX180" s="49" t="inlineStr">
        <is>
          <t>IF(OR(F180="",AK180=""),"",IF(COUNT(AI180:AJ180)=0,"",AK180-LOOKUP(2,1/(AI180:AJ180&lt;&gt;""),AI180:AJ180)))</t>
        </is>
      </c>
      <c r="AY180" s="49" t="inlineStr">
        <is>
          <t>IF(OR(F180="",AL180=""),"",IF(COUNT(AI180:AK180)=0,"",AL180-LOOKUP(2,1/(AI180:AK180&lt;&gt;""),AI180:AK180)))</t>
        </is>
      </c>
      <c r="AZ180" s="49" t="inlineStr">
        <is>
          <t>IF(OR(F180="",AM180=""),"",IF(COUNT(AI180:AL180)=0,"",AM180-LOOKUP(2,1/(AI180:AL180&lt;&gt;""),AI180:AL180)))</t>
        </is>
      </c>
      <c r="BA180" s="49" t="inlineStr">
        <is>
          <t>IF(OR(F180="",AN180=""),"",IF(COUNT(AI180:AM180)=0,"",AN180-LOOKUP(2,1/(AI180:AM180&lt;&gt;""),AI180:AM180)))</t>
        </is>
      </c>
      <c r="BB180" s="49" t="inlineStr">
        <is>
          <t>IF(OR(F180="",AO180=""),"",IF(COUNT(AI180:AN180)=0,"",AO180-LOOKUP(2,1/(AI180:AN180&lt;&gt;""),AI180:AN180)))</t>
        </is>
      </c>
      <c r="BC180" s="49" t="inlineStr">
        <is>
          <t>IF(OR(F180="",AP180=""),"",IF(COUNT(AI180:AO180)=0,"",AP180-LOOKUP(2,1/(AI180:AO180&lt;&gt;""),AI180:AO180)))</t>
        </is>
      </c>
      <c r="BD180" s="49" t="inlineStr">
        <is>
          <t>IF(OR(F180="",AQ180=""),"",IF(COUNT(AI180:AP180)=0,"",AQ180-LOOKUP(2,1/(AI180:AP180&lt;&gt;""),AI180:AP180)))</t>
        </is>
      </c>
      <c r="BE180" s="49" t="inlineStr">
        <is>
          <t>IF(OR(F180="",AR180=""),"",IF(COUNT(AI180:AQ180)=0,"",AR180-LOOKUP(2,1/(AI180:AQ180&lt;&gt;""),AI180:AQ180)))</t>
        </is>
      </c>
      <c r="BF180" s="49" t="inlineStr">
        <is>
          <t>IF(OR(F180="",AS180=""),"",IF(COUNT(AI180:AR180)=0,"",AS180-LOOKUP(2,1/(AI180:AR180&lt;&gt;""),AI180:AR180)))</t>
        </is>
      </c>
      <c r="BG180" s="49" t="inlineStr">
        <is>
          <t>IF(OR(F180="",AT180=""),"",IF(COUNT(AI180:AS180)=0,"",AT180-LOOKUP(2,1/(AI180:AS180&lt;&gt;""),AI180:AS180)))</t>
        </is>
      </c>
      <c r="BH180" s="49" t="inlineStr">
        <is>
          <t>IF(OR(F180="",AU180=""),"",IF(COUNT(AI180:AT180)=0,"",AU180-LOOKUP(2,1/(AI180:AT180&lt;&gt;""),AI180:AT180)))</t>
        </is>
      </c>
      <c r="BI180" s="49" t="inlineStr">
        <is>
          <t>IF(OR(F180="",AV180=""),"",IF(COUNT(AI180:AU180)=0,"",AV180-LOOKUP(2,1/(AI180:AU180&lt;&gt;""),AI180:AU180)))</t>
        </is>
      </c>
      <c r="BJ180" s="51" t="inlineStr">
        <is>
          <t>IF(J180="","All_Provinces",IFERROR(VLOOKUP(J180,'09_Lookups'!$A$4:$B$20,2,FALSE),"All_Provinces"))</t>
        </is>
      </c>
      <c r="BK180" s="51" t="inlineStr">
        <is>
          <t>IF(K180="","All_Districts",IFERROR(VLOOKUP(K180,'09_Lookups'!$E$4:$F$42,2,FALSE),"All_Districts"))</t>
        </is>
      </c>
    </row>
    <row r="181" ht="18" customHeight="1">
      <c r="A181" s="42" t="inlineStr">
        <is>
          <t>IF(F181="","",ROW()-3)</t>
        </is>
      </c>
      <c r="B181" s="44" t="n"/>
      <c r="C181" s="44" t="n"/>
      <c r="D181" s="44" t="n"/>
      <c r="E181" s="44" t="n"/>
      <c r="F181" s="44" t="n"/>
      <c r="G181" s="44" t="n"/>
      <c r="H181" s="44" t="n"/>
      <c r="I181" s="44" t="n"/>
      <c r="J181" s="44" t="n"/>
      <c r="K181" s="44" t="n"/>
      <c r="L181" s="44" t="n"/>
      <c r="M181" s="44" t="n"/>
      <c r="N181" s="44" t="n"/>
      <c r="O181" s="44" t="n"/>
      <c r="P181" s="44" t="n"/>
      <c r="Q181" s="44" t="n"/>
      <c r="R181" s="44" t="n"/>
      <c r="S181" s="45" t="n"/>
      <c r="T181" s="46" t="inlineStr">
        <is>
          <t>IF(AQ181="","",AQ181)</t>
        </is>
      </c>
      <c r="U181" s="47" t="n"/>
      <c r="V181" s="48" t="n"/>
      <c r="W181" s="47" t="n"/>
      <c r="X181" s="46" t="inlineStr">
        <is>
          <t>IF(W181&lt;&gt;"",W181,IF(OR(T181="",V181=""),"",EDATE(T181,V181)))</t>
        </is>
      </c>
      <c r="Y181" s="47" t="n"/>
      <c r="Z181" s="48" t="n"/>
      <c r="AA181" s="44" t="n"/>
      <c r="AB181" s="44" t="n"/>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47" t="n"/>
      <c r="AJ181" s="47" t="n"/>
      <c r="AK181" s="47" t="n"/>
      <c r="AL181" s="47" t="n"/>
      <c r="AM181" s="47" t="n"/>
      <c r="AN181" s="47" t="n"/>
      <c r="AO181" s="47" t="n"/>
      <c r="AP181" s="47" t="n"/>
      <c r="AQ181" s="47" t="n"/>
      <c r="AR181" s="47" t="n"/>
      <c r="AS181" s="4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42" t="inlineStr">
        <is>
          <t>IF(F182="","",ROW()-3)</t>
        </is>
      </c>
      <c r="B182" s="52" t="n"/>
      <c r="C182" s="52" t="n"/>
      <c r="D182" s="52" t="n"/>
      <c r="E182" s="52" t="n"/>
      <c r="F182" s="52" t="n"/>
      <c r="G182" s="52" t="n"/>
      <c r="H182" s="52" t="n"/>
      <c r="I182" s="52" t="n"/>
      <c r="J182" s="52" t="n"/>
      <c r="K182" s="52" t="n"/>
      <c r="L182" s="52" t="n"/>
      <c r="M182" s="52" t="n"/>
      <c r="N182" s="52" t="n"/>
      <c r="O182" s="52" t="n"/>
      <c r="P182" s="52" t="n"/>
      <c r="Q182" s="52" t="n"/>
      <c r="R182" s="52" t="n"/>
      <c r="S182" s="53" t="n"/>
      <c r="T182" s="46" t="inlineStr">
        <is>
          <t>IF(AQ182="","",AQ182)</t>
        </is>
      </c>
      <c r="U182" s="54" t="n"/>
      <c r="V182" s="55" t="n"/>
      <c r="W182" s="54" t="n"/>
      <c r="X182" s="46" t="inlineStr">
        <is>
          <t>IF(W182&lt;&gt;"",W182,IF(OR(T182="",V182=""),"",EDATE(T182,V182)))</t>
        </is>
      </c>
      <c r="Y182" s="54" t="n"/>
      <c r="Z182" s="55" t="n"/>
      <c r="AA182" s="52" t="n"/>
      <c r="AB182" s="52" t="n"/>
      <c r="AC182" s="42" t="inlineStr">
        <is>
          <t>IF(F182="","",IF(COUNT(AI182:AV182)=0,IF(AA182="","Not started",AA182),SUBSTITUTE(LOOKUP(2,1/(AI182:AV182&lt;&gt;""),$AI$3:$AV$3),"Date: ","")))</t>
        </is>
      </c>
      <c r="AD182" s="49" t="inlineStr">
        <is>
          <t>IF(OR(F182="",COUNT(AI182:AV182)=0),"",TODAY()-LOOKUP(2,1/(AI182:AV182&lt;&gt;""),AI182:AV182))</t>
        </is>
      </c>
      <c r="AE182" s="49" t="inlineStr">
        <is>
          <t>IF(OR(F182="",COUNT(AI182:AV182)&lt;2),"",LOOKUP(2,1/(AI182:AV182&lt;&gt;""),AI182:AV182)-MIN(AI182:AV182))</t>
        </is>
      </c>
      <c r="AF182" s="49" t="inlineStr">
        <is>
          <t>IF(OR(AD182="",AC182="Not started",AC182=""),"",IFERROR(AD182-IF(VLOOKUP(AC182,'06_Status_Pipeline'!$B$3:$E$20,4,FALSE)="",0,VLOOKUP(AC182,'06_Status_Pipeline'!$B$3:$E$20,4,FALSE)),""))</t>
        </is>
      </c>
      <c r="AG182" s="4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49" t="inlineStr">
        <is>
          <t>IF(OR(F182="",AC182="Completed / Handover",AC182="Cancelled"),"",IF(O182="Not awarded",IF(U182&lt;&gt;"",U182-TODAY(),IF(X182="","",X182-TODAY())),IF(X182="","",X182-TODAY())))</t>
        </is>
      </c>
      <c r="AI182" s="54" t="n"/>
      <c r="AJ182" s="54" t="n"/>
      <c r="AK182" s="54" t="n"/>
      <c r="AL182" s="54" t="n"/>
      <c r="AM182" s="54" t="n"/>
      <c r="AN182" s="54" t="n"/>
      <c r="AO182" s="54" t="n"/>
      <c r="AP182" s="54" t="n"/>
      <c r="AQ182" s="54" t="n"/>
      <c r="AR182" s="54" t="n"/>
      <c r="AS182" s="54" t="n"/>
      <c r="AT182" s="50" t="n"/>
      <c r="AU182" s="50" t="n"/>
      <c r="AV182" s="50" t="n"/>
      <c r="AW182" s="49" t="inlineStr">
        <is>
          <t>IF(OR(F182="",AJ182=""),"",IF(COUNT(AI182:AI182)=0,"",AJ182-LOOKUP(2,1/(AI182:AI182&lt;&gt;""),AI182:AI182)))</t>
        </is>
      </c>
      <c r="AX182" s="49" t="inlineStr">
        <is>
          <t>IF(OR(F182="",AK182=""),"",IF(COUNT(AI182:AJ182)=0,"",AK182-LOOKUP(2,1/(AI182:AJ182&lt;&gt;""),AI182:AJ182)))</t>
        </is>
      </c>
      <c r="AY182" s="49" t="inlineStr">
        <is>
          <t>IF(OR(F182="",AL182=""),"",IF(COUNT(AI182:AK182)=0,"",AL182-LOOKUP(2,1/(AI182:AK182&lt;&gt;""),AI182:AK182)))</t>
        </is>
      </c>
      <c r="AZ182" s="49" t="inlineStr">
        <is>
          <t>IF(OR(F182="",AM182=""),"",IF(COUNT(AI182:AL182)=0,"",AM182-LOOKUP(2,1/(AI182:AL182&lt;&gt;""),AI182:AL182)))</t>
        </is>
      </c>
      <c r="BA182" s="49" t="inlineStr">
        <is>
          <t>IF(OR(F182="",AN182=""),"",IF(COUNT(AI182:AM182)=0,"",AN182-LOOKUP(2,1/(AI182:AM182&lt;&gt;""),AI182:AM182)))</t>
        </is>
      </c>
      <c r="BB182" s="49" t="inlineStr">
        <is>
          <t>IF(OR(F182="",AO182=""),"",IF(COUNT(AI182:AN182)=0,"",AO182-LOOKUP(2,1/(AI182:AN182&lt;&gt;""),AI182:AN182)))</t>
        </is>
      </c>
      <c r="BC182" s="49" t="inlineStr">
        <is>
          <t>IF(OR(F182="",AP182=""),"",IF(COUNT(AI182:AO182)=0,"",AP182-LOOKUP(2,1/(AI182:AO182&lt;&gt;""),AI182:AO182)))</t>
        </is>
      </c>
      <c r="BD182" s="49" t="inlineStr">
        <is>
          <t>IF(OR(F182="",AQ182=""),"",IF(COUNT(AI182:AP182)=0,"",AQ182-LOOKUP(2,1/(AI182:AP182&lt;&gt;""),AI182:AP182)))</t>
        </is>
      </c>
      <c r="BE182" s="49" t="inlineStr">
        <is>
          <t>IF(OR(F182="",AR182=""),"",IF(COUNT(AI182:AQ182)=0,"",AR182-LOOKUP(2,1/(AI182:AQ182&lt;&gt;""),AI182:AQ182)))</t>
        </is>
      </c>
      <c r="BF182" s="49" t="inlineStr">
        <is>
          <t>IF(OR(F182="",AS182=""),"",IF(COUNT(AI182:AR182)=0,"",AS182-LOOKUP(2,1/(AI182:AR182&lt;&gt;""),AI182:AR182)))</t>
        </is>
      </c>
      <c r="BG182" s="49" t="inlineStr">
        <is>
          <t>IF(OR(F182="",AT182=""),"",IF(COUNT(AI182:AS182)=0,"",AT182-LOOKUP(2,1/(AI182:AS182&lt;&gt;""),AI182:AS182)))</t>
        </is>
      </c>
      <c r="BH182" s="49" t="inlineStr">
        <is>
          <t>IF(OR(F182="",AU182=""),"",IF(COUNT(AI182:AT182)=0,"",AU182-LOOKUP(2,1/(AI182:AT182&lt;&gt;""),AI182:AT182)))</t>
        </is>
      </c>
      <c r="BI182" s="49" t="inlineStr">
        <is>
          <t>IF(OR(F182="",AV182=""),"",IF(COUNT(AI182:AU182)=0,"",AV182-LOOKUP(2,1/(AI182:AU182&lt;&gt;""),AI182:AU182)))</t>
        </is>
      </c>
      <c r="BJ182" s="51" t="inlineStr">
        <is>
          <t>IF(J182="","All_Provinces",IFERROR(VLOOKUP(J182,'09_Lookups'!$A$4:$B$20,2,FALSE),"All_Provinces"))</t>
        </is>
      </c>
      <c r="BK182" s="51" t="inlineStr">
        <is>
          <t>IF(K182="","All_Districts",IFERROR(VLOOKUP(K182,'09_Lookups'!$E$4:$F$42,2,FALSE),"All_Districts"))</t>
        </is>
      </c>
    </row>
    <row r="183" ht="18" customHeight="1">
      <c r="A183" s="42" t="inlineStr">
        <is>
          <t>IF(F183="","",ROW()-3)</t>
        </is>
      </c>
      <c r="B183" s="44" t="n"/>
      <c r="C183" s="44" t="n"/>
      <c r="D183" s="44" t="n"/>
      <c r="E183" s="44" t="n"/>
      <c r="F183" s="44" t="n"/>
      <c r="G183" s="44" t="n"/>
      <c r="H183" s="44" t="n"/>
      <c r="I183" s="44" t="n"/>
      <c r="J183" s="44" t="n"/>
      <c r="K183" s="44" t="n"/>
      <c r="L183" s="44" t="n"/>
      <c r="M183" s="44" t="n"/>
      <c r="N183" s="44" t="n"/>
      <c r="O183" s="44" t="n"/>
      <c r="P183" s="44" t="n"/>
      <c r="Q183" s="44" t="n"/>
      <c r="R183" s="44" t="n"/>
      <c r="S183" s="45" t="n"/>
      <c r="T183" s="46" t="inlineStr">
        <is>
          <t>IF(AQ183="","",AQ183)</t>
        </is>
      </c>
      <c r="U183" s="47" t="n"/>
      <c r="V183" s="48" t="n"/>
      <c r="W183" s="47" t="n"/>
      <c r="X183" s="46" t="inlineStr">
        <is>
          <t>IF(W183&lt;&gt;"",W183,IF(OR(T183="",V183=""),"",EDATE(T183,V183)))</t>
        </is>
      </c>
      <c r="Y183" s="47" t="n"/>
      <c r="Z183" s="48" t="n"/>
      <c r="AA183" s="44" t="n"/>
      <c r="AB183" s="44" t="n"/>
      <c r="AC183" s="42" t="inlineStr">
        <is>
          <t>IF(F183="","",IF(COUNT(AI183:AV183)=0,IF(AA183="","Not started",AA183),SUBSTITUTE(LOOKUP(2,1/(AI183:AV183&lt;&gt;""),$AI$3:$AV$3),"Date: ","")))</t>
        </is>
      </c>
      <c r="AD183" s="49" t="inlineStr">
        <is>
          <t>IF(OR(F183="",COUNT(AI183:AV183)=0),"",TODAY()-LOOKUP(2,1/(AI183:AV183&lt;&gt;""),AI183:AV183))</t>
        </is>
      </c>
      <c r="AE183" s="49" t="inlineStr">
        <is>
          <t>IF(OR(F183="",COUNT(AI183:AV183)&lt;2),"",LOOKUP(2,1/(AI183:AV183&lt;&gt;""),AI183:AV183)-MIN(AI183:AV183))</t>
        </is>
      </c>
      <c r="AF183" s="49" t="inlineStr">
        <is>
          <t>IF(OR(AD183="",AC183="Not started",AC183=""),"",IFERROR(AD183-IF(VLOOKUP(AC183,'06_Status_Pipeline'!$B$3:$E$20,4,FALSE)="",0,VLOOKUP(AC183,'06_Status_Pipeline'!$B$3:$E$20,4,FALSE)),""))</t>
        </is>
      </c>
      <c r="AG183" s="4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49" t="inlineStr">
        <is>
          <t>IF(OR(F183="",AC183="Completed / Handover",AC183="Cancelled"),"",IF(O183="Not awarded",IF(U183&lt;&gt;"",U183-TODAY(),IF(X183="","",X183-TODAY())),IF(X183="","",X183-TODAY())))</t>
        </is>
      </c>
      <c r="AI183" s="47" t="n"/>
      <c r="AJ183" s="47" t="n"/>
      <c r="AK183" s="47" t="n"/>
      <c r="AL183" s="47" t="n"/>
      <c r="AM183" s="47" t="n"/>
      <c r="AN183" s="47" t="n"/>
      <c r="AO183" s="47" t="n"/>
      <c r="AP183" s="47" t="n"/>
      <c r="AQ183" s="47" t="n"/>
      <c r="AR183" s="47" t="n"/>
      <c r="AS183" s="47" t="n"/>
      <c r="AT183" s="50" t="n"/>
      <c r="AU183" s="50" t="n"/>
      <c r="AV183" s="50" t="n"/>
      <c r="AW183" s="49" t="inlineStr">
        <is>
          <t>IF(OR(F183="",AJ183=""),"",IF(COUNT(AI183:AI183)=0,"",AJ183-LOOKUP(2,1/(AI183:AI183&lt;&gt;""),AI183:AI183)))</t>
        </is>
      </c>
      <c r="AX183" s="49" t="inlineStr">
        <is>
          <t>IF(OR(F183="",AK183=""),"",IF(COUNT(AI183:AJ183)=0,"",AK183-LOOKUP(2,1/(AI183:AJ183&lt;&gt;""),AI183:AJ183)))</t>
        </is>
      </c>
      <c r="AY183" s="49" t="inlineStr">
        <is>
          <t>IF(OR(F183="",AL183=""),"",IF(COUNT(AI183:AK183)=0,"",AL183-LOOKUP(2,1/(AI183:AK183&lt;&gt;""),AI183:AK183)))</t>
        </is>
      </c>
      <c r="AZ183" s="49" t="inlineStr">
        <is>
          <t>IF(OR(F183="",AM183=""),"",IF(COUNT(AI183:AL183)=0,"",AM183-LOOKUP(2,1/(AI183:AL183&lt;&gt;""),AI183:AL183)))</t>
        </is>
      </c>
      <c r="BA183" s="49" t="inlineStr">
        <is>
          <t>IF(OR(F183="",AN183=""),"",IF(COUNT(AI183:AM183)=0,"",AN183-LOOKUP(2,1/(AI183:AM183&lt;&gt;""),AI183:AM183)))</t>
        </is>
      </c>
      <c r="BB183" s="49" t="inlineStr">
        <is>
          <t>IF(OR(F183="",AO183=""),"",IF(COUNT(AI183:AN183)=0,"",AO183-LOOKUP(2,1/(AI183:AN183&lt;&gt;""),AI183:AN183)))</t>
        </is>
      </c>
      <c r="BC183" s="49" t="inlineStr">
        <is>
          <t>IF(OR(F183="",AP183=""),"",IF(COUNT(AI183:AO183)=0,"",AP183-LOOKUP(2,1/(AI183:AO183&lt;&gt;""),AI183:AO183)))</t>
        </is>
      </c>
      <c r="BD183" s="49" t="inlineStr">
        <is>
          <t>IF(OR(F183="",AQ183=""),"",IF(COUNT(AI183:AP183)=0,"",AQ183-LOOKUP(2,1/(AI183:AP183&lt;&gt;""),AI183:AP183)))</t>
        </is>
      </c>
      <c r="BE183" s="49" t="inlineStr">
        <is>
          <t>IF(OR(F183="",AR183=""),"",IF(COUNT(AI183:AQ183)=0,"",AR183-LOOKUP(2,1/(AI183:AQ183&lt;&gt;""),AI183:AQ183)))</t>
        </is>
      </c>
      <c r="BF183" s="49" t="inlineStr">
        <is>
          <t>IF(OR(F183="",AS183=""),"",IF(COUNT(AI183:AR183)=0,"",AS183-LOOKUP(2,1/(AI183:AR183&lt;&gt;""),AI183:AR183)))</t>
        </is>
      </c>
      <c r="BG183" s="49" t="inlineStr">
        <is>
          <t>IF(OR(F183="",AT183=""),"",IF(COUNT(AI183:AS183)=0,"",AT183-LOOKUP(2,1/(AI183:AS183&lt;&gt;""),AI183:AS183)))</t>
        </is>
      </c>
      <c r="BH183" s="49" t="inlineStr">
        <is>
          <t>IF(OR(F183="",AU183=""),"",IF(COUNT(AI183:AT183)=0,"",AU183-LOOKUP(2,1/(AI183:AT183&lt;&gt;""),AI183:AT183)))</t>
        </is>
      </c>
      <c r="BI183" s="49" t="inlineStr">
        <is>
          <t>IF(OR(F183="",AV183=""),"",IF(COUNT(AI183:AU183)=0,"",AV183-LOOKUP(2,1/(AI183:AU183&lt;&gt;""),AI183:AU183)))</t>
        </is>
      </c>
      <c r="BJ183" s="51" t="inlineStr">
        <is>
          <t>IF(J183="","All_Provinces",IFERROR(VLOOKUP(J183,'09_Lookups'!$A$4:$B$20,2,FALSE),"All_Provinces"))</t>
        </is>
      </c>
      <c r="BK183" s="51" t="inlineStr">
        <is>
          <t>IF(K183="","All_Districts",IFERROR(VLOOKUP(K183,'09_Lookups'!$E$4:$F$42,2,FALSE),"All_Districts"))</t>
        </is>
      </c>
    </row>
    <row r="184" ht="18" customHeight="1">
      <c r="A184" s="42" t="inlineStr">
        <is>
          <t>IF(F184="","",ROW()-3)</t>
        </is>
      </c>
      <c r="B184" s="52" t="n"/>
      <c r="C184" s="52" t="n"/>
      <c r="D184" s="52" t="n"/>
      <c r="E184" s="52" t="n"/>
      <c r="F184" s="52" t="n"/>
      <c r="G184" s="52" t="n"/>
      <c r="H184" s="52" t="n"/>
      <c r="I184" s="52" t="n"/>
      <c r="J184" s="52" t="n"/>
      <c r="K184" s="52" t="n"/>
      <c r="L184" s="52" t="n"/>
      <c r="M184" s="52" t="n"/>
      <c r="N184" s="52" t="n"/>
      <c r="O184" s="52" t="n"/>
      <c r="P184" s="52" t="n"/>
      <c r="Q184" s="52" t="n"/>
      <c r="R184" s="52" t="n"/>
      <c r="S184" s="53" t="n"/>
      <c r="T184" s="46" t="inlineStr">
        <is>
          <t>IF(AQ184="","",AQ184)</t>
        </is>
      </c>
      <c r="U184" s="54" t="n"/>
      <c r="V184" s="55" t="n"/>
      <c r="W184" s="54" t="n"/>
      <c r="X184" s="46" t="inlineStr">
        <is>
          <t>IF(W184&lt;&gt;"",W184,IF(OR(T184="",V184=""),"",EDATE(T184,V184)))</t>
        </is>
      </c>
      <c r="Y184" s="54" t="n"/>
      <c r="Z184" s="55" t="n"/>
      <c r="AA184" s="52" t="n"/>
      <c r="AB184" s="52" t="n"/>
      <c r="AC184" s="42" t="inlineStr">
        <is>
          <t>IF(F184="","",IF(COUNT(AI184:AV184)=0,IF(AA184="","Not started",AA184),SUBSTITUTE(LOOKUP(2,1/(AI184:AV184&lt;&gt;""),$AI$3:$AV$3),"Date: ","")))</t>
        </is>
      </c>
      <c r="AD184" s="49" t="inlineStr">
        <is>
          <t>IF(OR(F184="",COUNT(AI184:AV184)=0),"",TODAY()-LOOKUP(2,1/(AI184:AV184&lt;&gt;""),AI184:AV184))</t>
        </is>
      </c>
      <c r="AE184" s="49" t="inlineStr">
        <is>
          <t>IF(OR(F184="",COUNT(AI184:AV184)&lt;2),"",LOOKUP(2,1/(AI184:AV184&lt;&gt;""),AI184:AV184)-MIN(AI184:AV184))</t>
        </is>
      </c>
      <c r="AF184" s="49" t="inlineStr">
        <is>
          <t>IF(OR(AD184="",AC184="Not started",AC184=""),"",IFERROR(AD184-IF(VLOOKUP(AC184,'06_Status_Pipeline'!$B$3:$E$20,4,FALSE)="",0,VLOOKUP(AC184,'06_Status_Pipeline'!$B$3:$E$20,4,FALSE)),""))</t>
        </is>
      </c>
      <c r="AG184" s="4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49" t="inlineStr">
        <is>
          <t>IF(OR(F184="",AC184="Completed / Handover",AC184="Cancelled"),"",IF(O184="Not awarded",IF(U184&lt;&gt;"",U184-TODAY(),IF(X184="","",X184-TODAY())),IF(X184="","",X184-TODAY())))</t>
        </is>
      </c>
      <c r="AI184" s="54" t="n"/>
      <c r="AJ184" s="54" t="n"/>
      <c r="AK184" s="54" t="n"/>
      <c r="AL184" s="54" t="n"/>
      <c r="AM184" s="54" t="n"/>
      <c r="AN184" s="54" t="n"/>
      <c r="AO184" s="54" t="n"/>
      <c r="AP184" s="54" t="n"/>
      <c r="AQ184" s="54" t="n"/>
      <c r="AR184" s="54" t="n"/>
      <c r="AS184" s="54" t="n"/>
      <c r="AT184" s="50" t="n"/>
      <c r="AU184" s="50" t="n"/>
      <c r="AV184" s="50" t="n"/>
      <c r="AW184" s="49" t="inlineStr">
        <is>
          <t>IF(OR(F184="",AJ184=""),"",IF(COUNT(AI184:AI184)=0,"",AJ184-LOOKUP(2,1/(AI184:AI184&lt;&gt;""),AI184:AI184)))</t>
        </is>
      </c>
      <c r="AX184" s="49" t="inlineStr">
        <is>
          <t>IF(OR(F184="",AK184=""),"",IF(COUNT(AI184:AJ184)=0,"",AK184-LOOKUP(2,1/(AI184:AJ184&lt;&gt;""),AI184:AJ184)))</t>
        </is>
      </c>
      <c r="AY184" s="49" t="inlineStr">
        <is>
          <t>IF(OR(F184="",AL184=""),"",IF(COUNT(AI184:AK184)=0,"",AL184-LOOKUP(2,1/(AI184:AK184&lt;&gt;""),AI184:AK184)))</t>
        </is>
      </c>
      <c r="AZ184" s="49" t="inlineStr">
        <is>
          <t>IF(OR(F184="",AM184=""),"",IF(COUNT(AI184:AL184)=0,"",AM184-LOOKUP(2,1/(AI184:AL184&lt;&gt;""),AI184:AL184)))</t>
        </is>
      </c>
      <c r="BA184" s="49" t="inlineStr">
        <is>
          <t>IF(OR(F184="",AN184=""),"",IF(COUNT(AI184:AM184)=0,"",AN184-LOOKUP(2,1/(AI184:AM184&lt;&gt;""),AI184:AM184)))</t>
        </is>
      </c>
      <c r="BB184" s="49" t="inlineStr">
        <is>
          <t>IF(OR(F184="",AO184=""),"",IF(COUNT(AI184:AN184)=0,"",AO184-LOOKUP(2,1/(AI184:AN184&lt;&gt;""),AI184:AN184)))</t>
        </is>
      </c>
      <c r="BC184" s="49" t="inlineStr">
        <is>
          <t>IF(OR(F184="",AP184=""),"",IF(COUNT(AI184:AO184)=0,"",AP184-LOOKUP(2,1/(AI184:AO184&lt;&gt;""),AI184:AO184)))</t>
        </is>
      </c>
      <c r="BD184" s="49" t="inlineStr">
        <is>
          <t>IF(OR(F184="",AQ184=""),"",IF(COUNT(AI184:AP184)=0,"",AQ184-LOOKUP(2,1/(AI184:AP184&lt;&gt;""),AI184:AP184)))</t>
        </is>
      </c>
      <c r="BE184" s="49" t="inlineStr">
        <is>
          <t>IF(OR(F184="",AR184=""),"",IF(COUNT(AI184:AQ184)=0,"",AR184-LOOKUP(2,1/(AI184:AQ184&lt;&gt;""),AI184:AQ184)))</t>
        </is>
      </c>
      <c r="BF184" s="49" t="inlineStr">
        <is>
          <t>IF(OR(F184="",AS184=""),"",IF(COUNT(AI184:AR184)=0,"",AS184-LOOKUP(2,1/(AI184:AR184&lt;&gt;""),AI184:AR184)))</t>
        </is>
      </c>
      <c r="BG184" s="49" t="inlineStr">
        <is>
          <t>IF(OR(F184="",AT184=""),"",IF(COUNT(AI184:AS184)=0,"",AT184-LOOKUP(2,1/(AI184:AS184&lt;&gt;""),AI184:AS184)))</t>
        </is>
      </c>
      <c r="BH184" s="49" t="inlineStr">
        <is>
          <t>IF(OR(F184="",AU184=""),"",IF(COUNT(AI184:AT184)=0,"",AU184-LOOKUP(2,1/(AI184:AT184&lt;&gt;""),AI184:AT184)))</t>
        </is>
      </c>
      <c r="BI184" s="49" t="inlineStr">
        <is>
          <t>IF(OR(F184="",AV184=""),"",IF(COUNT(AI184:AU184)=0,"",AV184-LOOKUP(2,1/(AI184:AU184&lt;&gt;""),AI184:AU184)))</t>
        </is>
      </c>
      <c r="BJ184" s="51" t="inlineStr">
        <is>
          <t>IF(J184="","All_Provinces",IFERROR(VLOOKUP(J184,'09_Lookups'!$A$4:$B$20,2,FALSE),"All_Provinces"))</t>
        </is>
      </c>
      <c r="BK184" s="51" t="inlineStr">
        <is>
          <t>IF(K184="","All_Districts",IFERROR(VLOOKUP(K184,'09_Lookups'!$E$4:$F$42,2,FALSE),"All_Districts"))</t>
        </is>
      </c>
    </row>
    <row r="185" ht="18" customHeight="1">
      <c r="A185" s="42" t="inlineStr">
        <is>
          <t>IF(F185="","",ROW()-3)</t>
        </is>
      </c>
      <c r="B185" s="44" t="n"/>
      <c r="C185" s="44" t="n"/>
      <c r="D185" s="44" t="n"/>
      <c r="E185" s="44" t="n"/>
      <c r="F185" s="44" t="n"/>
      <c r="G185" s="44" t="n"/>
      <c r="H185" s="44" t="n"/>
      <c r="I185" s="44" t="n"/>
      <c r="J185" s="44" t="n"/>
      <c r="K185" s="44" t="n"/>
      <c r="L185" s="44" t="n"/>
      <c r="M185" s="44" t="n"/>
      <c r="N185" s="44" t="n"/>
      <c r="O185" s="44" t="n"/>
      <c r="P185" s="44" t="n"/>
      <c r="Q185" s="44" t="n"/>
      <c r="R185" s="44" t="n"/>
      <c r="S185" s="45" t="n"/>
      <c r="T185" s="46" t="inlineStr">
        <is>
          <t>IF(AQ185="","",AQ185)</t>
        </is>
      </c>
      <c r="U185" s="47" t="n"/>
      <c r="V185" s="48" t="n"/>
      <c r="W185" s="47" t="n"/>
      <c r="X185" s="46" t="inlineStr">
        <is>
          <t>IF(W185&lt;&gt;"",W185,IF(OR(T185="",V185=""),"",EDATE(T185,V185)))</t>
        </is>
      </c>
      <c r="Y185" s="47" t="n"/>
      <c r="Z185" s="48" t="n"/>
      <c r="AA185" s="44" t="n"/>
      <c r="AB185" s="44" t="n"/>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42" t="inlineStr">
        <is>
          <t>IF(F186="","",ROW()-3)</t>
        </is>
      </c>
      <c r="B186" s="52" t="n"/>
      <c r="C186" s="52" t="n"/>
      <c r="D186" s="52" t="n"/>
      <c r="E186" s="52" t="n"/>
      <c r="F186" s="52" t="n"/>
      <c r="G186" s="52" t="n"/>
      <c r="H186" s="52" t="n"/>
      <c r="I186" s="52" t="n"/>
      <c r="J186" s="52" t="n"/>
      <c r="K186" s="52" t="n"/>
      <c r="L186" s="52" t="n"/>
      <c r="M186" s="52" t="n"/>
      <c r="N186" s="52" t="n"/>
      <c r="O186" s="52" t="n"/>
      <c r="P186" s="52" t="n"/>
      <c r="Q186" s="52" t="n"/>
      <c r="R186" s="52" t="n"/>
      <c r="S186" s="53" t="n"/>
      <c r="T186" s="46" t="inlineStr">
        <is>
          <t>IF(AQ186="","",AQ186)</t>
        </is>
      </c>
      <c r="U186" s="54" t="n"/>
      <c r="V186" s="55" t="n"/>
      <c r="W186" s="54" t="n"/>
      <c r="X186" s="46" t="inlineStr">
        <is>
          <t>IF(W186&lt;&gt;"",W186,IF(OR(T186="",V186=""),"",EDATE(T186,V186)))</t>
        </is>
      </c>
      <c r="Y186" s="54" t="n"/>
      <c r="Z186" s="55" t="n"/>
      <c r="AA186" s="52" t="n"/>
      <c r="AB186" s="52" t="n"/>
      <c r="AC186" s="42" t="inlineStr">
        <is>
          <t>IF(F186="","",IF(COUNT(AI186:AV186)=0,IF(AA186="","Not started",AA186),SUBSTITUTE(LOOKUP(2,1/(AI186:AV186&lt;&gt;""),$AI$3:$AV$3),"Date: ","")))</t>
        </is>
      </c>
      <c r="AD186" s="49" t="inlineStr">
        <is>
          <t>IF(OR(F186="",COUNT(AI186:AV186)=0),"",TODAY()-LOOKUP(2,1/(AI186:AV186&lt;&gt;""),AI186:AV186))</t>
        </is>
      </c>
      <c r="AE186" s="49" t="inlineStr">
        <is>
          <t>IF(OR(F186="",COUNT(AI186:AV186)&lt;2),"",LOOKUP(2,1/(AI186:AV186&lt;&gt;""),AI186:AV186)-MIN(AI186:AV186))</t>
        </is>
      </c>
      <c r="AF186" s="49" t="inlineStr">
        <is>
          <t>IF(OR(AD186="",AC186="Not started",AC186=""),"",IFERROR(AD186-IF(VLOOKUP(AC186,'06_Status_Pipeline'!$B$3:$E$20,4,FALSE)="",0,VLOOKUP(AC186,'06_Status_Pipeline'!$B$3:$E$20,4,FALSE)),""))</t>
        </is>
      </c>
      <c r="AG186" s="4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49" t="inlineStr">
        <is>
          <t>IF(OR(F186="",AC186="Completed / Handover",AC186="Cancelled"),"",IF(O186="Not awarded",IF(U186&lt;&gt;"",U186-TODAY(),IF(X186="","",X186-TODAY())),IF(X186="","",X186-TODAY())))</t>
        </is>
      </c>
      <c r="AI186" s="54" t="n"/>
      <c r="AJ186" s="54" t="n"/>
      <c r="AK186" s="54" t="n"/>
      <c r="AL186" s="54" t="n"/>
      <c r="AM186" s="54" t="n"/>
      <c r="AN186" s="54" t="n"/>
      <c r="AO186" s="54" t="n"/>
      <c r="AP186" s="54" t="n"/>
      <c r="AQ186" s="54" t="n"/>
      <c r="AR186" s="54" t="n"/>
      <c r="AS186" s="54" t="n"/>
      <c r="AT186" s="50" t="n"/>
      <c r="AU186" s="50" t="n"/>
      <c r="AV186" s="50" t="n"/>
      <c r="AW186" s="49" t="inlineStr">
        <is>
          <t>IF(OR(F186="",AJ186=""),"",IF(COUNT(AI186:AI186)=0,"",AJ186-LOOKUP(2,1/(AI186:AI186&lt;&gt;""),AI186:AI186)))</t>
        </is>
      </c>
      <c r="AX186" s="49" t="inlineStr">
        <is>
          <t>IF(OR(F186="",AK186=""),"",IF(COUNT(AI186:AJ186)=0,"",AK186-LOOKUP(2,1/(AI186:AJ186&lt;&gt;""),AI186:AJ186)))</t>
        </is>
      </c>
      <c r="AY186" s="49" t="inlineStr">
        <is>
          <t>IF(OR(F186="",AL186=""),"",IF(COUNT(AI186:AK186)=0,"",AL186-LOOKUP(2,1/(AI186:AK186&lt;&gt;""),AI186:AK186)))</t>
        </is>
      </c>
      <c r="AZ186" s="49" t="inlineStr">
        <is>
          <t>IF(OR(F186="",AM186=""),"",IF(COUNT(AI186:AL186)=0,"",AM186-LOOKUP(2,1/(AI186:AL186&lt;&gt;""),AI186:AL186)))</t>
        </is>
      </c>
      <c r="BA186" s="49" t="inlineStr">
        <is>
          <t>IF(OR(F186="",AN186=""),"",IF(COUNT(AI186:AM186)=0,"",AN186-LOOKUP(2,1/(AI186:AM186&lt;&gt;""),AI186:AM186)))</t>
        </is>
      </c>
      <c r="BB186" s="49" t="inlineStr">
        <is>
          <t>IF(OR(F186="",AO186=""),"",IF(COUNT(AI186:AN186)=0,"",AO186-LOOKUP(2,1/(AI186:AN186&lt;&gt;""),AI186:AN186)))</t>
        </is>
      </c>
      <c r="BC186" s="49" t="inlineStr">
        <is>
          <t>IF(OR(F186="",AP186=""),"",IF(COUNT(AI186:AO186)=0,"",AP186-LOOKUP(2,1/(AI186:AO186&lt;&gt;""),AI186:AO186)))</t>
        </is>
      </c>
      <c r="BD186" s="49" t="inlineStr">
        <is>
          <t>IF(OR(F186="",AQ186=""),"",IF(COUNT(AI186:AP186)=0,"",AQ186-LOOKUP(2,1/(AI186:AP186&lt;&gt;""),AI186:AP186)))</t>
        </is>
      </c>
      <c r="BE186" s="49" t="inlineStr">
        <is>
          <t>IF(OR(F186="",AR186=""),"",IF(COUNT(AI186:AQ186)=0,"",AR186-LOOKUP(2,1/(AI186:AQ186&lt;&gt;""),AI186:AQ186)))</t>
        </is>
      </c>
      <c r="BF186" s="49" t="inlineStr">
        <is>
          <t>IF(OR(F186="",AS186=""),"",IF(COUNT(AI186:AR186)=0,"",AS186-LOOKUP(2,1/(AI186:AR186&lt;&gt;""),AI186:AR186)))</t>
        </is>
      </c>
      <c r="BG186" s="49" t="inlineStr">
        <is>
          <t>IF(OR(F186="",AT186=""),"",IF(COUNT(AI186:AS186)=0,"",AT186-LOOKUP(2,1/(AI186:AS186&lt;&gt;""),AI186:AS186)))</t>
        </is>
      </c>
      <c r="BH186" s="49" t="inlineStr">
        <is>
          <t>IF(OR(F186="",AU186=""),"",IF(COUNT(AI186:AT186)=0,"",AU186-LOOKUP(2,1/(AI186:AT186&lt;&gt;""),AI186:AT186)))</t>
        </is>
      </c>
      <c r="BI186" s="49" t="inlineStr">
        <is>
          <t>IF(OR(F186="",AV186=""),"",IF(COUNT(AI186:AU186)=0,"",AV186-LOOKUP(2,1/(AI186:AU186&lt;&gt;""),AI186:AU186)))</t>
        </is>
      </c>
      <c r="BJ186" s="51" t="inlineStr">
        <is>
          <t>IF(J186="","All_Provinces",IFERROR(VLOOKUP(J186,'09_Lookups'!$A$4:$B$20,2,FALSE),"All_Provinces"))</t>
        </is>
      </c>
      <c r="BK186" s="51" t="inlineStr">
        <is>
          <t>IF(K186="","All_Districts",IFERROR(VLOOKUP(K186,'09_Lookups'!$E$4:$F$42,2,FALSE),"All_Districts"))</t>
        </is>
      </c>
    </row>
    <row r="187" ht="18" customHeight="1">
      <c r="A187" s="42" t="inlineStr">
        <is>
          <t>IF(F187="","",ROW()-3)</t>
        </is>
      </c>
      <c r="B187" s="44" t="n"/>
      <c r="C187" s="44" t="n"/>
      <c r="D187" s="44" t="n"/>
      <c r="E187" s="44" t="n"/>
      <c r="F187" s="44" t="n"/>
      <c r="G187" s="44" t="n"/>
      <c r="H187" s="44" t="n"/>
      <c r="I187" s="44" t="n"/>
      <c r="J187" s="44" t="n"/>
      <c r="K187" s="44" t="n"/>
      <c r="L187" s="44" t="n"/>
      <c r="M187" s="44" t="n"/>
      <c r="N187" s="44" t="n"/>
      <c r="O187" s="44" t="n"/>
      <c r="P187" s="44" t="n"/>
      <c r="Q187" s="44" t="n"/>
      <c r="R187" s="44" t="n"/>
      <c r="S187" s="45" t="n"/>
      <c r="T187" s="46" t="inlineStr">
        <is>
          <t>IF(AQ187="","",AQ187)</t>
        </is>
      </c>
      <c r="U187" s="47" t="n"/>
      <c r="V187" s="48" t="n"/>
      <c r="W187" s="47" t="n"/>
      <c r="X187" s="46" t="inlineStr">
        <is>
          <t>IF(W187&lt;&gt;"",W187,IF(OR(T187="",V187=""),"",EDATE(T187,V187)))</t>
        </is>
      </c>
      <c r="Y187" s="47" t="n"/>
      <c r="Z187" s="48" t="n"/>
      <c r="AA187" s="44" t="n"/>
      <c r="AB187" s="44" t="n"/>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47" t="n"/>
      <c r="AJ187" s="47" t="n"/>
      <c r="AK187" s="47" t="n"/>
      <c r="AL187" s="47" t="n"/>
      <c r="AM187" s="47" t="n"/>
      <c r="AN187" s="47" t="n"/>
      <c r="AO187" s="47" t="n"/>
      <c r="AP187" s="47" t="n"/>
      <c r="AQ187" s="47" t="n"/>
      <c r="AR187" s="47" t="n"/>
      <c r="AS187" s="4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42" t="inlineStr">
        <is>
          <t>IF(F188="","",ROW()-3)</t>
        </is>
      </c>
      <c r="B188" s="52" t="n"/>
      <c r="C188" s="52" t="n"/>
      <c r="D188" s="52" t="n"/>
      <c r="E188" s="52" t="n"/>
      <c r="F188" s="52" t="n"/>
      <c r="G188" s="52" t="n"/>
      <c r="H188" s="52" t="n"/>
      <c r="I188" s="52" t="n"/>
      <c r="J188" s="52" t="n"/>
      <c r="K188" s="52" t="n"/>
      <c r="L188" s="52" t="n"/>
      <c r="M188" s="52" t="n"/>
      <c r="N188" s="52" t="n"/>
      <c r="O188" s="52" t="n"/>
      <c r="P188" s="52" t="n"/>
      <c r="Q188" s="52" t="n"/>
      <c r="R188" s="52" t="n"/>
      <c r="S188" s="53" t="n"/>
      <c r="T188" s="46" t="inlineStr">
        <is>
          <t>IF(AQ188="","",AQ188)</t>
        </is>
      </c>
      <c r="U188" s="54" t="n"/>
      <c r="V188" s="55" t="n"/>
      <c r="W188" s="54" t="n"/>
      <c r="X188" s="46" t="inlineStr">
        <is>
          <t>IF(W188&lt;&gt;"",W188,IF(OR(T188="",V188=""),"",EDATE(T188,V188)))</t>
        </is>
      </c>
      <c r="Y188" s="54" t="n"/>
      <c r="Z188" s="55" t="n"/>
      <c r="AA188" s="52" t="n"/>
      <c r="AB188" s="52" t="n"/>
      <c r="AC188" s="42" t="inlineStr">
        <is>
          <t>IF(F188="","",IF(COUNT(AI188:AV188)=0,IF(AA188="","Not started",AA188),SUBSTITUTE(LOOKUP(2,1/(AI188:AV188&lt;&gt;""),$AI$3:$AV$3),"Date: ","")))</t>
        </is>
      </c>
      <c r="AD188" s="49" t="inlineStr">
        <is>
          <t>IF(OR(F188="",COUNT(AI188:AV188)=0),"",TODAY()-LOOKUP(2,1/(AI188:AV188&lt;&gt;""),AI188:AV188))</t>
        </is>
      </c>
      <c r="AE188" s="49" t="inlineStr">
        <is>
          <t>IF(OR(F188="",COUNT(AI188:AV188)&lt;2),"",LOOKUP(2,1/(AI188:AV188&lt;&gt;""),AI188:AV188)-MIN(AI188:AV188))</t>
        </is>
      </c>
      <c r="AF188" s="49" t="inlineStr">
        <is>
          <t>IF(OR(AD188="",AC188="Not started",AC188=""),"",IFERROR(AD188-IF(VLOOKUP(AC188,'06_Status_Pipeline'!$B$3:$E$20,4,FALSE)="",0,VLOOKUP(AC188,'06_Status_Pipeline'!$B$3:$E$20,4,FALSE)),""))</t>
        </is>
      </c>
      <c r="AG188" s="4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49" t="inlineStr">
        <is>
          <t>IF(OR(F188="",AC188="Completed / Handover",AC188="Cancelled"),"",IF(O188="Not awarded",IF(U188&lt;&gt;"",U188-TODAY(),IF(X188="","",X188-TODAY())),IF(X188="","",X188-TODAY())))</t>
        </is>
      </c>
      <c r="AI188" s="54" t="n"/>
      <c r="AJ188" s="54" t="n"/>
      <c r="AK188" s="54" t="n"/>
      <c r="AL188" s="54" t="n"/>
      <c r="AM188" s="54" t="n"/>
      <c r="AN188" s="54" t="n"/>
      <c r="AO188" s="54" t="n"/>
      <c r="AP188" s="54" t="n"/>
      <c r="AQ188" s="54" t="n"/>
      <c r="AR188" s="54" t="n"/>
      <c r="AS188" s="54" t="n"/>
      <c r="AT188" s="50" t="n"/>
      <c r="AU188" s="50" t="n"/>
      <c r="AV188" s="50" t="n"/>
      <c r="AW188" s="49" t="inlineStr">
        <is>
          <t>IF(OR(F188="",AJ188=""),"",IF(COUNT(AI188:AI188)=0,"",AJ188-LOOKUP(2,1/(AI188:AI188&lt;&gt;""),AI188:AI188)))</t>
        </is>
      </c>
      <c r="AX188" s="49" t="inlineStr">
        <is>
          <t>IF(OR(F188="",AK188=""),"",IF(COUNT(AI188:AJ188)=0,"",AK188-LOOKUP(2,1/(AI188:AJ188&lt;&gt;""),AI188:AJ188)))</t>
        </is>
      </c>
      <c r="AY188" s="49" t="inlineStr">
        <is>
          <t>IF(OR(F188="",AL188=""),"",IF(COUNT(AI188:AK188)=0,"",AL188-LOOKUP(2,1/(AI188:AK188&lt;&gt;""),AI188:AK188)))</t>
        </is>
      </c>
      <c r="AZ188" s="49" t="inlineStr">
        <is>
          <t>IF(OR(F188="",AM188=""),"",IF(COUNT(AI188:AL188)=0,"",AM188-LOOKUP(2,1/(AI188:AL188&lt;&gt;""),AI188:AL188)))</t>
        </is>
      </c>
      <c r="BA188" s="49" t="inlineStr">
        <is>
          <t>IF(OR(F188="",AN188=""),"",IF(COUNT(AI188:AM188)=0,"",AN188-LOOKUP(2,1/(AI188:AM188&lt;&gt;""),AI188:AM188)))</t>
        </is>
      </c>
      <c r="BB188" s="49" t="inlineStr">
        <is>
          <t>IF(OR(F188="",AO188=""),"",IF(COUNT(AI188:AN188)=0,"",AO188-LOOKUP(2,1/(AI188:AN188&lt;&gt;""),AI188:AN188)))</t>
        </is>
      </c>
      <c r="BC188" s="49" t="inlineStr">
        <is>
          <t>IF(OR(F188="",AP188=""),"",IF(COUNT(AI188:AO188)=0,"",AP188-LOOKUP(2,1/(AI188:AO188&lt;&gt;""),AI188:AO188)))</t>
        </is>
      </c>
      <c r="BD188" s="49" t="inlineStr">
        <is>
          <t>IF(OR(F188="",AQ188=""),"",IF(COUNT(AI188:AP188)=0,"",AQ188-LOOKUP(2,1/(AI188:AP188&lt;&gt;""),AI188:AP188)))</t>
        </is>
      </c>
      <c r="BE188" s="49" t="inlineStr">
        <is>
          <t>IF(OR(F188="",AR188=""),"",IF(COUNT(AI188:AQ188)=0,"",AR188-LOOKUP(2,1/(AI188:AQ188&lt;&gt;""),AI188:AQ188)))</t>
        </is>
      </c>
      <c r="BF188" s="49" t="inlineStr">
        <is>
          <t>IF(OR(F188="",AS188=""),"",IF(COUNT(AI188:AR188)=0,"",AS188-LOOKUP(2,1/(AI188:AR188&lt;&gt;""),AI188:AR188)))</t>
        </is>
      </c>
      <c r="BG188" s="49" t="inlineStr">
        <is>
          <t>IF(OR(F188="",AT188=""),"",IF(COUNT(AI188:AS188)=0,"",AT188-LOOKUP(2,1/(AI188:AS188&lt;&gt;""),AI188:AS188)))</t>
        </is>
      </c>
      <c r="BH188" s="49" t="inlineStr">
        <is>
          <t>IF(OR(F188="",AU188=""),"",IF(COUNT(AI188:AT188)=0,"",AU188-LOOKUP(2,1/(AI188:AT188&lt;&gt;""),AI188:AT188)))</t>
        </is>
      </c>
      <c r="BI188" s="49" t="inlineStr">
        <is>
          <t>IF(OR(F188="",AV188=""),"",IF(COUNT(AI188:AU188)=0,"",AV188-LOOKUP(2,1/(AI188:AU188&lt;&gt;""),AI188:AU188)))</t>
        </is>
      </c>
      <c r="BJ188" s="51" t="inlineStr">
        <is>
          <t>IF(J188="","All_Provinces",IFERROR(VLOOKUP(J188,'09_Lookups'!$A$4:$B$20,2,FALSE),"All_Provinces"))</t>
        </is>
      </c>
      <c r="BK188" s="51" t="inlineStr">
        <is>
          <t>IF(K188="","All_Districts",IFERROR(VLOOKUP(K188,'09_Lookups'!$E$4:$F$42,2,FALSE),"All_Districts"))</t>
        </is>
      </c>
    </row>
    <row r="189" ht="18" customHeight="1">
      <c r="A189" s="42" t="inlineStr">
        <is>
          <t>IF(F189="","",ROW()-3)</t>
        </is>
      </c>
      <c r="B189" s="44" t="n"/>
      <c r="C189" s="44" t="n"/>
      <c r="D189" s="44" t="n"/>
      <c r="E189" s="44" t="n"/>
      <c r="F189" s="44" t="n"/>
      <c r="G189" s="44" t="n"/>
      <c r="H189" s="44" t="n"/>
      <c r="I189" s="44" t="n"/>
      <c r="J189" s="44" t="n"/>
      <c r="K189" s="44" t="n"/>
      <c r="L189" s="44" t="n"/>
      <c r="M189" s="44" t="n"/>
      <c r="N189" s="44" t="n"/>
      <c r="O189" s="44" t="n"/>
      <c r="P189" s="44" t="n"/>
      <c r="Q189" s="44" t="n"/>
      <c r="R189" s="44" t="n"/>
      <c r="S189" s="45" t="n"/>
      <c r="T189" s="46" t="inlineStr">
        <is>
          <t>IF(AQ189="","",AQ189)</t>
        </is>
      </c>
      <c r="U189" s="47" t="n"/>
      <c r="V189" s="48" t="n"/>
      <c r="W189" s="47" t="n"/>
      <c r="X189" s="46" t="inlineStr">
        <is>
          <t>IF(W189&lt;&gt;"",W189,IF(OR(T189="",V189=""),"",EDATE(T189,V189)))</t>
        </is>
      </c>
      <c r="Y189" s="47" t="n"/>
      <c r="Z189" s="48" t="n"/>
      <c r="AA189" s="44" t="n"/>
      <c r="AB189" s="44" t="n"/>
      <c r="AC189" s="42" t="inlineStr">
        <is>
          <t>IF(F189="","",IF(COUNT(AI189:AV189)=0,IF(AA189="","Not started",AA189),SUBSTITUTE(LOOKUP(2,1/(AI189:AV189&lt;&gt;""),$AI$3:$AV$3),"Date: ","")))</t>
        </is>
      </c>
      <c r="AD189" s="49" t="inlineStr">
        <is>
          <t>IF(OR(F189="",COUNT(AI189:AV189)=0),"",TODAY()-LOOKUP(2,1/(AI189:AV189&lt;&gt;""),AI189:AV189))</t>
        </is>
      </c>
      <c r="AE189" s="49" t="inlineStr">
        <is>
          <t>IF(OR(F189="",COUNT(AI189:AV189)&lt;2),"",LOOKUP(2,1/(AI189:AV189&lt;&gt;""),AI189:AV189)-MIN(AI189:AV189))</t>
        </is>
      </c>
      <c r="AF189" s="49" t="inlineStr">
        <is>
          <t>IF(OR(AD189="",AC189="Not started",AC189=""),"",IFERROR(AD189-IF(VLOOKUP(AC189,'06_Status_Pipeline'!$B$3:$E$20,4,FALSE)="",0,VLOOKUP(AC189,'06_Status_Pipeline'!$B$3:$E$20,4,FALSE)),""))</t>
        </is>
      </c>
      <c r="AG189" s="4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49" t="inlineStr">
        <is>
          <t>IF(OR(F189="",AC189="Completed / Handover",AC189="Cancelled"),"",IF(O189="Not awarded",IF(U189&lt;&gt;"",U189-TODAY(),IF(X189="","",X189-TODAY())),IF(X189="","",X189-TODAY())))</t>
        </is>
      </c>
      <c r="AI189" s="47" t="n"/>
      <c r="AJ189" s="47" t="n"/>
      <c r="AK189" s="47" t="n"/>
      <c r="AL189" s="47" t="n"/>
      <c r="AM189" s="47" t="n"/>
      <c r="AN189" s="47" t="n"/>
      <c r="AO189" s="47" t="n"/>
      <c r="AP189" s="47" t="n"/>
      <c r="AQ189" s="47" t="n"/>
      <c r="AR189" s="47" t="n"/>
      <c r="AS189" s="47" t="n"/>
      <c r="AT189" s="50" t="n"/>
      <c r="AU189" s="50" t="n"/>
      <c r="AV189" s="50" t="n"/>
      <c r="AW189" s="49" t="inlineStr">
        <is>
          <t>IF(OR(F189="",AJ189=""),"",IF(COUNT(AI189:AI189)=0,"",AJ189-LOOKUP(2,1/(AI189:AI189&lt;&gt;""),AI189:AI189)))</t>
        </is>
      </c>
      <c r="AX189" s="49" t="inlineStr">
        <is>
          <t>IF(OR(F189="",AK189=""),"",IF(COUNT(AI189:AJ189)=0,"",AK189-LOOKUP(2,1/(AI189:AJ189&lt;&gt;""),AI189:AJ189)))</t>
        </is>
      </c>
      <c r="AY189" s="49" t="inlineStr">
        <is>
          <t>IF(OR(F189="",AL189=""),"",IF(COUNT(AI189:AK189)=0,"",AL189-LOOKUP(2,1/(AI189:AK189&lt;&gt;""),AI189:AK189)))</t>
        </is>
      </c>
      <c r="AZ189" s="49" t="inlineStr">
        <is>
          <t>IF(OR(F189="",AM189=""),"",IF(COUNT(AI189:AL189)=0,"",AM189-LOOKUP(2,1/(AI189:AL189&lt;&gt;""),AI189:AL189)))</t>
        </is>
      </c>
      <c r="BA189" s="49" t="inlineStr">
        <is>
          <t>IF(OR(F189="",AN189=""),"",IF(COUNT(AI189:AM189)=0,"",AN189-LOOKUP(2,1/(AI189:AM189&lt;&gt;""),AI189:AM189)))</t>
        </is>
      </c>
      <c r="BB189" s="49" t="inlineStr">
        <is>
          <t>IF(OR(F189="",AO189=""),"",IF(COUNT(AI189:AN189)=0,"",AO189-LOOKUP(2,1/(AI189:AN189&lt;&gt;""),AI189:AN189)))</t>
        </is>
      </c>
      <c r="BC189" s="49" t="inlineStr">
        <is>
          <t>IF(OR(F189="",AP189=""),"",IF(COUNT(AI189:AO189)=0,"",AP189-LOOKUP(2,1/(AI189:AO189&lt;&gt;""),AI189:AO189)))</t>
        </is>
      </c>
      <c r="BD189" s="49" t="inlineStr">
        <is>
          <t>IF(OR(F189="",AQ189=""),"",IF(COUNT(AI189:AP189)=0,"",AQ189-LOOKUP(2,1/(AI189:AP189&lt;&gt;""),AI189:AP189)))</t>
        </is>
      </c>
      <c r="BE189" s="49" t="inlineStr">
        <is>
          <t>IF(OR(F189="",AR189=""),"",IF(COUNT(AI189:AQ189)=0,"",AR189-LOOKUP(2,1/(AI189:AQ189&lt;&gt;""),AI189:AQ189)))</t>
        </is>
      </c>
      <c r="BF189" s="49" t="inlineStr">
        <is>
          <t>IF(OR(F189="",AS189=""),"",IF(COUNT(AI189:AR189)=0,"",AS189-LOOKUP(2,1/(AI189:AR189&lt;&gt;""),AI189:AR189)))</t>
        </is>
      </c>
      <c r="BG189" s="49" t="inlineStr">
        <is>
          <t>IF(OR(F189="",AT189=""),"",IF(COUNT(AI189:AS189)=0,"",AT189-LOOKUP(2,1/(AI189:AS189&lt;&gt;""),AI189:AS189)))</t>
        </is>
      </c>
      <c r="BH189" s="49" t="inlineStr">
        <is>
          <t>IF(OR(F189="",AU189=""),"",IF(COUNT(AI189:AT189)=0,"",AU189-LOOKUP(2,1/(AI189:AT189&lt;&gt;""),AI189:AT189)))</t>
        </is>
      </c>
      <c r="BI189" s="49" t="inlineStr">
        <is>
          <t>IF(OR(F189="",AV189=""),"",IF(COUNT(AI189:AU189)=0,"",AV189-LOOKUP(2,1/(AI189:AU189&lt;&gt;""),AI189:AU189)))</t>
        </is>
      </c>
      <c r="BJ189" s="51" t="inlineStr">
        <is>
          <t>IF(J189="","All_Provinces",IFERROR(VLOOKUP(J189,'09_Lookups'!$A$4:$B$20,2,FALSE),"All_Provinces"))</t>
        </is>
      </c>
      <c r="BK189" s="51" t="inlineStr">
        <is>
          <t>IF(K189="","All_Districts",IFERROR(VLOOKUP(K189,'09_Lookups'!$E$4:$F$42,2,FALSE),"All_Districts"))</t>
        </is>
      </c>
    </row>
    <row r="190" ht="18" customHeight="1">
      <c r="A190" s="42" t="inlineStr">
        <is>
          <t>IF(F190="","",ROW()-3)</t>
        </is>
      </c>
      <c r="B190" s="52" t="n"/>
      <c r="C190" s="52" t="n"/>
      <c r="D190" s="52" t="n"/>
      <c r="E190" s="52" t="n"/>
      <c r="F190" s="52" t="n"/>
      <c r="G190" s="52" t="n"/>
      <c r="H190" s="52" t="n"/>
      <c r="I190" s="52" t="n"/>
      <c r="J190" s="52" t="n"/>
      <c r="K190" s="52" t="n"/>
      <c r="L190" s="52" t="n"/>
      <c r="M190" s="52" t="n"/>
      <c r="N190" s="52" t="n"/>
      <c r="O190" s="52" t="n"/>
      <c r="P190" s="52" t="n"/>
      <c r="Q190" s="52" t="n"/>
      <c r="R190" s="52" t="n"/>
      <c r="S190" s="53" t="n"/>
      <c r="T190" s="46" t="inlineStr">
        <is>
          <t>IF(AQ190="","",AQ190)</t>
        </is>
      </c>
      <c r="U190" s="54" t="n"/>
      <c r="V190" s="55" t="n"/>
      <c r="W190" s="54" t="n"/>
      <c r="X190" s="46" t="inlineStr">
        <is>
          <t>IF(W190&lt;&gt;"",W190,IF(OR(T190="",V190=""),"",EDATE(T190,V190)))</t>
        </is>
      </c>
      <c r="Y190" s="54" t="n"/>
      <c r="Z190" s="55" t="n"/>
      <c r="AA190" s="52" t="n"/>
      <c r="AB190" s="52" t="n"/>
      <c r="AC190" s="42" t="inlineStr">
        <is>
          <t>IF(F190="","",IF(COUNT(AI190:AV190)=0,IF(AA190="","Not started",AA190),SUBSTITUTE(LOOKUP(2,1/(AI190:AV190&lt;&gt;""),$AI$3:$AV$3),"Date: ","")))</t>
        </is>
      </c>
      <c r="AD190" s="49" t="inlineStr">
        <is>
          <t>IF(OR(F190="",COUNT(AI190:AV190)=0),"",TODAY()-LOOKUP(2,1/(AI190:AV190&lt;&gt;""),AI190:AV190))</t>
        </is>
      </c>
      <c r="AE190" s="49" t="inlineStr">
        <is>
          <t>IF(OR(F190="",COUNT(AI190:AV190)&lt;2),"",LOOKUP(2,1/(AI190:AV190&lt;&gt;""),AI190:AV190)-MIN(AI190:AV190))</t>
        </is>
      </c>
      <c r="AF190" s="49" t="inlineStr">
        <is>
          <t>IF(OR(AD190="",AC190="Not started",AC190=""),"",IFERROR(AD190-IF(VLOOKUP(AC190,'06_Status_Pipeline'!$B$3:$E$20,4,FALSE)="",0,VLOOKUP(AC190,'06_Status_Pipeline'!$B$3:$E$20,4,FALSE)),""))</t>
        </is>
      </c>
      <c r="AG190" s="4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49" t="inlineStr">
        <is>
          <t>IF(OR(F190="",AC190="Completed / Handover",AC190="Cancelled"),"",IF(O190="Not awarded",IF(U190&lt;&gt;"",U190-TODAY(),IF(X190="","",X190-TODAY())),IF(X190="","",X190-TODAY())))</t>
        </is>
      </c>
      <c r="AI190" s="54" t="n"/>
      <c r="AJ190" s="54" t="n"/>
      <c r="AK190" s="54" t="n"/>
      <c r="AL190" s="54" t="n"/>
      <c r="AM190" s="54" t="n"/>
      <c r="AN190" s="54" t="n"/>
      <c r="AO190" s="54" t="n"/>
      <c r="AP190" s="54" t="n"/>
      <c r="AQ190" s="54" t="n"/>
      <c r="AR190" s="54" t="n"/>
      <c r="AS190" s="54" t="n"/>
      <c r="AT190" s="50" t="n"/>
      <c r="AU190" s="50" t="n"/>
      <c r="AV190" s="50" t="n"/>
      <c r="AW190" s="49" t="inlineStr">
        <is>
          <t>IF(OR(F190="",AJ190=""),"",IF(COUNT(AI190:AI190)=0,"",AJ190-LOOKUP(2,1/(AI190:AI190&lt;&gt;""),AI190:AI190)))</t>
        </is>
      </c>
      <c r="AX190" s="49" t="inlineStr">
        <is>
          <t>IF(OR(F190="",AK190=""),"",IF(COUNT(AI190:AJ190)=0,"",AK190-LOOKUP(2,1/(AI190:AJ190&lt;&gt;""),AI190:AJ190)))</t>
        </is>
      </c>
      <c r="AY190" s="49" t="inlineStr">
        <is>
          <t>IF(OR(F190="",AL190=""),"",IF(COUNT(AI190:AK190)=0,"",AL190-LOOKUP(2,1/(AI190:AK190&lt;&gt;""),AI190:AK190)))</t>
        </is>
      </c>
      <c r="AZ190" s="49" t="inlineStr">
        <is>
          <t>IF(OR(F190="",AM190=""),"",IF(COUNT(AI190:AL190)=0,"",AM190-LOOKUP(2,1/(AI190:AL190&lt;&gt;""),AI190:AL190)))</t>
        </is>
      </c>
      <c r="BA190" s="49" t="inlineStr">
        <is>
          <t>IF(OR(F190="",AN190=""),"",IF(COUNT(AI190:AM190)=0,"",AN190-LOOKUP(2,1/(AI190:AM190&lt;&gt;""),AI190:AM190)))</t>
        </is>
      </c>
      <c r="BB190" s="49" t="inlineStr">
        <is>
          <t>IF(OR(F190="",AO190=""),"",IF(COUNT(AI190:AN190)=0,"",AO190-LOOKUP(2,1/(AI190:AN190&lt;&gt;""),AI190:AN190)))</t>
        </is>
      </c>
      <c r="BC190" s="49" t="inlineStr">
        <is>
          <t>IF(OR(F190="",AP190=""),"",IF(COUNT(AI190:AO190)=0,"",AP190-LOOKUP(2,1/(AI190:AO190&lt;&gt;""),AI190:AO190)))</t>
        </is>
      </c>
      <c r="BD190" s="49" t="inlineStr">
        <is>
          <t>IF(OR(F190="",AQ190=""),"",IF(COUNT(AI190:AP190)=0,"",AQ190-LOOKUP(2,1/(AI190:AP190&lt;&gt;""),AI190:AP190)))</t>
        </is>
      </c>
      <c r="BE190" s="49" t="inlineStr">
        <is>
          <t>IF(OR(F190="",AR190=""),"",IF(COUNT(AI190:AQ190)=0,"",AR190-LOOKUP(2,1/(AI190:AQ190&lt;&gt;""),AI190:AQ190)))</t>
        </is>
      </c>
      <c r="BF190" s="49" t="inlineStr">
        <is>
          <t>IF(OR(F190="",AS190=""),"",IF(COUNT(AI190:AR190)=0,"",AS190-LOOKUP(2,1/(AI190:AR190&lt;&gt;""),AI190:AR190)))</t>
        </is>
      </c>
      <c r="BG190" s="49" t="inlineStr">
        <is>
          <t>IF(OR(F190="",AT190=""),"",IF(COUNT(AI190:AS190)=0,"",AT190-LOOKUP(2,1/(AI190:AS190&lt;&gt;""),AI190:AS190)))</t>
        </is>
      </c>
      <c r="BH190" s="49" t="inlineStr">
        <is>
          <t>IF(OR(F190="",AU190=""),"",IF(COUNT(AI190:AT190)=0,"",AU190-LOOKUP(2,1/(AI190:AT190&lt;&gt;""),AI190:AT190)))</t>
        </is>
      </c>
      <c r="BI190" s="49" t="inlineStr">
        <is>
          <t>IF(OR(F190="",AV190=""),"",IF(COUNT(AI190:AU190)=0,"",AV190-LOOKUP(2,1/(AI190:AU190&lt;&gt;""),AI190:AU190)))</t>
        </is>
      </c>
      <c r="BJ190" s="51" t="inlineStr">
        <is>
          <t>IF(J190="","All_Provinces",IFERROR(VLOOKUP(J190,'09_Lookups'!$A$4:$B$20,2,FALSE),"All_Provinces"))</t>
        </is>
      </c>
      <c r="BK190" s="51" t="inlineStr">
        <is>
          <t>IF(K190="","All_Districts",IFERROR(VLOOKUP(K190,'09_Lookups'!$E$4:$F$42,2,FALSE),"All_Districts"))</t>
        </is>
      </c>
    </row>
    <row r="191" ht="18" customHeight="1">
      <c r="A191" s="42" t="inlineStr">
        <is>
          <t>IF(F191="","",ROW()-3)</t>
        </is>
      </c>
      <c r="B191" s="44" t="n"/>
      <c r="C191" s="44" t="n"/>
      <c r="D191" s="44" t="n"/>
      <c r="E191" s="44" t="n"/>
      <c r="F191" s="44" t="n"/>
      <c r="G191" s="44" t="n"/>
      <c r="H191" s="44" t="n"/>
      <c r="I191" s="44" t="n"/>
      <c r="J191" s="44" t="n"/>
      <c r="K191" s="44" t="n"/>
      <c r="L191" s="44" t="n"/>
      <c r="M191" s="44" t="n"/>
      <c r="N191" s="44" t="n"/>
      <c r="O191" s="44" t="n"/>
      <c r="P191" s="44" t="n"/>
      <c r="Q191" s="44" t="n"/>
      <c r="R191" s="44" t="n"/>
      <c r="S191" s="45" t="n"/>
      <c r="T191" s="46" t="inlineStr">
        <is>
          <t>IF(AQ191="","",AQ191)</t>
        </is>
      </c>
      <c r="U191" s="47" t="n"/>
      <c r="V191" s="48" t="n"/>
      <c r="W191" s="47" t="n"/>
      <c r="X191" s="46" t="inlineStr">
        <is>
          <t>IF(W191&lt;&gt;"",W191,IF(OR(T191="",V191=""),"",EDATE(T191,V191)))</t>
        </is>
      </c>
      <c r="Y191" s="47" t="n"/>
      <c r="Z191" s="48" t="n"/>
      <c r="AA191" s="44" t="n"/>
      <c r="AB191" s="44" t="n"/>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47" t="n"/>
      <c r="AJ191" s="47" t="n"/>
      <c r="AK191" s="47" t="n"/>
      <c r="AL191" s="47" t="n"/>
      <c r="AM191" s="47" t="n"/>
      <c r="AN191" s="47" t="n"/>
      <c r="AO191" s="47" t="n"/>
      <c r="AP191" s="47" t="n"/>
      <c r="AQ191" s="47" t="n"/>
      <c r="AR191" s="47" t="n"/>
      <c r="AS191" s="4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42" t="inlineStr">
        <is>
          <t>IF(F192="","",ROW()-3)</t>
        </is>
      </c>
      <c r="B192" s="52" t="n"/>
      <c r="C192" s="52" t="n"/>
      <c r="D192" s="52" t="n"/>
      <c r="E192" s="52" t="n"/>
      <c r="F192" s="52" t="n"/>
      <c r="G192" s="52" t="n"/>
      <c r="H192" s="52" t="n"/>
      <c r="I192" s="52" t="n"/>
      <c r="J192" s="52" t="n"/>
      <c r="K192" s="52" t="n"/>
      <c r="L192" s="52" t="n"/>
      <c r="M192" s="52" t="n"/>
      <c r="N192" s="52" t="n"/>
      <c r="O192" s="52" t="n"/>
      <c r="P192" s="52" t="n"/>
      <c r="Q192" s="52" t="n"/>
      <c r="R192" s="52" t="n"/>
      <c r="S192" s="53" t="n"/>
      <c r="T192" s="46" t="inlineStr">
        <is>
          <t>IF(AQ192="","",AQ192)</t>
        </is>
      </c>
      <c r="U192" s="54" t="n"/>
      <c r="V192" s="55" t="n"/>
      <c r="W192" s="54" t="n"/>
      <c r="X192" s="46" t="inlineStr">
        <is>
          <t>IF(W192&lt;&gt;"",W192,IF(OR(T192="",V192=""),"",EDATE(T192,V192)))</t>
        </is>
      </c>
      <c r="Y192" s="54" t="n"/>
      <c r="Z192" s="55" t="n"/>
      <c r="AA192" s="52" t="n"/>
      <c r="AB192" s="52" t="n"/>
      <c r="AC192" s="42" t="inlineStr">
        <is>
          <t>IF(F192="","",IF(COUNT(AI192:AV192)=0,IF(AA192="","Not started",AA192),SUBSTITUTE(LOOKUP(2,1/(AI192:AV192&lt;&gt;""),$AI$3:$AV$3),"Date: ","")))</t>
        </is>
      </c>
      <c r="AD192" s="49" t="inlineStr">
        <is>
          <t>IF(OR(F192="",COUNT(AI192:AV192)=0),"",TODAY()-LOOKUP(2,1/(AI192:AV192&lt;&gt;""),AI192:AV192))</t>
        </is>
      </c>
      <c r="AE192" s="49" t="inlineStr">
        <is>
          <t>IF(OR(F192="",COUNT(AI192:AV192)&lt;2),"",LOOKUP(2,1/(AI192:AV192&lt;&gt;""),AI192:AV192)-MIN(AI192:AV192))</t>
        </is>
      </c>
      <c r="AF192" s="49" t="inlineStr">
        <is>
          <t>IF(OR(AD192="",AC192="Not started",AC192=""),"",IFERROR(AD192-IF(VLOOKUP(AC192,'06_Status_Pipeline'!$B$3:$E$20,4,FALSE)="",0,VLOOKUP(AC192,'06_Status_Pipeline'!$B$3:$E$20,4,FALSE)),""))</t>
        </is>
      </c>
      <c r="AG192" s="4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49" t="inlineStr">
        <is>
          <t>IF(OR(F192="",AC192="Completed / Handover",AC192="Cancelled"),"",IF(O192="Not awarded",IF(U192&lt;&gt;"",U192-TODAY(),IF(X192="","",X192-TODAY())),IF(X192="","",X192-TODAY())))</t>
        </is>
      </c>
      <c r="AI192" s="54" t="n"/>
      <c r="AJ192" s="54" t="n"/>
      <c r="AK192" s="54" t="n"/>
      <c r="AL192" s="54" t="n"/>
      <c r="AM192" s="54" t="n"/>
      <c r="AN192" s="54" t="n"/>
      <c r="AO192" s="54" t="n"/>
      <c r="AP192" s="54" t="n"/>
      <c r="AQ192" s="54" t="n"/>
      <c r="AR192" s="54" t="n"/>
      <c r="AS192" s="54" t="n"/>
      <c r="AT192" s="50" t="n"/>
      <c r="AU192" s="50" t="n"/>
      <c r="AV192" s="50" t="n"/>
      <c r="AW192" s="49" t="inlineStr">
        <is>
          <t>IF(OR(F192="",AJ192=""),"",IF(COUNT(AI192:AI192)=0,"",AJ192-LOOKUP(2,1/(AI192:AI192&lt;&gt;""),AI192:AI192)))</t>
        </is>
      </c>
      <c r="AX192" s="49" t="inlineStr">
        <is>
          <t>IF(OR(F192="",AK192=""),"",IF(COUNT(AI192:AJ192)=0,"",AK192-LOOKUP(2,1/(AI192:AJ192&lt;&gt;""),AI192:AJ192)))</t>
        </is>
      </c>
      <c r="AY192" s="49" t="inlineStr">
        <is>
          <t>IF(OR(F192="",AL192=""),"",IF(COUNT(AI192:AK192)=0,"",AL192-LOOKUP(2,1/(AI192:AK192&lt;&gt;""),AI192:AK192)))</t>
        </is>
      </c>
      <c r="AZ192" s="49" t="inlineStr">
        <is>
          <t>IF(OR(F192="",AM192=""),"",IF(COUNT(AI192:AL192)=0,"",AM192-LOOKUP(2,1/(AI192:AL192&lt;&gt;""),AI192:AL192)))</t>
        </is>
      </c>
      <c r="BA192" s="49" t="inlineStr">
        <is>
          <t>IF(OR(F192="",AN192=""),"",IF(COUNT(AI192:AM192)=0,"",AN192-LOOKUP(2,1/(AI192:AM192&lt;&gt;""),AI192:AM192)))</t>
        </is>
      </c>
      <c r="BB192" s="49" t="inlineStr">
        <is>
          <t>IF(OR(F192="",AO192=""),"",IF(COUNT(AI192:AN192)=0,"",AO192-LOOKUP(2,1/(AI192:AN192&lt;&gt;""),AI192:AN192)))</t>
        </is>
      </c>
      <c r="BC192" s="49" t="inlineStr">
        <is>
          <t>IF(OR(F192="",AP192=""),"",IF(COUNT(AI192:AO192)=0,"",AP192-LOOKUP(2,1/(AI192:AO192&lt;&gt;""),AI192:AO192)))</t>
        </is>
      </c>
      <c r="BD192" s="49" t="inlineStr">
        <is>
          <t>IF(OR(F192="",AQ192=""),"",IF(COUNT(AI192:AP192)=0,"",AQ192-LOOKUP(2,1/(AI192:AP192&lt;&gt;""),AI192:AP192)))</t>
        </is>
      </c>
      <c r="BE192" s="49" t="inlineStr">
        <is>
          <t>IF(OR(F192="",AR192=""),"",IF(COUNT(AI192:AQ192)=0,"",AR192-LOOKUP(2,1/(AI192:AQ192&lt;&gt;""),AI192:AQ192)))</t>
        </is>
      </c>
      <c r="BF192" s="49" t="inlineStr">
        <is>
          <t>IF(OR(F192="",AS192=""),"",IF(COUNT(AI192:AR192)=0,"",AS192-LOOKUP(2,1/(AI192:AR192&lt;&gt;""),AI192:AR192)))</t>
        </is>
      </c>
      <c r="BG192" s="49" t="inlineStr">
        <is>
          <t>IF(OR(F192="",AT192=""),"",IF(COUNT(AI192:AS192)=0,"",AT192-LOOKUP(2,1/(AI192:AS192&lt;&gt;""),AI192:AS192)))</t>
        </is>
      </c>
      <c r="BH192" s="49" t="inlineStr">
        <is>
          <t>IF(OR(F192="",AU192=""),"",IF(COUNT(AI192:AT192)=0,"",AU192-LOOKUP(2,1/(AI192:AT192&lt;&gt;""),AI192:AT192)))</t>
        </is>
      </c>
      <c r="BI192" s="49" t="inlineStr">
        <is>
          <t>IF(OR(F192="",AV192=""),"",IF(COUNT(AI192:AU192)=0,"",AV192-LOOKUP(2,1/(AI192:AU192&lt;&gt;""),AI192:AU192)))</t>
        </is>
      </c>
      <c r="BJ192" s="51" t="inlineStr">
        <is>
          <t>IF(J192="","All_Provinces",IFERROR(VLOOKUP(J192,'09_Lookups'!$A$4:$B$20,2,FALSE),"All_Provinces"))</t>
        </is>
      </c>
      <c r="BK192" s="51" t="inlineStr">
        <is>
          <t>IF(K192="","All_Districts",IFERROR(VLOOKUP(K192,'09_Lookups'!$E$4:$F$42,2,FALSE),"All_Districts"))</t>
        </is>
      </c>
    </row>
    <row r="193" ht="18" customHeight="1">
      <c r="A193" s="42" t="inlineStr">
        <is>
          <t>IF(F193="","",ROW()-3)</t>
        </is>
      </c>
      <c r="B193" s="44" t="n"/>
      <c r="C193" s="44" t="n"/>
      <c r="D193" s="44" t="n"/>
      <c r="E193" s="44" t="n"/>
      <c r="F193" s="44" t="n"/>
      <c r="G193" s="44" t="n"/>
      <c r="H193" s="44" t="n"/>
      <c r="I193" s="44" t="n"/>
      <c r="J193" s="44" t="n"/>
      <c r="K193" s="44" t="n"/>
      <c r="L193" s="44" t="n"/>
      <c r="M193" s="44" t="n"/>
      <c r="N193" s="44" t="n"/>
      <c r="O193" s="44" t="n"/>
      <c r="P193" s="44" t="n"/>
      <c r="Q193" s="44" t="n"/>
      <c r="R193" s="44" t="n"/>
      <c r="S193" s="45" t="n"/>
      <c r="T193" s="46" t="inlineStr">
        <is>
          <t>IF(AQ193="","",AQ193)</t>
        </is>
      </c>
      <c r="U193" s="47" t="n"/>
      <c r="V193" s="48" t="n"/>
      <c r="W193" s="47" t="n"/>
      <c r="X193" s="46" t="inlineStr">
        <is>
          <t>IF(W193&lt;&gt;"",W193,IF(OR(T193="",V193=""),"",EDATE(T193,V193)))</t>
        </is>
      </c>
      <c r="Y193" s="47" t="n"/>
      <c r="Z193" s="48" t="n"/>
      <c r="AA193" s="44" t="n"/>
      <c r="AB193" s="44" t="n"/>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42" t="inlineStr">
        <is>
          <t>IF(F194="","",ROW()-3)</t>
        </is>
      </c>
      <c r="B194" s="52" t="n"/>
      <c r="C194" s="52" t="n"/>
      <c r="D194" s="52" t="n"/>
      <c r="E194" s="52" t="n"/>
      <c r="F194" s="52" t="n"/>
      <c r="G194" s="52" t="n"/>
      <c r="H194" s="52" t="n"/>
      <c r="I194" s="52" t="n"/>
      <c r="J194" s="52" t="n"/>
      <c r="K194" s="52" t="n"/>
      <c r="L194" s="52" t="n"/>
      <c r="M194" s="52" t="n"/>
      <c r="N194" s="52" t="n"/>
      <c r="O194" s="52" t="n"/>
      <c r="P194" s="52" t="n"/>
      <c r="Q194" s="52" t="n"/>
      <c r="R194" s="52" t="n"/>
      <c r="S194" s="53" t="n"/>
      <c r="T194" s="46" t="inlineStr">
        <is>
          <t>IF(AQ194="","",AQ194)</t>
        </is>
      </c>
      <c r="U194" s="54" t="n"/>
      <c r="V194" s="55" t="n"/>
      <c r="W194" s="54" t="n"/>
      <c r="X194" s="46" t="inlineStr">
        <is>
          <t>IF(W194&lt;&gt;"",W194,IF(OR(T194="",V194=""),"",EDATE(T194,V194)))</t>
        </is>
      </c>
      <c r="Y194" s="54" t="n"/>
      <c r="Z194" s="55" t="n"/>
      <c r="AA194" s="52" t="n"/>
      <c r="AB194" s="52" t="n"/>
      <c r="AC194" s="42" t="inlineStr">
        <is>
          <t>IF(F194="","",IF(COUNT(AI194:AV194)=0,IF(AA194="","Not started",AA194),SUBSTITUTE(LOOKUP(2,1/(AI194:AV194&lt;&gt;""),$AI$3:$AV$3),"Date: ","")))</t>
        </is>
      </c>
      <c r="AD194" s="49" t="inlineStr">
        <is>
          <t>IF(OR(F194="",COUNT(AI194:AV194)=0),"",TODAY()-LOOKUP(2,1/(AI194:AV194&lt;&gt;""),AI194:AV194))</t>
        </is>
      </c>
      <c r="AE194" s="49" t="inlineStr">
        <is>
          <t>IF(OR(F194="",COUNT(AI194:AV194)&lt;2),"",LOOKUP(2,1/(AI194:AV194&lt;&gt;""),AI194:AV194)-MIN(AI194:AV194))</t>
        </is>
      </c>
      <c r="AF194" s="49" t="inlineStr">
        <is>
          <t>IF(OR(AD194="",AC194="Not started",AC194=""),"",IFERROR(AD194-IF(VLOOKUP(AC194,'06_Status_Pipeline'!$B$3:$E$20,4,FALSE)="",0,VLOOKUP(AC194,'06_Status_Pipeline'!$B$3:$E$20,4,FALSE)),""))</t>
        </is>
      </c>
      <c r="AG194" s="4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49" t="inlineStr">
        <is>
          <t>IF(OR(F194="",AC194="Completed / Handover",AC194="Cancelled"),"",IF(O194="Not awarded",IF(U194&lt;&gt;"",U194-TODAY(),IF(X194="","",X194-TODAY())),IF(X194="","",X194-TODAY())))</t>
        </is>
      </c>
      <c r="AI194" s="54" t="n"/>
      <c r="AJ194" s="54" t="n"/>
      <c r="AK194" s="54" t="n"/>
      <c r="AL194" s="54" t="n"/>
      <c r="AM194" s="54" t="n"/>
      <c r="AN194" s="54" t="n"/>
      <c r="AO194" s="54" t="n"/>
      <c r="AP194" s="54" t="n"/>
      <c r="AQ194" s="54" t="n"/>
      <c r="AR194" s="54" t="n"/>
      <c r="AS194" s="54" t="n"/>
      <c r="AT194" s="50" t="n"/>
      <c r="AU194" s="50" t="n"/>
      <c r="AV194" s="50" t="n"/>
      <c r="AW194" s="49" t="inlineStr">
        <is>
          <t>IF(OR(F194="",AJ194=""),"",IF(COUNT(AI194:AI194)=0,"",AJ194-LOOKUP(2,1/(AI194:AI194&lt;&gt;""),AI194:AI194)))</t>
        </is>
      </c>
      <c r="AX194" s="49" t="inlineStr">
        <is>
          <t>IF(OR(F194="",AK194=""),"",IF(COUNT(AI194:AJ194)=0,"",AK194-LOOKUP(2,1/(AI194:AJ194&lt;&gt;""),AI194:AJ194)))</t>
        </is>
      </c>
      <c r="AY194" s="49" t="inlineStr">
        <is>
          <t>IF(OR(F194="",AL194=""),"",IF(COUNT(AI194:AK194)=0,"",AL194-LOOKUP(2,1/(AI194:AK194&lt;&gt;""),AI194:AK194)))</t>
        </is>
      </c>
      <c r="AZ194" s="49" t="inlineStr">
        <is>
          <t>IF(OR(F194="",AM194=""),"",IF(COUNT(AI194:AL194)=0,"",AM194-LOOKUP(2,1/(AI194:AL194&lt;&gt;""),AI194:AL194)))</t>
        </is>
      </c>
      <c r="BA194" s="49" t="inlineStr">
        <is>
          <t>IF(OR(F194="",AN194=""),"",IF(COUNT(AI194:AM194)=0,"",AN194-LOOKUP(2,1/(AI194:AM194&lt;&gt;""),AI194:AM194)))</t>
        </is>
      </c>
      <c r="BB194" s="49" t="inlineStr">
        <is>
          <t>IF(OR(F194="",AO194=""),"",IF(COUNT(AI194:AN194)=0,"",AO194-LOOKUP(2,1/(AI194:AN194&lt;&gt;""),AI194:AN194)))</t>
        </is>
      </c>
      <c r="BC194" s="49" t="inlineStr">
        <is>
          <t>IF(OR(F194="",AP194=""),"",IF(COUNT(AI194:AO194)=0,"",AP194-LOOKUP(2,1/(AI194:AO194&lt;&gt;""),AI194:AO194)))</t>
        </is>
      </c>
      <c r="BD194" s="49" t="inlineStr">
        <is>
          <t>IF(OR(F194="",AQ194=""),"",IF(COUNT(AI194:AP194)=0,"",AQ194-LOOKUP(2,1/(AI194:AP194&lt;&gt;""),AI194:AP194)))</t>
        </is>
      </c>
      <c r="BE194" s="49" t="inlineStr">
        <is>
          <t>IF(OR(F194="",AR194=""),"",IF(COUNT(AI194:AQ194)=0,"",AR194-LOOKUP(2,1/(AI194:AQ194&lt;&gt;""),AI194:AQ194)))</t>
        </is>
      </c>
      <c r="BF194" s="49" t="inlineStr">
        <is>
          <t>IF(OR(F194="",AS194=""),"",IF(COUNT(AI194:AR194)=0,"",AS194-LOOKUP(2,1/(AI194:AR194&lt;&gt;""),AI194:AR194)))</t>
        </is>
      </c>
      <c r="BG194" s="49" t="inlineStr">
        <is>
          <t>IF(OR(F194="",AT194=""),"",IF(COUNT(AI194:AS194)=0,"",AT194-LOOKUP(2,1/(AI194:AS194&lt;&gt;""),AI194:AS194)))</t>
        </is>
      </c>
      <c r="BH194" s="49" t="inlineStr">
        <is>
          <t>IF(OR(F194="",AU194=""),"",IF(COUNT(AI194:AT194)=0,"",AU194-LOOKUP(2,1/(AI194:AT194&lt;&gt;""),AI194:AT194)))</t>
        </is>
      </c>
      <c r="BI194" s="49" t="inlineStr">
        <is>
          <t>IF(OR(F194="",AV194=""),"",IF(COUNT(AI194:AU194)=0,"",AV194-LOOKUP(2,1/(AI194:AU194&lt;&gt;""),AI194:AU194)))</t>
        </is>
      </c>
      <c r="BJ194" s="51" t="inlineStr">
        <is>
          <t>IF(J194="","All_Provinces",IFERROR(VLOOKUP(J194,'09_Lookups'!$A$4:$B$20,2,FALSE),"All_Provinces"))</t>
        </is>
      </c>
      <c r="BK194" s="51" t="inlineStr">
        <is>
          <t>IF(K194="","All_Districts",IFERROR(VLOOKUP(K194,'09_Lookups'!$E$4:$F$42,2,FALSE),"All_Districts"))</t>
        </is>
      </c>
    </row>
    <row r="195" ht="18" customHeight="1">
      <c r="A195" s="42" t="inlineStr">
        <is>
          <t>IF(F195="","",ROW()-3)</t>
        </is>
      </c>
      <c r="B195" s="44" t="n"/>
      <c r="C195" s="44" t="n"/>
      <c r="D195" s="44" t="n"/>
      <c r="E195" s="44" t="n"/>
      <c r="F195" s="44" t="n"/>
      <c r="G195" s="44" t="n"/>
      <c r="H195" s="44" t="n"/>
      <c r="I195" s="44" t="n"/>
      <c r="J195" s="44" t="n"/>
      <c r="K195" s="44" t="n"/>
      <c r="L195" s="44" t="n"/>
      <c r="M195" s="44" t="n"/>
      <c r="N195" s="44" t="n"/>
      <c r="O195" s="44" t="n"/>
      <c r="P195" s="44" t="n"/>
      <c r="Q195" s="44" t="n"/>
      <c r="R195" s="44" t="n"/>
      <c r="S195" s="45" t="n"/>
      <c r="T195" s="46" t="inlineStr">
        <is>
          <t>IF(AQ195="","",AQ195)</t>
        </is>
      </c>
      <c r="U195" s="47" t="n"/>
      <c r="V195" s="48" t="n"/>
      <c r="W195" s="47" t="n"/>
      <c r="X195" s="46" t="inlineStr">
        <is>
          <t>IF(W195&lt;&gt;"",W195,IF(OR(T195="",V195=""),"",EDATE(T195,V195)))</t>
        </is>
      </c>
      <c r="Y195" s="47" t="n"/>
      <c r="Z195" s="48" t="n"/>
      <c r="AA195" s="44" t="n"/>
      <c r="AB195" s="44" t="n"/>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42" t="inlineStr">
        <is>
          <t>IF(F196="","",ROW()-3)</t>
        </is>
      </c>
      <c r="B196" s="52" t="n"/>
      <c r="C196" s="52" t="n"/>
      <c r="D196" s="52" t="n"/>
      <c r="E196" s="52" t="n"/>
      <c r="F196" s="52" t="n"/>
      <c r="G196" s="52" t="n"/>
      <c r="H196" s="52" t="n"/>
      <c r="I196" s="52" t="n"/>
      <c r="J196" s="52" t="n"/>
      <c r="K196" s="52" t="n"/>
      <c r="L196" s="52" t="n"/>
      <c r="M196" s="52" t="n"/>
      <c r="N196" s="52" t="n"/>
      <c r="O196" s="52" t="n"/>
      <c r="P196" s="52" t="n"/>
      <c r="Q196" s="52" t="n"/>
      <c r="R196" s="52" t="n"/>
      <c r="S196" s="53" t="n"/>
      <c r="T196" s="46" t="inlineStr">
        <is>
          <t>IF(AQ196="","",AQ196)</t>
        </is>
      </c>
      <c r="U196" s="54" t="n"/>
      <c r="V196" s="55" t="n"/>
      <c r="W196" s="54" t="n"/>
      <c r="X196" s="46" t="inlineStr">
        <is>
          <t>IF(W196&lt;&gt;"",W196,IF(OR(T196="",V196=""),"",EDATE(T196,V196)))</t>
        </is>
      </c>
      <c r="Y196" s="54" t="n"/>
      <c r="Z196" s="55" t="n"/>
      <c r="AA196" s="52" t="n"/>
      <c r="AB196" s="52" t="n"/>
      <c r="AC196" s="42" t="inlineStr">
        <is>
          <t>IF(F196="","",IF(COUNT(AI196:AV196)=0,IF(AA196="","Not started",AA196),SUBSTITUTE(LOOKUP(2,1/(AI196:AV196&lt;&gt;""),$AI$3:$AV$3),"Date: ","")))</t>
        </is>
      </c>
      <c r="AD196" s="49" t="inlineStr">
        <is>
          <t>IF(OR(F196="",COUNT(AI196:AV196)=0),"",TODAY()-LOOKUP(2,1/(AI196:AV196&lt;&gt;""),AI196:AV196))</t>
        </is>
      </c>
      <c r="AE196" s="49" t="inlineStr">
        <is>
          <t>IF(OR(F196="",COUNT(AI196:AV196)&lt;2),"",LOOKUP(2,1/(AI196:AV196&lt;&gt;""),AI196:AV196)-MIN(AI196:AV196))</t>
        </is>
      </c>
      <c r="AF196" s="49" t="inlineStr">
        <is>
          <t>IF(OR(AD196="",AC196="Not started",AC196=""),"",IFERROR(AD196-IF(VLOOKUP(AC196,'06_Status_Pipeline'!$B$3:$E$20,4,FALSE)="",0,VLOOKUP(AC196,'06_Status_Pipeline'!$B$3:$E$20,4,FALSE)),""))</t>
        </is>
      </c>
      <c r="AG196" s="4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49" t="inlineStr">
        <is>
          <t>IF(OR(F196="",AC196="Completed / Handover",AC196="Cancelled"),"",IF(O196="Not awarded",IF(U196&lt;&gt;"",U196-TODAY(),IF(X196="","",X196-TODAY())),IF(X196="","",X196-TODAY())))</t>
        </is>
      </c>
      <c r="AI196" s="54" t="n"/>
      <c r="AJ196" s="54" t="n"/>
      <c r="AK196" s="54" t="n"/>
      <c r="AL196" s="54" t="n"/>
      <c r="AM196" s="54" t="n"/>
      <c r="AN196" s="54" t="n"/>
      <c r="AO196" s="54" t="n"/>
      <c r="AP196" s="54" t="n"/>
      <c r="AQ196" s="54" t="n"/>
      <c r="AR196" s="54" t="n"/>
      <c r="AS196" s="54" t="n"/>
      <c r="AT196" s="50" t="n"/>
      <c r="AU196" s="50" t="n"/>
      <c r="AV196" s="50" t="n"/>
      <c r="AW196" s="49" t="inlineStr">
        <is>
          <t>IF(OR(F196="",AJ196=""),"",IF(COUNT(AI196:AI196)=0,"",AJ196-LOOKUP(2,1/(AI196:AI196&lt;&gt;""),AI196:AI196)))</t>
        </is>
      </c>
      <c r="AX196" s="49" t="inlineStr">
        <is>
          <t>IF(OR(F196="",AK196=""),"",IF(COUNT(AI196:AJ196)=0,"",AK196-LOOKUP(2,1/(AI196:AJ196&lt;&gt;""),AI196:AJ196)))</t>
        </is>
      </c>
      <c r="AY196" s="49" t="inlineStr">
        <is>
          <t>IF(OR(F196="",AL196=""),"",IF(COUNT(AI196:AK196)=0,"",AL196-LOOKUP(2,1/(AI196:AK196&lt;&gt;""),AI196:AK196)))</t>
        </is>
      </c>
      <c r="AZ196" s="49" t="inlineStr">
        <is>
          <t>IF(OR(F196="",AM196=""),"",IF(COUNT(AI196:AL196)=0,"",AM196-LOOKUP(2,1/(AI196:AL196&lt;&gt;""),AI196:AL196)))</t>
        </is>
      </c>
      <c r="BA196" s="49" t="inlineStr">
        <is>
          <t>IF(OR(F196="",AN196=""),"",IF(COUNT(AI196:AM196)=0,"",AN196-LOOKUP(2,1/(AI196:AM196&lt;&gt;""),AI196:AM196)))</t>
        </is>
      </c>
      <c r="BB196" s="49" t="inlineStr">
        <is>
          <t>IF(OR(F196="",AO196=""),"",IF(COUNT(AI196:AN196)=0,"",AO196-LOOKUP(2,1/(AI196:AN196&lt;&gt;""),AI196:AN196)))</t>
        </is>
      </c>
      <c r="BC196" s="49" t="inlineStr">
        <is>
          <t>IF(OR(F196="",AP196=""),"",IF(COUNT(AI196:AO196)=0,"",AP196-LOOKUP(2,1/(AI196:AO196&lt;&gt;""),AI196:AO196)))</t>
        </is>
      </c>
      <c r="BD196" s="49" t="inlineStr">
        <is>
          <t>IF(OR(F196="",AQ196=""),"",IF(COUNT(AI196:AP196)=0,"",AQ196-LOOKUP(2,1/(AI196:AP196&lt;&gt;""),AI196:AP196)))</t>
        </is>
      </c>
      <c r="BE196" s="49" t="inlineStr">
        <is>
          <t>IF(OR(F196="",AR196=""),"",IF(COUNT(AI196:AQ196)=0,"",AR196-LOOKUP(2,1/(AI196:AQ196&lt;&gt;""),AI196:AQ196)))</t>
        </is>
      </c>
      <c r="BF196" s="49" t="inlineStr">
        <is>
          <t>IF(OR(F196="",AS196=""),"",IF(COUNT(AI196:AR196)=0,"",AS196-LOOKUP(2,1/(AI196:AR196&lt;&gt;""),AI196:AR196)))</t>
        </is>
      </c>
      <c r="BG196" s="49" t="inlineStr">
        <is>
          <t>IF(OR(F196="",AT196=""),"",IF(COUNT(AI196:AS196)=0,"",AT196-LOOKUP(2,1/(AI196:AS196&lt;&gt;""),AI196:AS196)))</t>
        </is>
      </c>
      <c r="BH196" s="49" t="inlineStr">
        <is>
          <t>IF(OR(F196="",AU196=""),"",IF(COUNT(AI196:AT196)=0,"",AU196-LOOKUP(2,1/(AI196:AT196&lt;&gt;""),AI196:AT196)))</t>
        </is>
      </c>
      <c r="BI196" s="49" t="inlineStr">
        <is>
          <t>IF(OR(F196="",AV196=""),"",IF(COUNT(AI196:AU196)=0,"",AV196-LOOKUP(2,1/(AI196:AU196&lt;&gt;""),AI196:AU196)))</t>
        </is>
      </c>
      <c r="BJ196" s="51" t="inlineStr">
        <is>
          <t>IF(J196="","All_Provinces",IFERROR(VLOOKUP(J196,'09_Lookups'!$A$4:$B$20,2,FALSE),"All_Provinces"))</t>
        </is>
      </c>
      <c r="BK196" s="51" t="inlineStr">
        <is>
          <t>IF(K196="","All_Districts",IFERROR(VLOOKUP(K196,'09_Lookups'!$E$4:$F$42,2,FALSE),"All_Districts"))</t>
        </is>
      </c>
    </row>
    <row r="197" ht="18" customHeight="1">
      <c r="A197" s="42" t="inlineStr">
        <is>
          <t>IF(F197="","",ROW()-3)</t>
        </is>
      </c>
      <c r="B197" s="44" t="n"/>
      <c r="C197" s="44" t="n"/>
      <c r="D197" s="44" t="n"/>
      <c r="E197" s="44" t="n"/>
      <c r="F197" s="44" t="n"/>
      <c r="G197" s="44" t="n"/>
      <c r="H197" s="44" t="n"/>
      <c r="I197" s="44" t="n"/>
      <c r="J197" s="44" t="n"/>
      <c r="K197" s="44" t="n"/>
      <c r="L197" s="44" t="n"/>
      <c r="M197" s="44" t="n"/>
      <c r="N197" s="44" t="n"/>
      <c r="O197" s="44" t="n"/>
      <c r="P197" s="44" t="n"/>
      <c r="Q197" s="44" t="n"/>
      <c r="R197" s="44" t="n"/>
      <c r="S197" s="45" t="n"/>
      <c r="T197" s="46" t="inlineStr">
        <is>
          <t>IF(AQ197="","",AQ197)</t>
        </is>
      </c>
      <c r="U197" s="47" t="n"/>
      <c r="V197" s="48" t="n"/>
      <c r="W197" s="47" t="n"/>
      <c r="X197" s="46" t="inlineStr">
        <is>
          <t>IF(W197&lt;&gt;"",W197,IF(OR(T197="",V197=""),"",EDATE(T197,V197)))</t>
        </is>
      </c>
      <c r="Y197" s="47" t="n"/>
      <c r="Z197" s="48" t="n"/>
      <c r="AA197" s="44" t="n"/>
      <c r="AB197" s="44" t="n"/>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47" t="n"/>
      <c r="AJ197" s="47" t="n"/>
      <c r="AK197" s="47" t="n"/>
      <c r="AL197" s="47" t="n"/>
      <c r="AM197" s="47" t="n"/>
      <c r="AN197" s="47" t="n"/>
      <c r="AO197" s="47" t="n"/>
      <c r="AP197" s="47" t="n"/>
      <c r="AQ197" s="47" t="n"/>
      <c r="AR197" s="47" t="n"/>
      <c r="AS197" s="4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ht="18" customHeight="1">
      <c r="A198" s="42" t="inlineStr">
        <is>
          <t>IF(F198="","",ROW()-3)</t>
        </is>
      </c>
      <c r="B198" s="52" t="n"/>
      <c r="C198" s="52" t="n"/>
      <c r="D198" s="52" t="n"/>
      <c r="E198" s="52" t="n"/>
      <c r="F198" s="52" t="n"/>
      <c r="G198" s="52" t="n"/>
      <c r="H198" s="52" t="n"/>
      <c r="I198" s="52" t="n"/>
      <c r="J198" s="52" t="n"/>
      <c r="K198" s="52" t="n"/>
      <c r="L198" s="52" t="n"/>
      <c r="M198" s="52" t="n"/>
      <c r="N198" s="52" t="n"/>
      <c r="O198" s="52" t="n"/>
      <c r="P198" s="52" t="n"/>
      <c r="Q198" s="52" t="n"/>
      <c r="R198" s="52" t="n"/>
      <c r="S198" s="53" t="n"/>
      <c r="T198" s="46" t="inlineStr">
        <is>
          <t>IF(AQ198="","",AQ198)</t>
        </is>
      </c>
      <c r="U198" s="54" t="n"/>
      <c r="V198" s="55" t="n"/>
      <c r="W198" s="54" t="n"/>
      <c r="X198" s="46" t="inlineStr">
        <is>
          <t>IF(W198&lt;&gt;"",W198,IF(OR(T198="",V198=""),"",EDATE(T198,V198)))</t>
        </is>
      </c>
      <c r="Y198" s="54" t="n"/>
      <c r="Z198" s="55" t="n"/>
      <c r="AA198" s="52" t="n"/>
      <c r="AB198" s="52" t="n"/>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54" t="n"/>
      <c r="AJ198" s="54" t="n"/>
      <c r="AK198" s="54" t="n"/>
      <c r="AL198" s="54" t="n"/>
      <c r="AM198" s="54" t="n"/>
      <c r="AN198" s="54" t="n"/>
      <c r="AO198" s="54" t="n"/>
      <c r="AP198" s="54" t="n"/>
      <c r="AQ198" s="54" t="n"/>
      <c r="AR198" s="54" t="n"/>
      <c r="AS198" s="54" t="n"/>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42" t="inlineStr">
        <is>
          <t>IF(F199="","",ROW()-3)</t>
        </is>
      </c>
      <c r="B199" s="44" t="n"/>
      <c r="C199" s="44" t="n"/>
      <c r="D199" s="44" t="n"/>
      <c r="E199" s="44" t="n"/>
      <c r="F199" s="44" t="n"/>
      <c r="G199" s="44" t="n"/>
      <c r="H199" s="44" t="n"/>
      <c r="I199" s="44" t="n"/>
      <c r="J199" s="44" t="n"/>
      <c r="K199" s="44" t="n"/>
      <c r="L199" s="44" t="n"/>
      <c r="M199" s="44" t="n"/>
      <c r="N199" s="44" t="n"/>
      <c r="O199" s="44" t="n"/>
      <c r="P199" s="44" t="n"/>
      <c r="Q199" s="44" t="n"/>
      <c r="R199" s="44" t="n"/>
      <c r="S199" s="45" t="n"/>
      <c r="T199" s="46" t="inlineStr">
        <is>
          <t>IF(AQ199="","",AQ199)</t>
        </is>
      </c>
      <c r="U199" s="47" t="n"/>
      <c r="V199" s="48" t="n"/>
      <c r="W199" s="47" t="n"/>
      <c r="X199" s="46" t="inlineStr">
        <is>
          <t>IF(W199&lt;&gt;"",W199,IF(OR(T199="",V199=""),"",EDATE(T199,V199)))</t>
        </is>
      </c>
      <c r="Y199" s="47" t="n"/>
      <c r="Z199" s="48" t="n"/>
      <c r="AA199" s="44" t="n"/>
      <c r="AB199" s="44" t="n"/>
      <c r="AC199" s="42" t="inlineStr">
        <is>
          <t>IF(F199="","",IF(COUNT(AI199:AV199)=0,IF(AA199="","Not started",AA199),SUBSTITUTE(LOOKUP(2,1/(AI199:AV199&lt;&gt;""),$AI$3:$AV$3),"Date: ","")))</t>
        </is>
      </c>
      <c r="AD199" s="49" t="inlineStr">
        <is>
          <t>IF(OR(F199="",COUNT(AI199:AV199)=0),"",TODAY()-LOOKUP(2,1/(AI199:AV199&lt;&gt;""),AI199:AV199))</t>
        </is>
      </c>
      <c r="AE199" s="49" t="inlineStr">
        <is>
          <t>IF(OR(F199="",COUNT(AI199:AV199)&lt;2),"",LOOKUP(2,1/(AI199:AV199&lt;&gt;""),AI199:AV199)-MIN(AI199:AV199))</t>
        </is>
      </c>
      <c r="AF199" s="49" t="inlineStr">
        <is>
          <t>IF(OR(AD199="",AC199="Not started",AC199=""),"",IFERROR(AD199-IF(VLOOKUP(AC199,'06_Status_Pipeline'!$B$3:$E$20,4,FALSE)="",0,VLOOKUP(AC199,'06_Status_Pipeline'!$B$3:$E$20,4,FALSE)),""))</t>
        </is>
      </c>
      <c r="AG199" s="4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49" t="inlineStr">
        <is>
          <t>IF(OR(F199="",AC199="Completed / Handover",AC199="Cancelled"),"",IF(O199="Not awarded",IF(U199&lt;&gt;"",U199-TODAY(),IF(X199="","",X199-TODAY())),IF(X199="","",X199-TODAY())))</t>
        </is>
      </c>
      <c r="AI199" s="47" t="n"/>
      <c r="AJ199" s="47" t="n"/>
      <c r="AK199" s="47" t="n"/>
      <c r="AL199" s="47" t="n"/>
      <c r="AM199" s="47" t="n"/>
      <c r="AN199" s="47" t="n"/>
      <c r="AO199" s="47" t="n"/>
      <c r="AP199" s="47" t="n"/>
      <c r="AQ199" s="47" t="n"/>
      <c r="AR199" s="47" t="n"/>
      <c r="AS199" s="47" t="n"/>
      <c r="AT199" s="50" t="n"/>
      <c r="AU199" s="50" t="n"/>
      <c r="AV199" s="50" t="n"/>
      <c r="AW199" s="49" t="inlineStr">
        <is>
          <t>IF(OR(F199="",AJ199=""),"",IF(COUNT(AI199:AI199)=0,"",AJ199-LOOKUP(2,1/(AI199:AI199&lt;&gt;""),AI199:AI199)))</t>
        </is>
      </c>
      <c r="AX199" s="49" t="inlineStr">
        <is>
          <t>IF(OR(F199="",AK199=""),"",IF(COUNT(AI199:AJ199)=0,"",AK199-LOOKUP(2,1/(AI199:AJ199&lt;&gt;""),AI199:AJ199)))</t>
        </is>
      </c>
      <c r="AY199" s="49" t="inlineStr">
        <is>
          <t>IF(OR(F199="",AL199=""),"",IF(COUNT(AI199:AK199)=0,"",AL199-LOOKUP(2,1/(AI199:AK199&lt;&gt;""),AI199:AK199)))</t>
        </is>
      </c>
      <c r="AZ199" s="49" t="inlineStr">
        <is>
          <t>IF(OR(F199="",AM199=""),"",IF(COUNT(AI199:AL199)=0,"",AM199-LOOKUP(2,1/(AI199:AL199&lt;&gt;""),AI199:AL199)))</t>
        </is>
      </c>
      <c r="BA199" s="49" t="inlineStr">
        <is>
          <t>IF(OR(F199="",AN199=""),"",IF(COUNT(AI199:AM199)=0,"",AN199-LOOKUP(2,1/(AI199:AM199&lt;&gt;""),AI199:AM199)))</t>
        </is>
      </c>
      <c r="BB199" s="49" t="inlineStr">
        <is>
          <t>IF(OR(F199="",AO199=""),"",IF(COUNT(AI199:AN199)=0,"",AO199-LOOKUP(2,1/(AI199:AN199&lt;&gt;""),AI199:AN199)))</t>
        </is>
      </c>
      <c r="BC199" s="49" t="inlineStr">
        <is>
          <t>IF(OR(F199="",AP199=""),"",IF(COUNT(AI199:AO199)=0,"",AP199-LOOKUP(2,1/(AI199:AO199&lt;&gt;""),AI199:AO199)))</t>
        </is>
      </c>
      <c r="BD199" s="49" t="inlineStr">
        <is>
          <t>IF(OR(F199="",AQ199=""),"",IF(COUNT(AI199:AP199)=0,"",AQ199-LOOKUP(2,1/(AI199:AP199&lt;&gt;""),AI199:AP199)))</t>
        </is>
      </c>
      <c r="BE199" s="49" t="inlineStr">
        <is>
          <t>IF(OR(F199="",AR199=""),"",IF(COUNT(AI199:AQ199)=0,"",AR199-LOOKUP(2,1/(AI199:AQ199&lt;&gt;""),AI199:AQ199)))</t>
        </is>
      </c>
      <c r="BF199" s="49" t="inlineStr">
        <is>
          <t>IF(OR(F199="",AS199=""),"",IF(COUNT(AI199:AR199)=0,"",AS199-LOOKUP(2,1/(AI199:AR199&lt;&gt;""),AI199:AR199)))</t>
        </is>
      </c>
      <c r="BG199" s="49" t="inlineStr">
        <is>
          <t>IF(OR(F199="",AT199=""),"",IF(COUNT(AI199:AS199)=0,"",AT199-LOOKUP(2,1/(AI199:AS199&lt;&gt;""),AI199:AS199)))</t>
        </is>
      </c>
      <c r="BH199" s="49" t="inlineStr">
        <is>
          <t>IF(OR(F199="",AU199=""),"",IF(COUNT(AI199:AT199)=0,"",AU199-LOOKUP(2,1/(AI199:AT199&lt;&gt;""),AI199:AT199)))</t>
        </is>
      </c>
      <c r="BI199" s="49" t="inlineStr">
        <is>
          <t>IF(OR(F199="",AV199=""),"",IF(COUNT(AI199:AU199)=0,"",AV199-LOOKUP(2,1/(AI199:AU199&lt;&gt;""),AI199:AU199)))</t>
        </is>
      </c>
      <c r="BJ199" s="51" t="inlineStr">
        <is>
          <t>IF(J199="","All_Provinces",IFERROR(VLOOKUP(J199,'09_Lookups'!$A$4:$B$20,2,FALSE),"All_Provinces"))</t>
        </is>
      </c>
      <c r="BK199" s="51" t="inlineStr">
        <is>
          <t>IF(K199="","All_Districts",IFERROR(VLOOKUP(K199,'09_Lookups'!$E$4:$F$42,2,FALSE),"All_Districts"))</t>
        </is>
      </c>
    </row>
    <row r="200" ht="18" customHeight="1">
      <c r="A200" s="42" t="inlineStr">
        <is>
          <t>IF(F200="","",ROW()-3)</t>
        </is>
      </c>
      <c r="B200" s="52" t="n"/>
      <c r="C200" s="52" t="n"/>
      <c r="D200" s="52" t="n"/>
      <c r="E200" s="52" t="n"/>
      <c r="F200" s="52" t="n"/>
      <c r="G200" s="52" t="n"/>
      <c r="H200" s="52" t="n"/>
      <c r="I200" s="52" t="n"/>
      <c r="J200" s="52" t="n"/>
      <c r="K200" s="52" t="n"/>
      <c r="L200" s="52" t="n"/>
      <c r="M200" s="52" t="n"/>
      <c r="N200" s="52" t="n"/>
      <c r="O200" s="52" t="n"/>
      <c r="P200" s="52" t="n"/>
      <c r="Q200" s="52" t="n"/>
      <c r="R200" s="52" t="n"/>
      <c r="S200" s="53" t="n"/>
      <c r="T200" s="46" t="inlineStr">
        <is>
          <t>IF(AQ200="","",AQ200)</t>
        </is>
      </c>
      <c r="U200" s="54" t="n"/>
      <c r="V200" s="55" t="n"/>
      <c r="W200" s="54" t="n"/>
      <c r="X200" s="46" t="inlineStr">
        <is>
          <t>IF(W200&lt;&gt;"",W200,IF(OR(T200="",V200=""),"",EDATE(T200,V200)))</t>
        </is>
      </c>
      <c r="Y200" s="54" t="n"/>
      <c r="Z200" s="55" t="n"/>
      <c r="AA200" s="52" t="n"/>
      <c r="AB200" s="52" t="n"/>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54" t="n"/>
      <c r="AJ200" s="54" t="n"/>
      <c r="AK200" s="54" t="n"/>
      <c r="AL200" s="54" t="n"/>
      <c r="AM200" s="54" t="n"/>
      <c r="AN200" s="54" t="n"/>
      <c r="AO200" s="54" t="n"/>
      <c r="AP200" s="54" t="n"/>
      <c r="AQ200" s="54" t="n"/>
      <c r="AR200" s="54" t="n"/>
      <c r="AS200" s="54" t="n"/>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42" t="inlineStr">
        <is>
          <t>IF(F201="","",ROW()-3)</t>
        </is>
      </c>
      <c r="B201" s="44" t="n"/>
      <c r="C201" s="44" t="n"/>
      <c r="D201" s="44" t="n"/>
      <c r="E201" s="44" t="n"/>
      <c r="F201" s="44" t="n"/>
      <c r="G201" s="44" t="n"/>
      <c r="H201" s="44" t="n"/>
      <c r="I201" s="44" t="n"/>
      <c r="J201" s="44" t="n"/>
      <c r="K201" s="44" t="n"/>
      <c r="L201" s="44" t="n"/>
      <c r="M201" s="44" t="n"/>
      <c r="N201" s="44" t="n"/>
      <c r="O201" s="44" t="n"/>
      <c r="P201" s="44" t="n"/>
      <c r="Q201" s="44" t="n"/>
      <c r="R201" s="44" t="n"/>
      <c r="S201" s="45" t="n"/>
      <c r="T201" s="46" t="inlineStr">
        <is>
          <t>IF(AQ201="","",AQ201)</t>
        </is>
      </c>
      <c r="U201" s="47" t="n"/>
      <c r="V201" s="48" t="n"/>
      <c r="W201" s="47" t="n"/>
      <c r="X201" s="46" t="inlineStr">
        <is>
          <t>IF(W201&lt;&gt;"",W201,IF(OR(T201="",V201=""),"",EDATE(T201,V201)))</t>
        </is>
      </c>
      <c r="Y201" s="47" t="n"/>
      <c r="Z201" s="48" t="n"/>
      <c r="AA201" s="44" t="n"/>
      <c r="AB201" s="44" t="n"/>
      <c r="AC201" s="42" t="inlineStr">
        <is>
          <t>IF(F201="","",IF(COUNT(AI201:AV201)=0,IF(AA201="","Not started",AA201),SUBSTITUTE(LOOKUP(2,1/(AI201:AV201&lt;&gt;""),$AI$3:$AV$3),"Date: ","")))</t>
        </is>
      </c>
      <c r="AD201" s="49" t="inlineStr">
        <is>
          <t>IF(OR(F201="",COUNT(AI201:AV201)=0),"",TODAY()-LOOKUP(2,1/(AI201:AV201&lt;&gt;""),AI201:AV201))</t>
        </is>
      </c>
      <c r="AE201" s="49" t="inlineStr">
        <is>
          <t>IF(OR(F201="",COUNT(AI201:AV201)&lt;2),"",LOOKUP(2,1/(AI201:AV201&lt;&gt;""),AI201:AV201)-MIN(AI201:AV201))</t>
        </is>
      </c>
      <c r="AF201" s="49" t="inlineStr">
        <is>
          <t>IF(OR(AD201="",AC201="Not started",AC201=""),"",IFERROR(AD201-IF(VLOOKUP(AC201,'06_Status_Pipeline'!$B$3:$E$20,4,FALSE)="",0,VLOOKUP(AC201,'06_Status_Pipeline'!$B$3:$E$20,4,FALSE)),""))</t>
        </is>
      </c>
      <c r="AG201" s="4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49" t="inlineStr">
        <is>
          <t>IF(OR(F201="",AC201="Completed / Handover",AC201="Cancelled"),"",IF(O201="Not awarded",IF(U201&lt;&gt;"",U201-TODAY(),IF(X201="","",X201-TODAY())),IF(X201="","",X201-TODAY())))</t>
        </is>
      </c>
      <c r="AI201" s="47" t="n"/>
      <c r="AJ201" s="47" t="n"/>
      <c r="AK201" s="47" t="n"/>
      <c r="AL201" s="47" t="n"/>
      <c r="AM201" s="47" t="n"/>
      <c r="AN201" s="47" t="n"/>
      <c r="AO201" s="47" t="n"/>
      <c r="AP201" s="47" t="n"/>
      <c r="AQ201" s="47" t="n"/>
      <c r="AR201" s="47" t="n"/>
      <c r="AS201" s="47" t="n"/>
      <c r="AT201" s="50" t="n"/>
      <c r="AU201" s="50" t="n"/>
      <c r="AV201" s="50" t="n"/>
      <c r="AW201" s="49" t="inlineStr">
        <is>
          <t>IF(OR(F201="",AJ201=""),"",IF(COUNT(AI201:AI201)=0,"",AJ201-LOOKUP(2,1/(AI201:AI201&lt;&gt;""),AI201:AI201)))</t>
        </is>
      </c>
      <c r="AX201" s="49" t="inlineStr">
        <is>
          <t>IF(OR(F201="",AK201=""),"",IF(COUNT(AI201:AJ201)=0,"",AK201-LOOKUP(2,1/(AI201:AJ201&lt;&gt;""),AI201:AJ201)))</t>
        </is>
      </c>
      <c r="AY201" s="49" t="inlineStr">
        <is>
          <t>IF(OR(F201="",AL201=""),"",IF(COUNT(AI201:AK201)=0,"",AL201-LOOKUP(2,1/(AI201:AK201&lt;&gt;""),AI201:AK201)))</t>
        </is>
      </c>
      <c r="AZ201" s="49" t="inlineStr">
        <is>
          <t>IF(OR(F201="",AM201=""),"",IF(COUNT(AI201:AL201)=0,"",AM201-LOOKUP(2,1/(AI201:AL201&lt;&gt;""),AI201:AL201)))</t>
        </is>
      </c>
      <c r="BA201" s="49" t="inlineStr">
        <is>
          <t>IF(OR(F201="",AN201=""),"",IF(COUNT(AI201:AM201)=0,"",AN201-LOOKUP(2,1/(AI201:AM201&lt;&gt;""),AI201:AM201)))</t>
        </is>
      </c>
      <c r="BB201" s="49" t="inlineStr">
        <is>
          <t>IF(OR(F201="",AO201=""),"",IF(COUNT(AI201:AN201)=0,"",AO201-LOOKUP(2,1/(AI201:AN201&lt;&gt;""),AI201:AN201)))</t>
        </is>
      </c>
      <c r="BC201" s="49" t="inlineStr">
        <is>
          <t>IF(OR(F201="",AP201=""),"",IF(COUNT(AI201:AO201)=0,"",AP201-LOOKUP(2,1/(AI201:AO201&lt;&gt;""),AI201:AO201)))</t>
        </is>
      </c>
      <c r="BD201" s="49" t="inlineStr">
        <is>
          <t>IF(OR(F201="",AQ201=""),"",IF(COUNT(AI201:AP201)=0,"",AQ201-LOOKUP(2,1/(AI201:AP201&lt;&gt;""),AI201:AP201)))</t>
        </is>
      </c>
      <c r="BE201" s="49" t="inlineStr">
        <is>
          <t>IF(OR(F201="",AR201=""),"",IF(COUNT(AI201:AQ201)=0,"",AR201-LOOKUP(2,1/(AI201:AQ201&lt;&gt;""),AI201:AQ201)))</t>
        </is>
      </c>
      <c r="BF201" s="49" t="inlineStr">
        <is>
          <t>IF(OR(F201="",AS201=""),"",IF(COUNT(AI201:AR201)=0,"",AS201-LOOKUP(2,1/(AI201:AR201&lt;&gt;""),AI201:AR201)))</t>
        </is>
      </c>
      <c r="BG201" s="49" t="inlineStr">
        <is>
          <t>IF(OR(F201="",AT201=""),"",IF(COUNT(AI201:AS201)=0,"",AT201-LOOKUP(2,1/(AI201:AS201&lt;&gt;""),AI201:AS201)))</t>
        </is>
      </c>
      <c r="BH201" s="49" t="inlineStr">
        <is>
          <t>IF(OR(F201="",AU201=""),"",IF(COUNT(AI201:AT201)=0,"",AU201-LOOKUP(2,1/(AI201:AT201&lt;&gt;""),AI201:AT201)))</t>
        </is>
      </c>
      <c r="BI201" s="49" t="inlineStr">
        <is>
          <t>IF(OR(F201="",AV201=""),"",IF(COUNT(AI201:AU201)=0,"",AV201-LOOKUP(2,1/(AI201:AU201&lt;&gt;""),AI201:AU201)))</t>
        </is>
      </c>
      <c r="BJ201" s="51" t="inlineStr">
        <is>
          <t>IF(J201="","All_Provinces",IFERROR(VLOOKUP(J201,'09_Lookups'!$A$4:$B$20,2,FALSE),"All_Provinces"))</t>
        </is>
      </c>
      <c r="BK201" s="51" t="inlineStr">
        <is>
          <t>IF(K201="","All_Districts",IFERROR(VLOOKUP(K201,'09_Lookups'!$E$4:$F$42,2,FALSE),"All_Districts"))</t>
        </is>
      </c>
    </row>
    <row r="202" ht="18" customHeight="1">
      <c r="A202" s="42" t="inlineStr">
        <is>
          <t>IF(F202="","",ROW()-3)</t>
        </is>
      </c>
      <c r="B202" s="52" t="n"/>
      <c r="C202" s="52" t="n"/>
      <c r="D202" s="52" t="n"/>
      <c r="E202" s="52" t="n"/>
      <c r="F202" s="52" t="n"/>
      <c r="G202" s="52" t="n"/>
      <c r="H202" s="52" t="n"/>
      <c r="I202" s="52" t="n"/>
      <c r="J202" s="52" t="n"/>
      <c r="K202" s="52" t="n"/>
      <c r="L202" s="52" t="n"/>
      <c r="M202" s="52" t="n"/>
      <c r="N202" s="52" t="n"/>
      <c r="O202" s="52" t="n"/>
      <c r="P202" s="52" t="n"/>
      <c r="Q202" s="52" t="n"/>
      <c r="R202" s="52" t="n"/>
      <c r="S202" s="53" t="n"/>
      <c r="T202" s="46" t="inlineStr">
        <is>
          <t>IF(AQ202="","",AQ202)</t>
        </is>
      </c>
      <c r="U202" s="54" t="n"/>
      <c r="V202" s="55" t="n"/>
      <c r="W202" s="54" t="n"/>
      <c r="X202" s="46" t="inlineStr">
        <is>
          <t>IF(W202&lt;&gt;"",W202,IF(OR(T202="",V202=""),"",EDATE(T202,V202)))</t>
        </is>
      </c>
      <c r="Y202" s="54" t="n"/>
      <c r="Z202" s="55" t="n"/>
      <c r="AA202" s="52" t="n"/>
      <c r="AB202" s="52" t="n"/>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54" t="n"/>
      <c r="AJ202" s="54" t="n"/>
      <c r="AK202" s="54" t="n"/>
      <c r="AL202" s="54" t="n"/>
      <c r="AM202" s="54" t="n"/>
      <c r="AN202" s="54" t="n"/>
      <c r="AO202" s="54" t="n"/>
      <c r="AP202" s="54" t="n"/>
      <c r="AQ202" s="54" t="n"/>
      <c r="AR202" s="54" t="n"/>
      <c r="AS202" s="54"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42" t="inlineStr">
        <is>
          <t>IF(F203="","",ROW()-3)</t>
        </is>
      </c>
      <c r="B203" s="44" t="n"/>
      <c r="C203" s="44" t="n"/>
      <c r="D203" s="44" t="n"/>
      <c r="E203" s="44" t="n"/>
      <c r="F203" s="44" t="n"/>
      <c r="G203" s="44" t="n"/>
      <c r="H203" s="44" t="n"/>
      <c r="I203" s="44" t="n"/>
      <c r="J203" s="44" t="n"/>
      <c r="K203" s="44" t="n"/>
      <c r="L203" s="44" t="n"/>
      <c r="M203" s="44" t="n"/>
      <c r="N203" s="44" t="n"/>
      <c r="O203" s="44" t="n"/>
      <c r="P203" s="44" t="n"/>
      <c r="Q203" s="44" t="n"/>
      <c r="R203" s="44" t="n"/>
      <c r="S203" s="45" t="n"/>
      <c r="T203" s="46" t="inlineStr">
        <is>
          <t>IF(AQ203="","",AQ203)</t>
        </is>
      </c>
      <c r="U203" s="47" t="n"/>
      <c r="V203" s="48" t="n"/>
      <c r="W203" s="47" t="n"/>
      <c r="X203" s="46" t="inlineStr">
        <is>
          <t>IF(W203&lt;&gt;"",W203,IF(OR(T203="",V203=""),"",EDATE(T203,V203)))</t>
        </is>
      </c>
      <c r="Y203" s="47" t="n"/>
      <c r="Z203" s="48" t="n"/>
      <c r="AA203" s="44" t="n"/>
      <c r="AB203" s="44" t="n"/>
      <c r="AC203" s="42" t="inlineStr">
        <is>
          <t>IF(F203="","",IF(COUNT(AI203:AV203)=0,IF(AA203="","Not started",AA203),SUBSTITUTE(LOOKUP(2,1/(AI203:AV203&lt;&gt;""),$AI$3:$AV$3),"Date: ","")))</t>
        </is>
      </c>
      <c r="AD203" s="49" t="inlineStr">
        <is>
          <t>IF(OR(F203="",COUNT(AI203:AV203)=0),"",TODAY()-LOOKUP(2,1/(AI203:AV203&lt;&gt;""),AI203:AV203))</t>
        </is>
      </c>
      <c r="AE203" s="49" t="inlineStr">
        <is>
          <t>IF(OR(F203="",COUNT(AI203:AV203)&lt;2),"",LOOKUP(2,1/(AI203:AV203&lt;&gt;""),AI203:AV203)-MIN(AI203:AV203))</t>
        </is>
      </c>
      <c r="AF203" s="49" t="inlineStr">
        <is>
          <t>IF(OR(AD203="",AC203="Not started",AC203=""),"",IFERROR(AD203-IF(VLOOKUP(AC203,'06_Status_Pipeline'!$B$3:$E$20,4,FALSE)="",0,VLOOKUP(AC203,'06_Status_Pipeline'!$B$3:$E$20,4,FALSE)),""))</t>
        </is>
      </c>
      <c r="AG203" s="4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49" t="inlineStr">
        <is>
          <t>IF(OR(F203="",AC203="Completed / Handover",AC203="Cancelled"),"",IF(O203="Not awarded",IF(U203&lt;&gt;"",U203-TODAY(),IF(X203="","",X203-TODAY())),IF(X203="","",X203-TODAY())))</t>
        </is>
      </c>
      <c r="AI203" s="47" t="n"/>
      <c r="AJ203" s="47" t="n"/>
      <c r="AK203" s="47" t="n"/>
      <c r="AL203" s="47" t="n"/>
      <c r="AM203" s="47" t="n"/>
      <c r="AN203" s="47" t="n"/>
      <c r="AO203" s="47" t="n"/>
      <c r="AP203" s="47" t="n"/>
      <c r="AQ203" s="47" t="n"/>
      <c r="AR203" s="47" t="n"/>
      <c r="AS203" s="47" t="n"/>
      <c r="AT203" s="50" t="n"/>
      <c r="AU203" s="50" t="n"/>
      <c r="AV203" s="50" t="n"/>
      <c r="AW203" s="49" t="inlineStr">
        <is>
          <t>IF(OR(F203="",AJ203=""),"",IF(COUNT(AI203:AI203)=0,"",AJ203-LOOKUP(2,1/(AI203:AI203&lt;&gt;""),AI203:AI203)))</t>
        </is>
      </c>
      <c r="AX203" s="49" t="inlineStr">
        <is>
          <t>IF(OR(F203="",AK203=""),"",IF(COUNT(AI203:AJ203)=0,"",AK203-LOOKUP(2,1/(AI203:AJ203&lt;&gt;""),AI203:AJ203)))</t>
        </is>
      </c>
      <c r="AY203" s="49" t="inlineStr">
        <is>
          <t>IF(OR(F203="",AL203=""),"",IF(COUNT(AI203:AK203)=0,"",AL203-LOOKUP(2,1/(AI203:AK203&lt;&gt;""),AI203:AK203)))</t>
        </is>
      </c>
      <c r="AZ203" s="49" t="inlineStr">
        <is>
          <t>IF(OR(F203="",AM203=""),"",IF(COUNT(AI203:AL203)=0,"",AM203-LOOKUP(2,1/(AI203:AL203&lt;&gt;""),AI203:AL203)))</t>
        </is>
      </c>
      <c r="BA203" s="49" t="inlineStr">
        <is>
          <t>IF(OR(F203="",AN203=""),"",IF(COUNT(AI203:AM203)=0,"",AN203-LOOKUP(2,1/(AI203:AM203&lt;&gt;""),AI203:AM203)))</t>
        </is>
      </c>
      <c r="BB203" s="49" t="inlineStr">
        <is>
          <t>IF(OR(F203="",AO203=""),"",IF(COUNT(AI203:AN203)=0,"",AO203-LOOKUP(2,1/(AI203:AN203&lt;&gt;""),AI203:AN203)))</t>
        </is>
      </c>
      <c r="BC203" s="49" t="inlineStr">
        <is>
          <t>IF(OR(F203="",AP203=""),"",IF(COUNT(AI203:AO203)=0,"",AP203-LOOKUP(2,1/(AI203:AO203&lt;&gt;""),AI203:AO203)))</t>
        </is>
      </c>
      <c r="BD203" s="49" t="inlineStr">
        <is>
          <t>IF(OR(F203="",AQ203=""),"",IF(COUNT(AI203:AP203)=0,"",AQ203-LOOKUP(2,1/(AI203:AP203&lt;&gt;""),AI203:AP203)))</t>
        </is>
      </c>
      <c r="BE203" s="49" t="inlineStr">
        <is>
          <t>IF(OR(F203="",AR203=""),"",IF(COUNT(AI203:AQ203)=0,"",AR203-LOOKUP(2,1/(AI203:AQ203&lt;&gt;""),AI203:AQ203)))</t>
        </is>
      </c>
      <c r="BF203" s="49" t="inlineStr">
        <is>
          <t>IF(OR(F203="",AS203=""),"",IF(COUNT(AI203:AR203)=0,"",AS203-LOOKUP(2,1/(AI203:AR203&lt;&gt;""),AI203:AR203)))</t>
        </is>
      </c>
      <c r="BG203" s="49" t="inlineStr">
        <is>
          <t>IF(OR(F203="",AT203=""),"",IF(COUNT(AI203:AS203)=0,"",AT203-LOOKUP(2,1/(AI203:AS203&lt;&gt;""),AI203:AS203)))</t>
        </is>
      </c>
      <c r="BH203" s="49" t="inlineStr">
        <is>
          <t>IF(OR(F203="",AU203=""),"",IF(COUNT(AI203:AT203)=0,"",AU203-LOOKUP(2,1/(AI203:AT203&lt;&gt;""),AI203:AT203)))</t>
        </is>
      </c>
      <c r="BI203" s="49" t="inlineStr">
        <is>
          <t>IF(OR(F203="",AV203=""),"",IF(COUNT(AI203:AU203)=0,"",AV203-LOOKUP(2,1/(AI203:AU203&lt;&gt;""),AI203:AU203)))</t>
        </is>
      </c>
      <c r="BJ203" s="51" t="inlineStr">
        <is>
          <t>IF(J203="","All_Provinces",IFERROR(VLOOKUP(J203,'09_Lookups'!$A$4:$B$20,2,FALSE),"All_Provinces"))</t>
        </is>
      </c>
      <c r="BK203" s="51" t="inlineStr">
        <is>
          <t>IF(K203="","All_Districts",IFERROR(VLOOKUP(K203,'09_Lookups'!$E$4:$F$42,2,FALSE),"All_Districts"))</t>
        </is>
      </c>
    </row>
    <row r="204" ht="18" customHeight="1">
      <c r="A204" s="42" t="inlineStr">
        <is>
          <t>IF(F204="","",ROW()-3)</t>
        </is>
      </c>
      <c r="B204" s="52" t="n"/>
      <c r="C204" s="52" t="n"/>
      <c r="D204" s="52" t="n"/>
      <c r="E204" s="52" t="n"/>
      <c r="F204" s="52" t="n"/>
      <c r="G204" s="52" t="n"/>
      <c r="H204" s="52" t="n"/>
      <c r="I204" s="52" t="n"/>
      <c r="J204" s="52" t="n"/>
      <c r="K204" s="52" t="n"/>
      <c r="L204" s="52" t="n"/>
      <c r="M204" s="52" t="n"/>
      <c r="N204" s="52" t="n"/>
      <c r="O204" s="52" t="n"/>
      <c r="P204" s="52" t="n"/>
      <c r="Q204" s="52" t="n"/>
      <c r="R204" s="52" t="n"/>
      <c r="S204" s="53" t="n"/>
      <c r="T204" s="46" t="inlineStr">
        <is>
          <t>IF(AQ204="","",AQ204)</t>
        </is>
      </c>
      <c r="U204" s="54" t="n"/>
      <c r="V204" s="55" t="n"/>
      <c r="W204" s="54" t="n"/>
      <c r="X204" s="46" t="inlineStr">
        <is>
          <t>IF(W204&lt;&gt;"",W204,IF(OR(T204="",V204=""),"",EDATE(T204,V204)))</t>
        </is>
      </c>
      <c r="Y204" s="54" t="n"/>
      <c r="Z204" s="55" t="n"/>
      <c r="AA204" s="52" t="n"/>
      <c r="AB204" s="52" t="n"/>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42" t="inlineStr">
        <is>
          <t>IF(F205="","",ROW()-3)</t>
        </is>
      </c>
      <c r="B205" s="44" t="n"/>
      <c r="C205" s="44" t="n"/>
      <c r="D205" s="44" t="n"/>
      <c r="E205" s="44" t="n"/>
      <c r="F205" s="44" t="n"/>
      <c r="G205" s="44" t="n"/>
      <c r="H205" s="44" t="n"/>
      <c r="I205" s="44" t="n"/>
      <c r="J205" s="44" t="n"/>
      <c r="K205" s="44" t="n"/>
      <c r="L205" s="44" t="n"/>
      <c r="M205" s="44" t="n"/>
      <c r="N205" s="44" t="n"/>
      <c r="O205" s="44" t="n"/>
      <c r="P205" s="44" t="n"/>
      <c r="Q205" s="44" t="n"/>
      <c r="R205" s="44" t="n"/>
      <c r="S205" s="45" t="n"/>
      <c r="T205" s="46" t="inlineStr">
        <is>
          <t>IF(AQ205="","",AQ205)</t>
        </is>
      </c>
      <c r="U205" s="47" t="n"/>
      <c r="V205" s="48" t="n"/>
      <c r="W205" s="47" t="n"/>
      <c r="X205" s="46" t="inlineStr">
        <is>
          <t>IF(W205&lt;&gt;"",W205,IF(OR(T205="",V205=""),"",EDATE(T205,V205)))</t>
        </is>
      </c>
      <c r="Y205" s="47" t="n"/>
      <c r="Z205" s="48" t="n"/>
      <c r="AA205" s="44" t="n"/>
      <c r="AB205" s="44" t="n"/>
      <c r="AC205" s="42" t="inlineStr">
        <is>
          <t>IF(F205="","",IF(COUNT(AI205:AV205)=0,IF(AA205="","Not started",AA205),SUBSTITUTE(LOOKUP(2,1/(AI205:AV205&lt;&gt;""),$AI$3:$AV$3),"Date: ","")))</t>
        </is>
      </c>
      <c r="AD205" s="49" t="inlineStr">
        <is>
          <t>IF(OR(F205="",COUNT(AI205:AV205)=0),"",TODAY()-LOOKUP(2,1/(AI205:AV205&lt;&gt;""),AI205:AV205))</t>
        </is>
      </c>
      <c r="AE205" s="49" t="inlineStr">
        <is>
          <t>IF(OR(F205="",COUNT(AI205:AV205)&lt;2),"",LOOKUP(2,1/(AI205:AV205&lt;&gt;""),AI205:AV205)-MIN(AI205:AV205))</t>
        </is>
      </c>
      <c r="AF205" s="49" t="inlineStr">
        <is>
          <t>IF(OR(AD205="",AC205="Not started",AC205=""),"",IFERROR(AD205-IF(VLOOKUP(AC205,'06_Status_Pipeline'!$B$3:$E$20,4,FALSE)="",0,VLOOKUP(AC205,'06_Status_Pipeline'!$B$3:$E$20,4,FALSE)),""))</t>
        </is>
      </c>
      <c r="AG205" s="4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49" t="inlineStr">
        <is>
          <t>IF(OR(F205="",AC205="Completed / Handover",AC205="Cancelled"),"",IF(O205="Not awarded",IF(U205&lt;&gt;"",U205-TODAY(),IF(X205="","",X205-TODAY())),IF(X205="","",X205-TODAY())))</t>
        </is>
      </c>
      <c r="AI205" s="47" t="n"/>
      <c r="AJ205" s="47" t="n"/>
      <c r="AK205" s="47" t="n"/>
      <c r="AL205" s="47" t="n"/>
      <c r="AM205" s="47" t="n"/>
      <c r="AN205" s="47" t="n"/>
      <c r="AO205" s="47" t="n"/>
      <c r="AP205" s="47" t="n"/>
      <c r="AQ205" s="47" t="n"/>
      <c r="AR205" s="47" t="n"/>
      <c r="AS205" s="47" t="n"/>
      <c r="AT205" s="50" t="n"/>
      <c r="AU205" s="50" t="n"/>
      <c r="AV205" s="50" t="n"/>
      <c r="AW205" s="49" t="inlineStr">
        <is>
          <t>IF(OR(F205="",AJ205=""),"",IF(COUNT(AI205:AI205)=0,"",AJ205-LOOKUP(2,1/(AI205:AI205&lt;&gt;""),AI205:AI205)))</t>
        </is>
      </c>
      <c r="AX205" s="49" t="inlineStr">
        <is>
          <t>IF(OR(F205="",AK205=""),"",IF(COUNT(AI205:AJ205)=0,"",AK205-LOOKUP(2,1/(AI205:AJ205&lt;&gt;""),AI205:AJ205)))</t>
        </is>
      </c>
      <c r="AY205" s="49" t="inlineStr">
        <is>
          <t>IF(OR(F205="",AL205=""),"",IF(COUNT(AI205:AK205)=0,"",AL205-LOOKUP(2,1/(AI205:AK205&lt;&gt;""),AI205:AK205)))</t>
        </is>
      </c>
      <c r="AZ205" s="49" t="inlineStr">
        <is>
          <t>IF(OR(F205="",AM205=""),"",IF(COUNT(AI205:AL205)=0,"",AM205-LOOKUP(2,1/(AI205:AL205&lt;&gt;""),AI205:AL205)))</t>
        </is>
      </c>
      <c r="BA205" s="49" t="inlineStr">
        <is>
          <t>IF(OR(F205="",AN205=""),"",IF(COUNT(AI205:AM205)=0,"",AN205-LOOKUP(2,1/(AI205:AM205&lt;&gt;""),AI205:AM205)))</t>
        </is>
      </c>
      <c r="BB205" s="49" t="inlineStr">
        <is>
          <t>IF(OR(F205="",AO205=""),"",IF(COUNT(AI205:AN205)=0,"",AO205-LOOKUP(2,1/(AI205:AN205&lt;&gt;""),AI205:AN205)))</t>
        </is>
      </c>
      <c r="BC205" s="49" t="inlineStr">
        <is>
          <t>IF(OR(F205="",AP205=""),"",IF(COUNT(AI205:AO205)=0,"",AP205-LOOKUP(2,1/(AI205:AO205&lt;&gt;""),AI205:AO205)))</t>
        </is>
      </c>
      <c r="BD205" s="49" t="inlineStr">
        <is>
          <t>IF(OR(F205="",AQ205=""),"",IF(COUNT(AI205:AP205)=0,"",AQ205-LOOKUP(2,1/(AI205:AP205&lt;&gt;""),AI205:AP205)))</t>
        </is>
      </c>
      <c r="BE205" s="49" t="inlineStr">
        <is>
          <t>IF(OR(F205="",AR205=""),"",IF(COUNT(AI205:AQ205)=0,"",AR205-LOOKUP(2,1/(AI205:AQ205&lt;&gt;""),AI205:AQ205)))</t>
        </is>
      </c>
      <c r="BF205" s="49" t="inlineStr">
        <is>
          <t>IF(OR(F205="",AS205=""),"",IF(COUNT(AI205:AR205)=0,"",AS205-LOOKUP(2,1/(AI205:AR205&lt;&gt;""),AI205:AR205)))</t>
        </is>
      </c>
      <c r="BG205" s="49" t="inlineStr">
        <is>
          <t>IF(OR(F205="",AT205=""),"",IF(COUNT(AI205:AS205)=0,"",AT205-LOOKUP(2,1/(AI205:AS205&lt;&gt;""),AI205:AS205)))</t>
        </is>
      </c>
      <c r="BH205" s="49" t="inlineStr">
        <is>
          <t>IF(OR(F205="",AU205=""),"",IF(COUNT(AI205:AT205)=0,"",AU205-LOOKUP(2,1/(AI205:AT205&lt;&gt;""),AI205:AT205)))</t>
        </is>
      </c>
      <c r="BI205" s="49" t="inlineStr">
        <is>
          <t>IF(OR(F205="",AV205=""),"",IF(COUNT(AI205:AU205)=0,"",AV205-LOOKUP(2,1/(AI205:AU205&lt;&gt;""),AI205:AU205)))</t>
        </is>
      </c>
      <c r="BJ205" s="51" t="inlineStr">
        <is>
          <t>IF(J205="","All_Provinces",IFERROR(VLOOKUP(J205,'09_Lookups'!$A$4:$B$20,2,FALSE),"All_Provinces"))</t>
        </is>
      </c>
      <c r="BK205" s="51" t="inlineStr">
        <is>
          <t>IF(K205="","All_Districts",IFERROR(VLOOKUP(K205,'09_Lookups'!$E$4:$F$42,2,FALSE),"All_Districts"))</t>
        </is>
      </c>
    </row>
    <row r="206" ht="18" customHeight="1">
      <c r="A206" s="42" t="inlineStr">
        <is>
          <t>IF(F206="","",ROW()-3)</t>
        </is>
      </c>
      <c r="B206" s="52" t="n"/>
      <c r="C206" s="52" t="n"/>
      <c r="D206" s="52" t="n"/>
      <c r="E206" s="52" t="n"/>
      <c r="F206" s="52" t="n"/>
      <c r="G206" s="52" t="n"/>
      <c r="H206" s="52" t="n"/>
      <c r="I206" s="52" t="n"/>
      <c r="J206" s="52" t="n"/>
      <c r="K206" s="52" t="n"/>
      <c r="L206" s="52" t="n"/>
      <c r="M206" s="52" t="n"/>
      <c r="N206" s="52" t="n"/>
      <c r="O206" s="52" t="n"/>
      <c r="P206" s="52" t="n"/>
      <c r="Q206" s="52" t="n"/>
      <c r="R206" s="52" t="n"/>
      <c r="S206" s="53" t="n"/>
      <c r="T206" s="46" t="inlineStr">
        <is>
          <t>IF(AQ206="","",AQ206)</t>
        </is>
      </c>
      <c r="U206" s="54" t="n"/>
      <c r="V206" s="55" t="n"/>
      <c r="W206" s="54" t="n"/>
      <c r="X206" s="46" t="inlineStr">
        <is>
          <t>IF(W206&lt;&gt;"",W206,IF(OR(T206="",V206=""),"",EDATE(T206,V206)))</t>
        </is>
      </c>
      <c r="Y206" s="54" t="n"/>
      <c r="Z206" s="55" t="n"/>
      <c r="AA206" s="52" t="n"/>
      <c r="AB206" s="52" t="n"/>
      <c r="AC206" s="42" t="inlineStr">
        <is>
          <t>IF(F206="","",IF(COUNT(AI206:AV206)=0,IF(AA206="","Not started",AA206),SUBSTITUTE(LOOKUP(2,1/(AI206:AV206&lt;&gt;""),$AI$3:$AV$3),"Date: ","")))</t>
        </is>
      </c>
      <c r="AD206" s="49" t="inlineStr">
        <is>
          <t>IF(OR(F206="",COUNT(AI206:AV206)=0),"",TODAY()-LOOKUP(2,1/(AI206:AV206&lt;&gt;""),AI206:AV206))</t>
        </is>
      </c>
      <c r="AE206" s="49" t="inlineStr">
        <is>
          <t>IF(OR(F206="",COUNT(AI206:AV206)&lt;2),"",LOOKUP(2,1/(AI206:AV206&lt;&gt;""),AI206:AV206)-MIN(AI206:AV206))</t>
        </is>
      </c>
      <c r="AF206" s="49" t="inlineStr">
        <is>
          <t>IF(OR(AD206="",AC206="Not started",AC206=""),"",IFERROR(AD206-IF(VLOOKUP(AC206,'06_Status_Pipeline'!$B$3:$E$20,4,FALSE)="",0,VLOOKUP(AC206,'06_Status_Pipeline'!$B$3:$E$20,4,FALSE)),""))</t>
        </is>
      </c>
      <c r="AG206" s="4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49" t="inlineStr">
        <is>
          <t>IF(OR(F206="",AC206="Completed / Handover",AC206="Cancelled"),"",IF(O206="Not awarded",IF(U206&lt;&gt;"",U206-TODAY(),IF(X206="","",X206-TODAY())),IF(X206="","",X206-TODAY())))</t>
        </is>
      </c>
      <c r="AI206" s="54" t="n"/>
      <c r="AJ206" s="54" t="n"/>
      <c r="AK206" s="54" t="n"/>
      <c r="AL206" s="54" t="n"/>
      <c r="AM206" s="54" t="n"/>
      <c r="AN206" s="54" t="n"/>
      <c r="AO206" s="54" t="n"/>
      <c r="AP206" s="54" t="n"/>
      <c r="AQ206" s="54" t="n"/>
      <c r="AR206" s="54" t="n"/>
      <c r="AS206" s="54" t="n"/>
      <c r="AT206" s="50" t="n"/>
      <c r="AU206" s="50" t="n"/>
      <c r="AV206" s="50" t="n"/>
      <c r="AW206" s="49" t="inlineStr">
        <is>
          <t>IF(OR(F206="",AJ206=""),"",IF(COUNT(AI206:AI206)=0,"",AJ206-LOOKUP(2,1/(AI206:AI206&lt;&gt;""),AI206:AI206)))</t>
        </is>
      </c>
      <c r="AX206" s="49" t="inlineStr">
        <is>
          <t>IF(OR(F206="",AK206=""),"",IF(COUNT(AI206:AJ206)=0,"",AK206-LOOKUP(2,1/(AI206:AJ206&lt;&gt;""),AI206:AJ206)))</t>
        </is>
      </c>
      <c r="AY206" s="49" t="inlineStr">
        <is>
          <t>IF(OR(F206="",AL206=""),"",IF(COUNT(AI206:AK206)=0,"",AL206-LOOKUP(2,1/(AI206:AK206&lt;&gt;""),AI206:AK206)))</t>
        </is>
      </c>
      <c r="AZ206" s="49" t="inlineStr">
        <is>
          <t>IF(OR(F206="",AM206=""),"",IF(COUNT(AI206:AL206)=0,"",AM206-LOOKUP(2,1/(AI206:AL206&lt;&gt;""),AI206:AL206)))</t>
        </is>
      </c>
      <c r="BA206" s="49" t="inlineStr">
        <is>
          <t>IF(OR(F206="",AN206=""),"",IF(COUNT(AI206:AM206)=0,"",AN206-LOOKUP(2,1/(AI206:AM206&lt;&gt;""),AI206:AM206)))</t>
        </is>
      </c>
      <c r="BB206" s="49" t="inlineStr">
        <is>
          <t>IF(OR(F206="",AO206=""),"",IF(COUNT(AI206:AN206)=0,"",AO206-LOOKUP(2,1/(AI206:AN206&lt;&gt;""),AI206:AN206)))</t>
        </is>
      </c>
      <c r="BC206" s="49" t="inlineStr">
        <is>
          <t>IF(OR(F206="",AP206=""),"",IF(COUNT(AI206:AO206)=0,"",AP206-LOOKUP(2,1/(AI206:AO206&lt;&gt;""),AI206:AO206)))</t>
        </is>
      </c>
      <c r="BD206" s="49" t="inlineStr">
        <is>
          <t>IF(OR(F206="",AQ206=""),"",IF(COUNT(AI206:AP206)=0,"",AQ206-LOOKUP(2,1/(AI206:AP206&lt;&gt;""),AI206:AP206)))</t>
        </is>
      </c>
      <c r="BE206" s="49" t="inlineStr">
        <is>
          <t>IF(OR(F206="",AR206=""),"",IF(COUNT(AI206:AQ206)=0,"",AR206-LOOKUP(2,1/(AI206:AQ206&lt;&gt;""),AI206:AQ206)))</t>
        </is>
      </c>
      <c r="BF206" s="49" t="inlineStr">
        <is>
          <t>IF(OR(F206="",AS206=""),"",IF(COUNT(AI206:AR206)=0,"",AS206-LOOKUP(2,1/(AI206:AR206&lt;&gt;""),AI206:AR206)))</t>
        </is>
      </c>
      <c r="BG206" s="49" t="inlineStr">
        <is>
          <t>IF(OR(F206="",AT206=""),"",IF(COUNT(AI206:AS206)=0,"",AT206-LOOKUP(2,1/(AI206:AS206&lt;&gt;""),AI206:AS206)))</t>
        </is>
      </c>
      <c r="BH206" s="49" t="inlineStr">
        <is>
          <t>IF(OR(F206="",AU206=""),"",IF(COUNT(AI206:AT206)=0,"",AU206-LOOKUP(2,1/(AI206:AT206&lt;&gt;""),AI206:AT206)))</t>
        </is>
      </c>
      <c r="BI206" s="49" t="inlineStr">
        <is>
          <t>IF(OR(F206="",AV206=""),"",IF(COUNT(AI206:AU206)=0,"",AV206-LOOKUP(2,1/(AI206:AU206&lt;&gt;""),AI206:AU206)))</t>
        </is>
      </c>
      <c r="BJ206" s="51" t="inlineStr">
        <is>
          <t>IF(J206="","All_Provinces",IFERROR(VLOOKUP(J206,'09_Lookups'!$A$4:$B$20,2,FALSE),"All_Provinces"))</t>
        </is>
      </c>
      <c r="BK206" s="51" t="inlineStr">
        <is>
          <t>IF(K206="","All_Districts",IFERROR(VLOOKUP(K206,'09_Lookups'!$E$4:$F$42,2,FALSE),"All_Districts"))</t>
        </is>
      </c>
    </row>
    <row r="207" ht="18" customHeight="1">
      <c r="A207" s="42" t="inlineStr">
        <is>
          <t>IF(F207="","",ROW()-3)</t>
        </is>
      </c>
      <c r="B207" s="44" t="n"/>
      <c r="C207" s="44" t="n"/>
      <c r="D207" s="44" t="n"/>
      <c r="E207" s="44" t="n"/>
      <c r="F207" s="44" t="n"/>
      <c r="G207" s="44" t="n"/>
      <c r="H207" s="44" t="n"/>
      <c r="I207" s="44" t="n"/>
      <c r="J207" s="44" t="n"/>
      <c r="K207" s="44" t="n"/>
      <c r="L207" s="44" t="n"/>
      <c r="M207" s="44" t="n"/>
      <c r="N207" s="44" t="n"/>
      <c r="O207" s="44" t="n"/>
      <c r="P207" s="44" t="n"/>
      <c r="Q207" s="44" t="n"/>
      <c r="R207" s="44" t="n"/>
      <c r="S207" s="45" t="n"/>
      <c r="T207" s="46" t="inlineStr">
        <is>
          <t>IF(AQ207="","",AQ207)</t>
        </is>
      </c>
      <c r="U207" s="47" t="n"/>
      <c r="V207" s="48" t="n"/>
      <c r="W207" s="47" t="n"/>
      <c r="X207" s="46" t="inlineStr">
        <is>
          <t>IF(W207&lt;&gt;"",W207,IF(OR(T207="",V207=""),"",EDATE(T207,V207)))</t>
        </is>
      </c>
      <c r="Y207" s="47" t="n"/>
      <c r="Z207" s="48" t="n"/>
      <c r="AA207" s="44" t="n"/>
      <c r="AB207" s="44" t="n"/>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42" t="inlineStr">
        <is>
          <t>IF(F208="","",ROW()-3)</t>
        </is>
      </c>
      <c r="B208" s="52" t="n"/>
      <c r="C208" s="52" t="n"/>
      <c r="D208" s="52" t="n"/>
      <c r="E208" s="52" t="n"/>
      <c r="F208" s="52" t="n"/>
      <c r="G208" s="52" t="n"/>
      <c r="H208" s="52" t="n"/>
      <c r="I208" s="52" t="n"/>
      <c r="J208" s="52" t="n"/>
      <c r="K208" s="52" t="n"/>
      <c r="L208" s="52" t="n"/>
      <c r="M208" s="52" t="n"/>
      <c r="N208" s="52" t="n"/>
      <c r="O208" s="52" t="n"/>
      <c r="P208" s="52" t="n"/>
      <c r="Q208" s="52" t="n"/>
      <c r="R208" s="52" t="n"/>
      <c r="S208" s="53" t="n"/>
      <c r="T208" s="46" t="inlineStr">
        <is>
          <t>IF(AQ208="","",AQ208)</t>
        </is>
      </c>
      <c r="U208" s="54" t="n"/>
      <c r="V208" s="55" t="n"/>
      <c r="W208" s="54" t="n"/>
      <c r="X208" s="46" t="inlineStr">
        <is>
          <t>IF(W208&lt;&gt;"",W208,IF(OR(T208="",V208=""),"",EDATE(T208,V208)))</t>
        </is>
      </c>
      <c r="Y208" s="54" t="n"/>
      <c r="Z208" s="55" t="n"/>
      <c r="AA208" s="52" t="n"/>
      <c r="AB208" s="52" t="n"/>
      <c r="AC208" s="42" t="inlineStr">
        <is>
          <t>IF(F208="","",IF(COUNT(AI208:AV208)=0,IF(AA208="","Not started",AA208),SUBSTITUTE(LOOKUP(2,1/(AI208:AV208&lt;&gt;""),$AI$3:$AV$3),"Date: ","")))</t>
        </is>
      </c>
      <c r="AD208" s="49" t="inlineStr">
        <is>
          <t>IF(OR(F208="",COUNT(AI208:AV208)=0),"",TODAY()-LOOKUP(2,1/(AI208:AV208&lt;&gt;""),AI208:AV208))</t>
        </is>
      </c>
      <c r="AE208" s="49" t="inlineStr">
        <is>
          <t>IF(OR(F208="",COUNT(AI208:AV208)&lt;2),"",LOOKUP(2,1/(AI208:AV208&lt;&gt;""),AI208:AV208)-MIN(AI208:AV208))</t>
        </is>
      </c>
      <c r="AF208" s="49" t="inlineStr">
        <is>
          <t>IF(OR(AD208="",AC208="Not started",AC208=""),"",IFERROR(AD208-IF(VLOOKUP(AC208,'06_Status_Pipeline'!$B$3:$E$20,4,FALSE)="",0,VLOOKUP(AC208,'06_Status_Pipeline'!$B$3:$E$20,4,FALSE)),""))</t>
        </is>
      </c>
      <c r="AG208" s="4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49" t="inlineStr">
        <is>
          <t>IF(OR(F208="",AC208="Completed / Handover",AC208="Cancelled"),"",IF(O208="Not awarded",IF(U208&lt;&gt;"",U208-TODAY(),IF(X208="","",X208-TODAY())),IF(X208="","",X208-TODAY())))</t>
        </is>
      </c>
      <c r="AI208" s="54" t="n"/>
      <c r="AJ208" s="54" t="n"/>
      <c r="AK208" s="54" t="n"/>
      <c r="AL208" s="54" t="n"/>
      <c r="AM208" s="54" t="n"/>
      <c r="AN208" s="54" t="n"/>
      <c r="AO208" s="54" t="n"/>
      <c r="AP208" s="54" t="n"/>
      <c r="AQ208" s="54" t="n"/>
      <c r="AR208" s="54" t="n"/>
      <c r="AS208" s="54" t="n"/>
      <c r="AT208" s="50" t="n"/>
      <c r="AU208" s="50" t="n"/>
      <c r="AV208" s="50" t="n"/>
      <c r="AW208" s="49" t="inlineStr">
        <is>
          <t>IF(OR(F208="",AJ208=""),"",IF(COUNT(AI208:AI208)=0,"",AJ208-LOOKUP(2,1/(AI208:AI208&lt;&gt;""),AI208:AI208)))</t>
        </is>
      </c>
      <c r="AX208" s="49" t="inlineStr">
        <is>
          <t>IF(OR(F208="",AK208=""),"",IF(COUNT(AI208:AJ208)=0,"",AK208-LOOKUP(2,1/(AI208:AJ208&lt;&gt;""),AI208:AJ208)))</t>
        </is>
      </c>
      <c r="AY208" s="49" t="inlineStr">
        <is>
          <t>IF(OR(F208="",AL208=""),"",IF(COUNT(AI208:AK208)=0,"",AL208-LOOKUP(2,1/(AI208:AK208&lt;&gt;""),AI208:AK208)))</t>
        </is>
      </c>
      <c r="AZ208" s="49" t="inlineStr">
        <is>
          <t>IF(OR(F208="",AM208=""),"",IF(COUNT(AI208:AL208)=0,"",AM208-LOOKUP(2,1/(AI208:AL208&lt;&gt;""),AI208:AL208)))</t>
        </is>
      </c>
      <c r="BA208" s="49" t="inlineStr">
        <is>
          <t>IF(OR(F208="",AN208=""),"",IF(COUNT(AI208:AM208)=0,"",AN208-LOOKUP(2,1/(AI208:AM208&lt;&gt;""),AI208:AM208)))</t>
        </is>
      </c>
      <c r="BB208" s="49" t="inlineStr">
        <is>
          <t>IF(OR(F208="",AO208=""),"",IF(COUNT(AI208:AN208)=0,"",AO208-LOOKUP(2,1/(AI208:AN208&lt;&gt;""),AI208:AN208)))</t>
        </is>
      </c>
      <c r="BC208" s="49" t="inlineStr">
        <is>
          <t>IF(OR(F208="",AP208=""),"",IF(COUNT(AI208:AO208)=0,"",AP208-LOOKUP(2,1/(AI208:AO208&lt;&gt;""),AI208:AO208)))</t>
        </is>
      </c>
      <c r="BD208" s="49" t="inlineStr">
        <is>
          <t>IF(OR(F208="",AQ208=""),"",IF(COUNT(AI208:AP208)=0,"",AQ208-LOOKUP(2,1/(AI208:AP208&lt;&gt;""),AI208:AP208)))</t>
        </is>
      </c>
      <c r="BE208" s="49" t="inlineStr">
        <is>
          <t>IF(OR(F208="",AR208=""),"",IF(COUNT(AI208:AQ208)=0,"",AR208-LOOKUP(2,1/(AI208:AQ208&lt;&gt;""),AI208:AQ208)))</t>
        </is>
      </c>
      <c r="BF208" s="49" t="inlineStr">
        <is>
          <t>IF(OR(F208="",AS208=""),"",IF(COUNT(AI208:AR208)=0,"",AS208-LOOKUP(2,1/(AI208:AR208&lt;&gt;""),AI208:AR208)))</t>
        </is>
      </c>
      <c r="BG208" s="49" t="inlineStr">
        <is>
          <t>IF(OR(F208="",AT208=""),"",IF(COUNT(AI208:AS208)=0,"",AT208-LOOKUP(2,1/(AI208:AS208&lt;&gt;""),AI208:AS208)))</t>
        </is>
      </c>
      <c r="BH208" s="49" t="inlineStr">
        <is>
          <t>IF(OR(F208="",AU208=""),"",IF(COUNT(AI208:AT208)=0,"",AU208-LOOKUP(2,1/(AI208:AT208&lt;&gt;""),AI208:AT208)))</t>
        </is>
      </c>
      <c r="BI208" s="49" t="inlineStr">
        <is>
          <t>IF(OR(F208="",AV208=""),"",IF(COUNT(AI208:AU208)=0,"",AV208-LOOKUP(2,1/(AI208:AU208&lt;&gt;""),AI208:AU208)))</t>
        </is>
      </c>
      <c r="BJ208" s="51" t="inlineStr">
        <is>
          <t>IF(J208="","All_Provinces",IFERROR(VLOOKUP(J208,'09_Lookups'!$A$4:$B$20,2,FALSE),"All_Provinces"))</t>
        </is>
      </c>
      <c r="BK208" s="51" t="inlineStr">
        <is>
          <t>IF(K208="","All_Districts",IFERROR(VLOOKUP(K208,'09_Lookups'!$E$4:$F$42,2,FALSE),"All_Districts"))</t>
        </is>
      </c>
    </row>
    <row r="209" ht="18" customHeight="1">
      <c r="A209" s="42" t="inlineStr">
        <is>
          <t>IF(F209="","",ROW()-3)</t>
        </is>
      </c>
      <c r="B209" s="44" t="n"/>
      <c r="C209" s="44" t="n"/>
      <c r="D209" s="44" t="n"/>
      <c r="E209" s="44" t="n"/>
      <c r="F209" s="44" t="n"/>
      <c r="G209" s="44" t="n"/>
      <c r="H209" s="44" t="n"/>
      <c r="I209" s="44" t="n"/>
      <c r="J209" s="44" t="n"/>
      <c r="K209" s="44" t="n"/>
      <c r="L209" s="44" t="n"/>
      <c r="M209" s="44" t="n"/>
      <c r="N209" s="44" t="n"/>
      <c r="O209" s="44" t="n"/>
      <c r="P209" s="44" t="n"/>
      <c r="Q209" s="44" t="n"/>
      <c r="R209" s="44" t="n"/>
      <c r="S209" s="45" t="n"/>
      <c r="T209" s="46" t="inlineStr">
        <is>
          <t>IF(AQ209="","",AQ209)</t>
        </is>
      </c>
      <c r="U209" s="47" t="n"/>
      <c r="V209" s="48" t="n"/>
      <c r="W209" s="47" t="n"/>
      <c r="X209" s="46" t="inlineStr">
        <is>
          <t>IF(W209&lt;&gt;"",W209,IF(OR(T209="",V209=""),"",EDATE(T209,V209)))</t>
        </is>
      </c>
      <c r="Y209" s="47" t="n"/>
      <c r="Z209" s="48" t="n"/>
      <c r="AA209" s="44" t="n"/>
      <c r="AB209" s="44" t="n"/>
      <c r="AC209" s="42" t="inlineStr">
        <is>
          <t>IF(F209="","",IF(COUNT(AI209:AV209)=0,IF(AA209="","Not started",AA209),SUBSTITUTE(LOOKUP(2,1/(AI209:AV209&lt;&gt;""),$AI$3:$AV$3),"Date: ","")))</t>
        </is>
      </c>
      <c r="AD209" s="49" t="inlineStr">
        <is>
          <t>IF(OR(F209="",COUNT(AI209:AV209)=0),"",TODAY()-LOOKUP(2,1/(AI209:AV209&lt;&gt;""),AI209:AV209))</t>
        </is>
      </c>
      <c r="AE209" s="49" t="inlineStr">
        <is>
          <t>IF(OR(F209="",COUNT(AI209:AV209)&lt;2),"",LOOKUP(2,1/(AI209:AV209&lt;&gt;""),AI209:AV209)-MIN(AI209:AV209))</t>
        </is>
      </c>
      <c r="AF209" s="49" t="inlineStr">
        <is>
          <t>IF(OR(AD209="",AC209="Not started",AC209=""),"",IFERROR(AD209-IF(VLOOKUP(AC209,'06_Status_Pipeline'!$B$3:$E$20,4,FALSE)="",0,VLOOKUP(AC209,'06_Status_Pipeline'!$B$3:$E$20,4,FALSE)),""))</t>
        </is>
      </c>
      <c r="AG209" s="4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49" t="inlineStr">
        <is>
          <t>IF(OR(F209="",AC209="Completed / Handover",AC209="Cancelled"),"",IF(O209="Not awarded",IF(U209&lt;&gt;"",U209-TODAY(),IF(X209="","",X209-TODAY())),IF(X209="","",X209-TODAY())))</t>
        </is>
      </c>
      <c r="AI209" s="47" t="n"/>
      <c r="AJ209" s="47" t="n"/>
      <c r="AK209" s="47" t="n"/>
      <c r="AL209" s="47" t="n"/>
      <c r="AM209" s="47" t="n"/>
      <c r="AN209" s="47" t="n"/>
      <c r="AO209" s="47" t="n"/>
      <c r="AP209" s="47" t="n"/>
      <c r="AQ209" s="47" t="n"/>
      <c r="AR209" s="47" t="n"/>
      <c r="AS209" s="47" t="n"/>
      <c r="AT209" s="50" t="n"/>
      <c r="AU209" s="50" t="n"/>
      <c r="AV209" s="50" t="n"/>
      <c r="AW209" s="49" t="inlineStr">
        <is>
          <t>IF(OR(F209="",AJ209=""),"",IF(COUNT(AI209:AI209)=0,"",AJ209-LOOKUP(2,1/(AI209:AI209&lt;&gt;""),AI209:AI209)))</t>
        </is>
      </c>
      <c r="AX209" s="49" t="inlineStr">
        <is>
          <t>IF(OR(F209="",AK209=""),"",IF(COUNT(AI209:AJ209)=0,"",AK209-LOOKUP(2,1/(AI209:AJ209&lt;&gt;""),AI209:AJ209)))</t>
        </is>
      </c>
      <c r="AY209" s="49" t="inlineStr">
        <is>
          <t>IF(OR(F209="",AL209=""),"",IF(COUNT(AI209:AK209)=0,"",AL209-LOOKUP(2,1/(AI209:AK209&lt;&gt;""),AI209:AK209)))</t>
        </is>
      </c>
      <c r="AZ209" s="49" t="inlineStr">
        <is>
          <t>IF(OR(F209="",AM209=""),"",IF(COUNT(AI209:AL209)=0,"",AM209-LOOKUP(2,1/(AI209:AL209&lt;&gt;""),AI209:AL209)))</t>
        </is>
      </c>
      <c r="BA209" s="49" t="inlineStr">
        <is>
          <t>IF(OR(F209="",AN209=""),"",IF(COUNT(AI209:AM209)=0,"",AN209-LOOKUP(2,1/(AI209:AM209&lt;&gt;""),AI209:AM209)))</t>
        </is>
      </c>
      <c r="BB209" s="49" t="inlineStr">
        <is>
          <t>IF(OR(F209="",AO209=""),"",IF(COUNT(AI209:AN209)=0,"",AO209-LOOKUP(2,1/(AI209:AN209&lt;&gt;""),AI209:AN209)))</t>
        </is>
      </c>
      <c r="BC209" s="49" t="inlineStr">
        <is>
          <t>IF(OR(F209="",AP209=""),"",IF(COUNT(AI209:AO209)=0,"",AP209-LOOKUP(2,1/(AI209:AO209&lt;&gt;""),AI209:AO209)))</t>
        </is>
      </c>
      <c r="BD209" s="49" t="inlineStr">
        <is>
          <t>IF(OR(F209="",AQ209=""),"",IF(COUNT(AI209:AP209)=0,"",AQ209-LOOKUP(2,1/(AI209:AP209&lt;&gt;""),AI209:AP209)))</t>
        </is>
      </c>
      <c r="BE209" s="49" t="inlineStr">
        <is>
          <t>IF(OR(F209="",AR209=""),"",IF(COUNT(AI209:AQ209)=0,"",AR209-LOOKUP(2,1/(AI209:AQ209&lt;&gt;""),AI209:AQ209)))</t>
        </is>
      </c>
      <c r="BF209" s="49" t="inlineStr">
        <is>
          <t>IF(OR(F209="",AS209=""),"",IF(COUNT(AI209:AR209)=0,"",AS209-LOOKUP(2,1/(AI209:AR209&lt;&gt;""),AI209:AR209)))</t>
        </is>
      </c>
      <c r="BG209" s="49" t="inlineStr">
        <is>
          <t>IF(OR(F209="",AT209=""),"",IF(COUNT(AI209:AS209)=0,"",AT209-LOOKUP(2,1/(AI209:AS209&lt;&gt;""),AI209:AS209)))</t>
        </is>
      </c>
      <c r="BH209" s="49" t="inlineStr">
        <is>
          <t>IF(OR(F209="",AU209=""),"",IF(COUNT(AI209:AT209)=0,"",AU209-LOOKUP(2,1/(AI209:AT209&lt;&gt;""),AI209:AT209)))</t>
        </is>
      </c>
      <c r="BI209" s="49" t="inlineStr">
        <is>
          <t>IF(OR(F209="",AV209=""),"",IF(COUNT(AI209:AU209)=0,"",AV209-LOOKUP(2,1/(AI209:AU209&lt;&gt;""),AI209:AU209)))</t>
        </is>
      </c>
      <c r="BJ209" s="51" t="inlineStr">
        <is>
          <t>IF(J209="","All_Provinces",IFERROR(VLOOKUP(J209,'09_Lookups'!$A$4:$B$20,2,FALSE),"All_Provinces"))</t>
        </is>
      </c>
      <c r="BK209" s="51" t="inlineStr">
        <is>
          <t>IF(K209="","All_Districts",IFERROR(VLOOKUP(K209,'09_Lookups'!$E$4:$F$42,2,FALSE),"All_Districts"))</t>
        </is>
      </c>
    </row>
    <row r="210" ht="18" customHeight="1">
      <c r="A210" s="42" t="inlineStr">
        <is>
          <t>IF(F210="","",ROW()-3)</t>
        </is>
      </c>
      <c r="B210" s="52" t="n"/>
      <c r="C210" s="52" t="n"/>
      <c r="D210" s="52" t="n"/>
      <c r="E210" s="52" t="n"/>
      <c r="F210" s="52" t="n"/>
      <c r="G210" s="52" t="n"/>
      <c r="H210" s="52" t="n"/>
      <c r="I210" s="52" t="n"/>
      <c r="J210" s="52" t="n"/>
      <c r="K210" s="52" t="n"/>
      <c r="L210" s="52" t="n"/>
      <c r="M210" s="52" t="n"/>
      <c r="N210" s="52" t="n"/>
      <c r="O210" s="52" t="n"/>
      <c r="P210" s="52" t="n"/>
      <c r="Q210" s="52" t="n"/>
      <c r="R210" s="52" t="n"/>
      <c r="S210" s="53" t="n"/>
      <c r="T210" s="46" t="inlineStr">
        <is>
          <t>IF(AQ210="","",AQ210)</t>
        </is>
      </c>
      <c r="U210" s="54" t="n"/>
      <c r="V210" s="55" t="n"/>
      <c r="W210" s="54" t="n"/>
      <c r="X210" s="46" t="inlineStr">
        <is>
          <t>IF(W210&lt;&gt;"",W210,IF(OR(T210="",V210=""),"",EDATE(T210,V210)))</t>
        </is>
      </c>
      <c r="Y210" s="54" t="n"/>
      <c r="Z210" s="55" t="n"/>
      <c r="AA210" s="52" t="n"/>
      <c r="AB210" s="52" t="n"/>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ht="18" customHeight="1">
      <c r="A211" s="42" t="inlineStr">
        <is>
          <t>IF(F211="","",ROW()-3)</t>
        </is>
      </c>
      <c r="B211" s="44" t="n"/>
      <c r="C211" s="44" t="n"/>
      <c r="D211" s="44" t="n"/>
      <c r="E211" s="44" t="n"/>
      <c r="F211" s="44" t="n"/>
      <c r="G211" s="44" t="n"/>
      <c r="H211" s="44" t="n"/>
      <c r="I211" s="44" t="n"/>
      <c r="J211" s="44" t="n"/>
      <c r="K211" s="44" t="n"/>
      <c r="L211" s="44" t="n"/>
      <c r="M211" s="44" t="n"/>
      <c r="N211" s="44" t="n"/>
      <c r="O211" s="44" t="n"/>
      <c r="P211" s="44" t="n"/>
      <c r="Q211" s="44" t="n"/>
      <c r="R211" s="44" t="n"/>
      <c r="S211" s="45" t="n"/>
      <c r="T211" s="46" t="inlineStr">
        <is>
          <t>IF(AQ211="","",AQ211)</t>
        </is>
      </c>
      <c r="U211" s="47" t="n"/>
      <c r="V211" s="48" t="n"/>
      <c r="W211" s="47" t="n"/>
      <c r="X211" s="46" t="inlineStr">
        <is>
          <t>IF(W211&lt;&gt;"",W211,IF(OR(T211="",V211=""),"",EDATE(T211,V211)))</t>
        </is>
      </c>
      <c r="Y211" s="47" t="n"/>
      <c r="Z211" s="48" t="n"/>
      <c r="AA211" s="44" t="n"/>
      <c r="AB211" s="44" t="n"/>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ht="18" customHeight="1">
      <c r="A212" s="42" t="inlineStr">
        <is>
          <t>IF(F212="","",ROW()-3)</t>
        </is>
      </c>
      <c r="B212" s="52" t="n"/>
      <c r="C212" s="52" t="n"/>
      <c r="D212" s="52" t="n"/>
      <c r="E212" s="52" t="n"/>
      <c r="F212" s="52" t="n"/>
      <c r="G212" s="52" t="n"/>
      <c r="H212" s="52" t="n"/>
      <c r="I212" s="52" t="n"/>
      <c r="J212" s="52" t="n"/>
      <c r="K212" s="52" t="n"/>
      <c r="L212" s="52" t="n"/>
      <c r="M212" s="52" t="n"/>
      <c r="N212" s="52" t="n"/>
      <c r="O212" s="52" t="n"/>
      <c r="P212" s="52" t="n"/>
      <c r="Q212" s="52" t="n"/>
      <c r="R212" s="52" t="n"/>
      <c r="S212" s="53" t="n"/>
      <c r="T212" s="46" t="inlineStr">
        <is>
          <t>IF(AQ212="","",AQ212)</t>
        </is>
      </c>
      <c r="U212" s="54" t="n"/>
      <c r="V212" s="55" t="n"/>
      <c r="W212" s="54" t="n"/>
      <c r="X212" s="46" t="inlineStr">
        <is>
          <t>IF(W212&lt;&gt;"",W212,IF(OR(T212="",V212=""),"",EDATE(T212,V212)))</t>
        </is>
      </c>
      <c r="Y212" s="54" t="n"/>
      <c r="Z212" s="55" t="n"/>
      <c r="AA212" s="52" t="n"/>
      <c r="AB212" s="52" t="n"/>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ht="18" customHeight="1">
      <c r="A213" s="42" t="inlineStr">
        <is>
          <t>IF(F213="","",ROW()-3)</t>
        </is>
      </c>
      <c r="B213" s="44" t="n"/>
      <c r="C213" s="44" t="n"/>
      <c r="D213" s="44" t="n"/>
      <c r="E213" s="44" t="n"/>
      <c r="F213" s="44" t="n"/>
      <c r="G213" s="44" t="n"/>
      <c r="H213" s="44" t="n"/>
      <c r="I213" s="44" t="n"/>
      <c r="J213" s="44" t="n"/>
      <c r="K213" s="44" t="n"/>
      <c r="L213" s="44" t="n"/>
      <c r="M213" s="44" t="n"/>
      <c r="N213" s="44" t="n"/>
      <c r="O213" s="44" t="n"/>
      <c r="P213" s="44" t="n"/>
      <c r="Q213" s="44" t="n"/>
      <c r="R213" s="44" t="n"/>
      <c r="S213" s="45" t="n"/>
      <c r="T213" s="46" t="inlineStr">
        <is>
          <t>IF(AQ213="","",AQ213)</t>
        </is>
      </c>
      <c r="U213" s="47" t="n"/>
      <c r="V213" s="48" t="n"/>
      <c r="W213" s="47" t="n"/>
      <c r="X213" s="46" t="inlineStr">
        <is>
          <t>IF(W213&lt;&gt;"",W213,IF(OR(T213="",V213=""),"",EDATE(T213,V213)))</t>
        </is>
      </c>
      <c r="Y213" s="47" t="n"/>
      <c r="Z213" s="48" t="n"/>
      <c r="AA213" s="44" t="n"/>
      <c r="AB213" s="44" t="n"/>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ht="18" customHeight="1">
      <c r="A214" s="42" t="inlineStr">
        <is>
          <t>IF(F214="","",ROW()-3)</t>
        </is>
      </c>
      <c r="B214" s="52" t="n"/>
      <c r="C214" s="52" t="n"/>
      <c r="D214" s="52" t="n"/>
      <c r="E214" s="52" t="n"/>
      <c r="F214" s="52" t="n"/>
      <c r="G214" s="52" t="n"/>
      <c r="H214" s="52" t="n"/>
      <c r="I214" s="52" t="n"/>
      <c r="J214" s="52" t="n"/>
      <c r="K214" s="52" t="n"/>
      <c r="L214" s="52" t="n"/>
      <c r="M214" s="52" t="n"/>
      <c r="N214" s="52" t="n"/>
      <c r="O214" s="52" t="n"/>
      <c r="P214" s="52" t="n"/>
      <c r="Q214" s="52" t="n"/>
      <c r="R214" s="52" t="n"/>
      <c r="S214" s="53" t="n"/>
      <c r="T214" s="46" t="inlineStr">
        <is>
          <t>IF(AQ214="","",AQ214)</t>
        </is>
      </c>
      <c r="U214" s="54" t="n"/>
      <c r="V214" s="55" t="n"/>
      <c r="W214" s="54" t="n"/>
      <c r="X214" s="46" t="inlineStr">
        <is>
          <t>IF(W214&lt;&gt;"",W214,IF(OR(T214="",V214=""),"",EDATE(T214,V214)))</t>
        </is>
      </c>
      <c r="Y214" s="54" t="n"/>
      <c r="Z214" s="55" t="n"/>
      <c r="AA214" s="52" t="n"/>
      <c r="AB214" s="52" t="n"/>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ht="18" customHeight="1">
      <c r="A215" s="42" t="inlineStr">
        <is>
          <t>IF(F215="","",ROW()-3)</t>
        </is>
      </c>
      <c r="B215" s="44" t="n"/>
      <c r="C215" s="44" t="n"/>
      <c r="D215" s="44" t="n"/>
      <c r="E215" s="44" t="n"/>
      <c r="F215" s="44" t="n"/>
      <c r="G215" s="44" t="n"/>
      <c r="H215" s="44" t="n"/>
      <c r="I215" s="44" t="n"/>
      <c r="J215" s="44" t="n"/>
      <c r="K215" s="44" t="n"/>
      <c r="L215" s="44" t="n"/>
      <c r="M215" s="44" t="n"/>
      <c r="N215" s="44" t="n"/>
      <c r="O215" s="44" t="n"/>
      <c r="P215" s="44" t="n"/>
      <c r="Q215" s="44" t="n"/>
      <c r="R215" s="44" t="n"/>
      <c r="S215" s="45" t="n"/>
      <c r="T215" s="46" t="inlineStr">
        <is>
          <t>IF(AQ215="","",AQ215)</t>
        </is>
      </c>
      <c r="U215" s="47" t="n"/>
      <c r="V215" s="48" t="n"/>
      <c r="W215" s="47" t="n"/>
      <c r="X215" s="46" t="inlineStr">
        <is>
          <t>IF(W215&lt;&gt;"",W215,IF(OR(T215="",V215=""),"",EDATE(T215,V215)))</t>
        </is>
      </c>
      <c r="Y215" s="47" t="n"/>
      <c r="Z215" s="48" t="n"/>
      <c r="AA215" s="44" t="n"/>
      <c r="AB215" s="44" t="n"/>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ht="18" customHeight="1">
      <c r="A216" s="42" t="inlineStr">
        <is>
          <t>IF(F216="","",ROW()-3)</t>
        </is>
      </c>
      <c r="B216" s="52" t="n"/>
      <c r="C216" s="52" t="n"/>
      <c r="D216" s="52" t="n"/>
      <c r="E216" s="52" t="n"/>
      <c r="F216" s="52" t="n"/>
      <c r="G216" s="52" t="n"/>
      <c r="H216" s="52" t="n"/>
      <c r="I216" s="52" t="n"/>
      <c r="J216" s="52" t="n"/>
      <c r="K216" s="52" t="n"/>
      <c r="L216" s="52" t="n"/>
      <c r="M216" s="52" t="n"/>
      <c r="N216" s="52" t="n"/>
      <c r="O216" s="52" t="n"/>
      <c r="P216" s="52" t="n"/>
      <c r="Q216" s="52" t="n"/>
      <c r="R216" s="52" t="n"/>
      <c r="S216" s="53" t="n"/>
      <c r="T216" s="46" t="inlineStr">
        <is>
          <t>IF(AQ216="","",AQ216)</t>
        </is>
      </c>
      <c r="U216" s="54" t="n"/>
      <c r="V216" s="55" t="n"/>
      <c r="W216" s="54" t="n"/>
      <c r="X216" s="46" t="inlineStr">
        <is>
          <t>IF(W216&lt;&gt;"",W216,IF(OR(T216="",V216=""),"",EDATE(T216,V216)))</t>
        </is>
      </c>
      <c r="Y216" s="54" t="n"/>
      <c r="Z216" s="55" t="n"/>
      <c r="AA216" s="52" t="n"/>
      <c r="AB216" s="52" t="n"/>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ht="18" customHeight="1">
      <c r="A217" s="42" t="inlineStr">
        <is>
          <t>IF(F217="","",ROW()-3)</t>
        </is>
      </c>
      <c r="B217" s="44" t="n"/>
      <c r="C217" s="44" t="n"/>
      <c r="D217" s="44" t="n"/>
      <c r="E217" s="44" t="n"/>
      <c r="F217" s="44" t="n"/>
      <c r="G217" s="44" t="n"/>
      <c r="H217" s="44" t="n"/>
      <c r="I217" s="44" t="n"/>
      <c r="J217" s="44" t="n"/>
      <c r="K217" s="44" t="n"/>
      <c r="L217" s="44" t="n"/>
      <c r="M217" s="44" t="n"/>
      <c r="N217" s="44" t="n"/>
      <c r="O217" s="44" t="n"/>
      <c r="P217" s="44" t="n"/>
      <c r="Q217" s="44" t="n"/>
      <c r="R217" s="44" t="n"/>
      <c r="S217" s="45" t="n"/>
      <c r="T217" s="46" t="inlineStr">
        <is>
          <t>IF(AQ217="","",AQ217)</t>
        </is>
      </c>
      <c r="U217" s="47" t="n"/>
      <c r="V217" s="48" t="n"/>
      <c r="W217" s="47" t="n"/>
      <c r="X217" s="46" t="inlineStr">
        <is>
          <t>IF(W217&lt;&gt;"",W217,IF(OR(T217="",V217=""),"",EDATE(T217,V217)))</t>
        </is>
      </c>
      <c r="Y217" s="47" t="n"/>
      <c r="Z217" s="48" t="n"/>
      <c r="AA217" s="44" t="n"/>
      <c r="AB217" s="44" t="n"/>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ht="18" customHeight="1">
      <c r="A218" s="42" t="inlineStr">
        <is>
          <t>IF(F218="","",ROW()-3)</t>
        </is>
      </c>
      <c r="B218" s="52" t="n"/>
      <c r="C218" s="52" t="n"/>
      <c r="D218" s="52" t="n"/>
      <c r="E218" s="52" t="n"/>
      <c r="F218" s="52" t="n"/>
      <c r="G218" s="52" t="n"/>
      <c r="H218" s="52" t="n"/>
      <c r="I218" s="52" t="n"/>
      <c r="J218" s="52" t="n"/>
      <c r="K218" s="52" t="n"/>
      <c r="L218" s="52" t="n"/>
      <c r="M218" s="52" t="n"/>
      <c r="N218" s="52" t="n"/>
      <c r="O218" s="52" t="n"/>
      <c r="P218" s="52" t="n"/>
      <c r="Q218" s="52" t="n"/>
      <c r="R218" s="52" t="n"/>
      <c r="S218" s="53" t="n"/>
      <c r="T218" s="46" t="inlineStr">
        <is>
          <t>IF(AQ218="","",AQ218)</t>
        </is>
      </c>
      <c r="U218" s="54" t="n"/>
      <c r="V218" s="55" t="n"/>
      <c r="W218" s="54" t="n"/>
      <c r="X218" s="46" t="inlineStr">
        <is>
          <t>IF(W218&lt;&gt;"",W218,IF(OR(T218="",V218=""),"",EDATE(T218,V218)))</t>
        </is>
      </c>
      <c r="Y218" s="54" t="n"/>
      <c r="Z218" s="55" t="n"/>
      <c r="AA218" s="52" t="n"/>
      <c r="AB218" s="52" t="n"/>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ht="18" customHeight="1">
      <c r="A219" s="42" t="inlineStr">
        <is>
          <t>IF(F219="","",ROW()-3)</t>
        </is>
      </c>
      <c r="B219" s="44" t="n"/>
      <c r="C219" s="44" t="n"/>
      <c r="D219" s="44" t="n"/>
      <c r="E219" s="44" t="n"/>
      <c r="F219" s="44" t="n"/>
      <c r="G219" s="44" t="n"/>
      <c r="H219" s="44" t="n"/>
      <c r="I219" s="44" t="n"/>
      <c r="J219" s="44" t="n"/>
      <c r="K219" s="44" t="n"/>
      <c r="L219" s="44" t="n"/>
      <c r="M219" s="44" t="n"/>
      <c r="N219" s="44" t="n"/>
      <c r="O219" s="44" t="n"/>
      <c r="P219" s="44" t="n"/>
      <c r="Q219" s="44" t="n"/>
      <c r="R219" s="44" t="n"/>
      <c r="S219" s="45" t="n"/>
      <c r="T219" s="46" t="inlineStr">
        <is>
          <t>IF(AQ219="","",AQ219)</t>
        </is>
      </c>
      <c r="U219" s="47" t="n"/>
      <c r="V219" s="48" t="n"/>
      <c r="W219" s="47" t="n"/>
      <c r="X219" s="46" t="inlineStr">
        <is>
          <t>IF(W219&lt;&gt;"",W219,IF(OR(T219="",V219=""),"",EDATE(T219,V219)))</t>
        </is>
      </c>
      <c r="Y219" s="47" t="n"/>
      <c r="Z219" s="48" t="n"/>
      <c r="AA219" s="44" t="n"/>
      <c r="AB219" s="44" t="n"/>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ht="18" customHeight="1">
      <c r="A220" s="42" t="inlineStr">
        <is>
          <t>IF(F220="","",ROW()-3)</t>
        </is>
      </c>
      <c r="B220" s="52" t="n"/>
      <c r="C220" s="52" t="n"/>
      <c r="D220" s="52" t="n"/>
      <c r="E220" s="52" t="n"/>
      <c r="F220" s="52" t="n"/>
      <c r="G220" s="52" t="n"/>
      <c r="H220" s="52" t="n"/>
      <c r="I220" s="52" t="n"/>
      <c r="J220" s="52" t="n"/>
      <c r="K220" s="52" t="n"/>
      <c r="L220" s="52" t="n"/>
      <c r="M220" s="52" t="n"/>
      <c r="N220" s="52" t="n"/>
      <c r="O220" s="52" t="n"/>
      <c r="P220" s="52" t="n"/>
      <c r="Q220" s="52" t="n"/>
      <c r="R220" s="52" t="n"/>
      <c r="S220" s="53" t="n"/>
      <c r="T220" s="46" t="inlineStr">
        <is>
          <t>IF(AQ220="","",AQ220)</t>
        </is>
      </c>
      <c r="U220" s="54" t="n"/>
      <c r="V220" s="55" t="n"/>
      <c r="W220" s="54" t="n"/>
      <c r="X220" s="46" t="inlineStr">
        <is>
          <t>IF(W220&lt;&gt;"",W220,IF(OR(T220="",V220=""),"",EDATE(T220,V220)))</t>
        </is>
      </c>
      <c r="Y220" s="54" t="n"/>
      <c r="Z220" s="55" t="n"/>
      <c r="AA220" s="52" t="n"/>
      <c r="AB220" s="52" t="n"/>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ht="18" customHeight="1">
      <c r="A221" s="42" t="inlineStr">
        <is>
          <t>IF(F221="","",ROW()-3)</t>
        </is>
      </c>
      <c r="B221" s="44" t="n"/>
      <c r="C221" s="44" t="n"/>
      <c r="D221" s="44" t="n"/>
      <c r="E221" s="44" t="n"/>
      <c r="F221" s="44" t="n"/>
      <c r="G221" s="44" t="n"/>
      <c r="H221" s="44" t="n"/>
      <c r="I221" s="44" t="n"/>
      <c r="J221" s="44" t="n"/>
      <c r="K221" s="44" t="n"/>
      <c r="L221" s="44" t="n"/>
      <c r="M221" s="44" t="n"/>
      <c r="N221" s="44" t="n"/>
      <c r="O221" s="44" t="n"/>
      <c r="P221" s="44" t="n"/>
      <c r="Q221" s="44" t="n"/>
      <c r="R221" s="44" t="n"/>
      <c r="S221" s="45" t="n"/>
      <c r="T221" s="46" t="inlineStr">
        <is>
          <t>IF(AQ221="","",AQ221)</t>
        </is>
      </c>
      <c r="U221" s="47" t="n"/>
      <c r="V221" s="48" t="n"/>
      <c r="W221" s="47" t="n"/>
      <c r="X221" s="46" t="inlineStr">
        <is>
          <t>IF(W221&lt;&gt;"",W221,IF(OR(T221="",V221=""),"",EDATE(T221,V221)))</t>
        </is>
      </c>
      <c r="Y221" s="47" t="n"/>
      <c r="Z221" s="48" t="n"/>
      <c r="AA221" s="44" t="n"/>
      <c r="AB221" s="44" t="n"/>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ht="18" customHeight="1">
      <c r="A222" s="42" t="inlineStr">
        <is>
          <t>IF(F222="","",ROW()-3)</t>
        </is>
      </c>
      <c r="B222" s="52" t="n"/>
      <c r="C222" s="52" t="n"/>
      <c r="D222" s="52" t="n"/>
      <c r="E222" s="52" t="n"/>
      <c r="F222" s="52" t="n"/>
      <c r="G222" s="52" t="n"/>
      <c r="H222" s="52" t="n"/>
      <c r="I222" s="52" t="n"/>
      <c r="J222" s="52" t="n"/>
      <c r="K222" s="52" t="n"/>
      <c r="L222" s="52" t="n"/>
      <c r="M222" s="52" t="n"/>
      <c r="N222" s="52" t="n"/>
      <c r="O222" s="52" t="n"/>
      <c r="P222" s="52" t="n"/>
      <c r="Q222" s="52" t="n"/>
      <c r="R222" s="52" t="n"/>
      <c r="S222" s="53" t="n"/>
      <c r="T222" s="46" t="inlineStr">
        <is>
          <t>IF(AQ222="","",AQ222)</t>
        </is>
      </c>
      <c r="U222" s="54" t="n"/>
      <c r="V222" s="55" t="n"/>
      <c r="W222" s="54" t="n"/>
      <c r="X222" s="46" t="inlineStr">
        <is>
          <t>IF(W222&lt;&gt;"",W222,IF(OR(T222="",V222=""),"",EDATE(T222,V222)))</t>
        </is>
      </c>
      <c r="Y222" s="54" t="n"/>
      <c r="Z222" s="55" t="n"/>
      <c r="AA222" s="52" t="n"/>
      <c r="AB222" s="52" t="n"/>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ht="18" customHeight="1">
      <c r="A223" s="42" t="inlineStr">
        <is>
          <t>IF(F223="","",ROW()-3)</t>
        </is>
      </c>
      <c r="B223" s="44" t="n"/>
      <c r="C223" s="44" t="n"/>
      <c r="D223" s="44" t="n"/>
      <c r="E223" s="44" t="n"/>
      <c r="F223" s="44" t="n"/>
      <c r="G223" s="44" t="n"/>
      <c r="H223" s="44" t="n"/>
      <c r="I223" s="44" t="n"/>
      <c r="J223" s="44" t="n"/>
      <c r="K223" s="44" t="n"/>
      <c r="L223" s="44" t="n"/>
      <c r="M223" s="44" t="n"/>
      <c r="N223" s="44" t="n"/>
      <c r="O223" s="44" t="n"/>
      <c r="P223" s="44" t="n"/>
      <c r="Q223" s="44" t="n"/>
      <c r="R223" s="44" t="n"/>
      <c r="S223" s="45" t="n"/>
      <c r="T223" s="46" t="inlineStr">
        <is>
          <t>IF(AQ223="","",AQ223)</t>
        </is>
      </c>
      <c r="U223" s="47" t="n"/>
      <c r="V223" s="48" t="n"/>
      <c r="W223" s="47" t="n"/>
      <c r="X223" s="46" t="inlineStr">
        <is>
          <t>IF(W223&lt;&gt;"",W223,IF(OR(T223="",V223=""),"",EDATE(T223,V223)))</t>
        </is>
      </c>
      <c r="Y223" s="47" t="n"/>
      <c r="Z223" s="48" t="n"/>
      <c r="AA223" s="44" t="n"/>
      <c r="AB223" s="44" t="n"/>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ht="18" customHeight="1">
      <c r="A224" s="42" t="inlineStr">
        <is>
          <t>IF(F224="","",ROW()-3)</t>
        </is>
      </c>
      <c r="B224" s="52" t="n"/>
      <c r="C224" s="52" t="n"/>
      <c r="D224" s="52" t="n"/>
      <c r="E224" s="52" t="n"/>
      <c r="F224" s="52" t="n"/>
      <c r="G224" s="52" t="n"/>
      <c r="H224" s="52" t="n"/>
      <c r="I224" s="52" t="n"/>
      <c r="J224" s="52" t="n"/>
      <c r="K224" s="52" t="n"/>
      <c r="L224" s="52" t="n"/>
      <c r="M224" s="52" t="n"/>
      <c r="N224" s="52" t="n"/>
      <c r="O224" s="52" t="n"/>
      <c r="P224" s="52" t="n"/>
      <c r="Q224" s="52" t="n"/>
      <c r="R224" s="52" t="n"/>
      <c r="S224" s="53" t="n"/>
      <c r="T224" s="46" t="inlineStr">
        <is>
          <t>IF(AQ224="","",AQ224)</t>
        </is>
      </c>
      <c r="U224" s="54" t="n"/>
      <c r="V224" s="55" t="n"/>
      <c r="W224" s="54" t="n"/>
      <c r="X224" s="46" t="inlineStr">
        <is>
          <t>IF(W224&lt;&gt;"",W224,IF(OR(T224="",V224=""),"",EDATE(T224,V224)))</t>
        </is>
      </c>
      <c r="Y224" s="54" t="n"/>
      <c r="Z224" s="55" t="n"/>
      <c r="AA224" s="52" t="n"/>
      <c r="AB224" s="52" t="n"/>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ht="18" customHeight="1">
      <c r="A225" s="42" t="inlineStr">
        <is>
          <t>IF(F225="","",ROW()-3)</t>
        </is>
      </c>
      <c r="B225" s="44" t="n"/>
      <c r="C225" s="44" t="n"/>
      <c r="D225" s="44" t="n"/>
      <c r="E225" s="44" t="n"/>
      <c r="F225" s="44" t="n"/>
      <c r="G225" s="44" t="n"/>
      <c r="H225" s="44" t="n"/>
      <c r="I225" s="44" t="n"/>
      <c r="J225" s="44" t="n"/>
      <c r="K225" s="44" t="n"/>
      <c r="L225" s="44" t="n"/>
      <c r="M225" s="44" t="n"/>
      <c r="N225" s="44" t="n"/>
      <c r="O225" s="44" t="n"/>
      <c r="P225" s="44" t="n"/>
      <c r="Q225" s="44" t="n"/>
      <c r="R225" s="44" t="n"/>
      <c r="S225" s="45" t="n"/>
      <c r="T225" s="46" t="inlineStr">
        <is>
          <t>IF(AQ225="","",AQ225)</t>
        </is>
      </c>
      <c r="U225" s="47" t="n"/>
      <c r="V225" s="48" t="n"/>
      <c r="W225" s="47" t="n"/>
      <c r="X225" s="46" t="inlineStr">
        <is>
          <t>IF(W225&lt;&gt;"",W225,IF(OR(T225="",V225=""),"",EDATE(T225,V225)))</t>
        </is>
      </c>
      <c r="Y225" s="47" t="n"/>
      <c r="Z225" s="48" t="n"/>
      <c r="AA225" s="44" t="n"/>
      <c r="AB225" s="44" t="n"/>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ht="18" customHeight="1">
      <c r="A226" s="42" t="inlineStr">
        <is>
          <t>IF(F226="","",ROW()-3)</t>
        </is>
      </c>
      <c r="B226" s="52" t="n"/>
      <c r="C226" s="52" t="n"/>
      <c r="D226" s="52" t="n"/>
      <c r="E226" s="52" t="n"/>
      <c r="F226" s="52" t="n"/>
      <c r="G226" s="52" t="n"/>
      <c r="H226" s="52" t="n"/>
      <c r="I226" s="52" t="n"/>
      <c r="J226" s="52" t="n"/>
      <c r="K226" s="52" t="n"/>
      <c r="L226" s="52" t="n"/>
      <c r="M226" s="52" t="n"/>
      <c r="N226" s="52" t="n"/>
      <c r="O226" s="52" t="n"/>
      <c r="P226" s="52" t="n"/>
      <c r="Q226" s="52" t="n"/>
      <c r="R226" s="52" t="n"/>
      <c r="S226" s="53" t="n"/>
      <c r="T226" s="46" t="inlineStr">
        <is>
          <t>IF(AQ226="","",AQ226)</t>
        </is>
      </c>
      <c r="U226" s="54" t="n"/>
      <c r="V226" s="55" t="n"/>
      <c r="W226" s="54" t="n"/>
      <c r="X226" s="46" t="inlineStr">
        <is>
          <t>IF(W226&lt;&gt;"",W226,IF(OR(T226="",V226=""),"",EDATE(T226,V226)))</t>
        </is>
      </c>
      <c r="Y226" s="54" t="n"/>
      <c r="Z226" s="55" t="n"/>
      <c r="AA226" s="52" t="n"/>
      <c r="AB226" s="52" t="n"/>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ht="18" customHeight="1">
      <c r="A227" s="42" t="inlineStr">
        <is>
          <t>IF(F227="","",ROW()-3)</t>
        </is>
      </c>
      <c r="B227" s="44" t="n"/>
      <c r="C227" s="44" t="n"/>
      <c r="D227" s="44" t="n"/>
      <c r="E227" s="44" t="n"/>
      <c r="F227" s="44" t="n"/>
      <c r="G227" s="44" t="n"/>
      <c r="H227" s="44" t="n"/>
      <c r="I227" s="44" t="n"/>
      <c r="J227" s="44" t="n"/>
      <c r="K227" s="44" t="n"/>
      <c r="L227" s="44" t="n"/>
      <c r="M227" s="44" t="n"/>
      <c r="N227" s="44" t="n"/>
      <c r="O227" s="44" t="n"/>
      <c r="P227" s="44" t="n"/>
      <c r="Q227" s="44" t="n"/>
      <c r="R227" s="44" t="n"/>
      <c r="S227" s="45" t="n"/>
      <c r="T227" s="46" t="inlineStr">
        <is>
          <t>IF(AQ227="","",AQ227)</t>
        </is>
      </c>
      <c r="U227" s="47" t="n"/>
      <c r="V227" s="48" t="n"/>
      <c r="W227" s="47" t="n"/>
      <c r="X227" s="46" t="inlineStr">
        <is>
          <t>IF(W227&lt;&gt;"",W227,IF(OR(T227="",V227=""),"",EDATE(T227,V227)))</t>
        </is>
      </c>
      <c r="Y227" s="47" t="n"/>
      <c r="Z227" s="48" t="n"/>
      <c r="AA227" s="44" t="n"/>
      <c r="AB227" s="44" t="n"/>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ht="18" customHeight="1">
      <c r="A228" s="42" t="inlineStr">
        <is>
          <t>IF(F228="","",ROW()-3)</t>
        </is>
      </c>
      <c r="B228" s="52" t="n"/>
      <c r="C228" s="52" t="n"/>
      <c r="D228" s="52" t="n"/>
      <c r="E228" s="52" t="n"/>
      <c r="F228" s="52" t="n"/>
      <c r="G228" s="52" t="n"/>
      <c r="H228" s="52" t="n"/>
      <c r="I228" s="52" t="n"/>
      <c r="J228" s="52" t="n"/>
      <c r="K228" s="52" t="n"/>
      <c r="L228" s="52" t="n"/>
      <c r="M228" s="52" t="n"/>
      <c r="N228" s="52" t="n"/>
      <c r="O228" s="52" t="n"/>
      <c r="P228" s="52" t="n"/>
      <c r="Q228" s="52" t="n"/>
      <c r="R228" s="52" t="n"/>
      <c r="S228" s="53" t="n"/>
      <c r="T228" s="46" t="inlineStr">
        <is>
          <t>IF(AQ228="","",AQ228)</t>
        </is>
      </c>
      <c r="U228" s="54" t="n"/>
      <c r="V228" s="55" t="n"/>
      <c r="W228" s="54" t="n"/>
      <c r="X228" s="46" t="inlineStr">
        <is>
          <t>IF(W228&lt;&gt;"",W228,IF(OR(T228="",V228=""),"",EDATE(T228,V228)))</t>
        </is>
      </c>
      <c r="Y228" s="54" t="n"/>
      <c r="Z228" s="55" t="n"/>
      <c r="AA228" s="52" t="n"/>
      <c r="AB228" s="52" t="n"/>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ht="18" customHeight="1">
      <c r="A229" s="42" t="inlineStr">
        <is>
          <t>IF(F229="","",ROW()-3)</t>
        </is>
      </c>
      <c r="B229" s="44" t="n"/>
      <c r="C229" s="44" t="n"/>
      <c r="D229" s="44" t="n"/>
      <c r="E229" s="44" t="n"/>
      <c r="F229" s="44" t="n"/>
      <c r="G229" s="44" t="n"/>
      <c r="H229" s="44" t="n"/>
      <c r="I229" s="44" t="n"/>
      <c r="J229" s="44" t="n"/>
      <c r="K229" s="44" t="n"/>
      <c r="L229" s="44" t="n"/>
      <c r="M229" s="44" t="n"/>
      <c r="N229" s="44" t="n"/>
      <c r="O229" s="44" t="n"/>
      <c r="P229" s="44" t="n"/>
      <c r="Q229" s="44" t="n"/>
      <c r="R229" s="44" t="n"/>
      <c r="S229" s="45" t="n"/>
      <c r="T229" s="46" t="inlineStr">
        <is>
          <t>IF(AQ229="","",AQ229)</t>
        </is>
      </c>
      <c r="U229" s="47" t="n"/>
      <c r="V229" s="48" t="n"/>
      <c r="W229" s="47" t="n"/>
      <c r="X229" s="46" t="inlineStr">
        <is>
          <t>IF(W229&lt;&gt;"",W229,IF(OR(T229="",V229=""),"",EDATE(T229,V229)))</t>
        </is>
      </c>
      <c r="Y229" s="47" t="n"/>
      <c r="Z229" s="48" t="n"/>
      <c r="AA229" s="44" t="n"/>
      <c r="AB229" s="44" t="n"/>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ht="18" customHeight="1">
      <c r="A230" s="42" t="inlineStr">
        <is>
          <t>IF(F230="","",ROW()-3)</t>
        </is>
      </c>
      <c r="B230" s="52" t="n"/>
      <c r="C230" s="52" t="n"/>
      <c r="D230" s="52" t="n"/>
      <c r="E230" s="52" t="n"/>
      <c r="F230" s="52" t="n"/>
      <c r="G230" s="52" t="n"/>
      <c r="H230" s="52" t="n"/>
      <c r="I230" s="52" t="n"/>
      <c r="J230" s="52" t="n"/>
      <c r="K230" s="52" t="n"/>
      <c r="L230" s="52" t="n"/>
      <c r="M230" s="52" t="n"/>
      <c r="N230" s="52" t="n"/>
      <c r="O230" s="52" t="n"/>
      <c r="P230" s="52" t="n"/>
      <c r="Q230" s="52" t="n"/>
      <c r="R230" s="52" t="n"/>
      <c r="S230" s="53" t="n"/>
      <c r="T230" s="46" t="inlineStr">
        <is>
          <t>IF(AQ230="","",AQ230)</t>
        </is>
      </c>
      <c r="U230" s="54" t="n"/>
      <c r="V230" s="55" t="n"/>
      <c r="W230" s="54" t="n"/>
      <c r="X230" s="46" t="inlineStr">
        <is>
          <t>IF(W230&lt;&gt;"",W230,IF(OR(T230="",V230=""),"",EDATE(T230,V230)))</t>
        </is>
      </c>
      <c r="Y230" s="54" t="n"/>
      <c r="Z230" s="55" t="n"/>
      <c r="AA230" s="52" t="n"/>
      <c r="AB230" s="52" t="n"/>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ht="18" customHeight="1">
      <c r="A231" s="42" t="inlineStr">
        <is>
          <t>IF(F231="","",ROW()-3)</t>
        </is>
      </c>
      <c r="B231" s="44" t="n"/>
      <c r="C231" s="44" t="n"/>
      <c r="D231" s="44" t="n"/>
      <c r="E231" s="44" t="n"/>
      <c r="F231" s="44" t="n"/>
      <c r="G231" s="44" t="n"/>
      <c r="H231" s="44" t="n"/>
      <c r="I231" s="44" t="n"/>
      <c r="J231" s="44" t="n"/>
      <c r="K231" s="44" t="n"/>
      <c r="L231" s="44" t="n"/>
      <c r="M231" s="44" t="n"/>
      <c r="N231" s="44" t="n"/>
      <c r="O231" s="44" t="n"/>
      <c r="P231" s="44" t="n"/>
      <c r="Q231" s="44" t="n"/>
      <c r="R231" s="44" t="n"/>
      <c r="S231" s="45" t="n"/>
      <c r="T231" s="46" t="inlineStr">
        <is>
          <t>IF(AQ231="","",AQ231)</t>
        </is>
      </c>
      <c r="U231" s="47" t="n"/>
      <c r="V231" s="48" t="n"/>
      <c r="W231" s="47" t="n"/>
      <c r="X231" s="46" t="inlineStr">
        <is>
          <t>IF(W231&lt;&gt;"",W231,IF(OR(T231="",V231=""),"",EDATE(T231,V231)))</t>
        </is>
      </c>
      <c r="Y231" s="47" t="n"/>
      <c r="Z231" s="48" t="n"/>
      <c r="AA231" s="44" t="n"/>
      <c r="AB231" s="44" t="n"/>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ht="18" customHeight="1">
      <c r="A232" s="42" t="inlineStr">
        <is>
          <t>IF(F232="","",ROW()-3)</t>
        </is>
      </c>
      <c r="B232" s="52" t="n"/>
      <c r="C232" s="52" t="n"/>
      <c r="D232" s="52" t="n"/>
      <c r="E232" s="52" t="n"/>
      <c r="F232" s="52" t="n"/>
      <c r="G232" s="52" t="n"/>
      <c r="H232" s="52" t="n"/>
      <c r="I232" s="52" t="n"/>
      <c r="J232" s="52" t="n"/>
      <c r="K232" s="52" t="n"/>
      <c r="L232" s="52" t="n"/>
      <c r="M232" s="52" t="n"/>
      <c r="N232" s="52" t="n"/>
      <c r="O232" s="52" t="n"/>
      <c r="P232" s="52" t="n"/>
      <c r="Q232" s="52" t="n"/>
      <c r="R232" s="52" t="n"/>
      <c r="S232" s="53" t="n"/>
      <c r="T232" s="46" t="inlineStr">
        <is>
          <t>IF(AQ232="","",AQ232)</t>
        </is>
      </c>
      <c r="U232" s="54" t="n"/>
      <c r="V232" s="55" t="n"/>
      <c r="W232" s="54" t="n"/>
      <c r="X232" s="46" t="inlineStr">
        <is>
          <t>IF(W232&lt;&gt;"",W232,IF(OR(T232="",V232=""),"",EDATE(T232,V232)))</t>
        </is>
      </c>
      <c r="Y232" s="54" t="n"/>
      <c r="Z232" s="55" t="n"/>
      <c r="AA232" s="52" t="n"/>
      <c r="AB232" s="52" t="n"/>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ht="18" customHeight="1">
      <c r="A233" s="42" t="inlineStr">
        <is>
          <t>IF(F233="","",ROW()-3)</t>
        </is>
      </c>
      <c r="B233" s="44" t="n"/>
      <c r="C233" s="44" t="n"/>
      <c r="D233" s="44" t="n"/>
      <c r="E233" s="44" t="n"/>
      <c r="F233" s="44" t="n"/>
      <c r="G233" s="44" t="n"/>
      <c r="H233" s="44" t="n"/>
      <c r="I233" s="44" t="n"/>
      <c r="J233" s="44" t="n"/>
      <c r="K233" s="44" t="n"/>
      <c r="L233" s="44" t="n"/>
      <c r="M233" s="44" t="n"/>
      <c r="N233" s="44" t="n"/>
      <c r="O233" s="44" t="n"/>
      <c r="P233" s="44" t="n"/>
      <c r="Q233" s="44" t="n"/>
      <c r="R233" s="44" t="n"/>
      <c r="S233" s="45" t="n"/>
      <c r="T233" s="46" t="inlineStr">
        <is>
          <t>IF(AQ233="","",AQ233)</t>
        </is>
      </c>
      <c r="U233" s="47" t="n"/>
      <c r="V233" s="48" t="n"/>
      <c r="W233" s="47" t="n"/>
      <c r="X233" s="46" t="inlineStr">
        <is>
          <t>IF(W233&lt;&gt;"",W233,IF(OR(T233="",V233=""),"",EDATE(T233,V233)))</t>
        </is>
      </c>
      <c r="Y233" s="47" t="n"/>
      <c r="Z233" s="48" t="n"/>
      <c r="AA233" s="44" t="n"/>
      <c r="AB233" s="44" t="n"/>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ht="18" customHeight="1">
      <c r="A234" s="42" t="inlineStr">
        <is>
          <t>IF(F234="","",ROW()-3)</t>
        </is>
      </c>
      <c r="B234" s="52" t="n"/>
      <c r="C234" s="52" t="n"/>
      <c r="D234" s="52" t="n"/>
      <c r="E234" s="52" t="n"/>
      <c r="F234" s="52" t="n"/>
      <c r="G234" s="52" t="n"/>
      <c r="H234" s="52" t="n"/>
      <c r="I234" s="52" t="n"/>
      <c r="J234" s="52" t="n"/>
      <c r="K234" s="52" t="n"/>
      <c r="L234" s="52" t="n"/>
      <c r="M234" s="52" t="n"/>
      <c r="N234" s="52" t="n"/>
      <c r="O234" s="52" t="n"/>
      <c r="P234" s="52" t="n"/>
      <c r="Q234" s="52" t="n"/>
      <c r="R234" s="52" t="n"/>
      <c r="S234" s="53" t="n"/>
      <c r="T234" s="46" t="inlineStr">
        <is>
          <t>IF(AQ234="","",AQ234)</t>
        </is>
      </c>
      <c r="U234" s="54" t="n"/>
      <c r="V234" s="55" t="n"/>
      <c r="W234" s="54" t="n"/>
      <c r="X234" s="46" t="inlineStr">
        <is>
          <t>IF(W234&lt;&gt;"",W234,IF(OR(T234="",V234=""),"",EDATE(T234,V234)))</t>
        </is>
      </c>
      <c r="Y234" s="54" t="n"/>
      <c r="Z234" s="55" t="n"/>
      <c r="AA234" s="52" t="n"/>
      <c r="AB234" s="52" t="n"/>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ht="18" customHeight="1">
      <c r="A235" s="42" t="inlineStr">
        <is>
          <t>IF(F235="","",ROW()-3)</t>
        </is>
      </c>
      <c r="B235" s="44" t="n"/>
      <c r="C235" s="44" t="n"/>
      <c r="D235" s="44" t="n"/>
      <c r="E235" s="44" t="n"/>
      <c r="F235" s="44" t="n"/>
      <c r="G235" s="44" t="n"/>
      <c r="H235" s="44" t="n"/>
      <c r="I235" s="44" t="n"/>
      <c r="J235" s="44" t="n"/>
      <c r="K235" s="44" t="n"/>
      <c r="L235" s="44" t="n"/>
      <c r="M235" s="44" t="n"/>
      <c r="N235" s="44" t="n"/>
      <c r="O235" s="44" t="n"/>
      <c r="P235" s="44" t="n"/>
      <c r="Q235" s="44" t="n"/>
      <c r="R235" s="44" t="n"/>
      <c r="S235" s="45" t="n"/>
      <c r="T235" s="46" t="inlineStr">
        <is>
          <t>IF(AQ235="","",AQ235)</t>
        </is>
      </c>
      <c r="U235" s="47" t="n"/>
      <c r="V235" s="48" t="n"/>
      <c r="W235" s="47" t="n"/>
      <c r="X235" s="46" t="inlineStr">
        <is>
          <t>IF(W235&lt;&gt;"",W235,IF(OR(T235="",V235=""),"",EDATE(T235,V235)))</t>
        </is>
      </c>
      <c r="Y235" s="47" t="n"/>
      <c r="Z235" s="48" t="n"/>
      <c r="AA235" s="44" t="n"/>
      <c r="AB235" s="44" t="n"/>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ht="18" customHeight="1">
      <c r="A236" s="42" t="inlineStr">
        <is>
          <t>IF(F236="","",ROW()-3)</t>
        </is>
      </c>
      <c r="B236" s="52" t="n"/>
      <c r="C236" s="52" t="n"/>
      <c r="D236" s="52" t="n"/>
      <c r="E236" s="52" t="n"/>
      <c r="F236" s="52" t="n"/>
      <c r="G236" s="52" t="n"/>
      <c r="H236" s="52" t="n"/>
      <c r="I236" s="52" t="n"/>
      <c r="J236" s="52" t="n"/>
      <c r="K236" s="52" t="n"/>
      <c r="L236" s="52" t="n"/>
      <c r="M236" s="52" t="n"/>
      <c r="N236" s="52" t="n"/>
      <c r="O236" s="52" t="n"/>
      <c r="P236" s="52" t="n"/>
      <c r="Q236" s="52" t="n"/>
      <c r="R236" s="52" t="n"/>
      <c r="S236" s="53" t="n"/>
      <c r="T236" s="46" t="inlineStr">
        <is>
          <t>IF(AQ236="","",AQ236)</t>
        </is>
      </c>
      <c r="U236" s="54" t="n"/>
      <c r="V236" s="55" t="n"/>
      <c r="W236" s="54" t="n"/>
      <c r="X236" s="46" t="inlineStr">
        <is>
          <t>IF(W236&lt;&gt;"",W236,IF(OR(T236="",V236=""),"",EDATE(T236,V236)))</t>
        </is>
      </c>
      <c r="Y236" s="54" t="n"/>
      <c r="Z236" s="55" t="n"/>
      <c r="AA236" s="52" t="n"/>
      <c r="AB236" s="52" t="n"/>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ht="18" customHeight="1">
      <c r="A237" s="42" t="inlineStr">
        <is>
          <t>IF(F237="","",ROW()-3)</t>
        </is>
      </c>
      <c r="B237" s="44" t="n"/>
      <c r="C237" s="44" t="n"/>
      <c r="D237" s="44" t="n"/>
      <c r="E237" s="44" t="n"/>
      <c r="F237" s="44" t="n"/>
      <c r="G237" s="44" t="n"/>
      <c r="H237" s="44" t="n"/>
      <c r="I237" s="44" t="n"/>
      <c r="J237" s="44" t="n"/>
      <c r="K237" s="44" t="n"/>
      <c r="L237" s="44" t="n"/>
      <c r="M237" s="44" t="n"/>
      <c r="N237" s="44" t="n"/>
      <c r="O237" s="44" t="n"/>
      <c r="P237" s="44" t="n"/>
      <c r="Q237" s="44" t="n"/>
      <c r="R237" s="44" t="n"/>
      <c r="S237" s="45" t="n"/>
      <c r="T237" s="46" t="inlineStr">
        <is>
          <t>IF(AQ237="","",AQ237)</t>
        </is>
      </c>
      <c r="U237" s="47" t="n"/>
      <c r="V237" s="48" t="n"/>
      <c r="W237" s="47" t="n"/>
      <c r="X237" s="46" t="inlineStr">
        <is>
          <t>IF(W237&lt;&gt;"",W237,IF(OR(T237="",V237=""),"",EDATE(T237,V237)))</t>
        </is>
      </c>
      <c r="Y237" s="47" t="n"/>
      <c r="Z237" s="48" t="n"/>
      <c r="AA237" s="44" t="n"/>
      <c r="AB237" s="44" t="n"/>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ht="18" customHeight="1">
      <c r="A238" s="42" t="inlineStr">
        <is>
          <t>IF(F238="","",ROW()-3)</t>
        </is>
      </c>
      <c r="B238" s="52" t="n"/>
      <c r="C238" s="52" t="n"/>
      <c r="D238" s="52" t="n"/>
      <c r="E238" s="52" t="n"/>
      <c r="F238" s="52" t="n"/>
      <c r="G238" s="52" t="n"/>
      <c r="H238" s="52" t="n"/>
      <c r="I238" s="52" t="n"/>
      <c r="J238" s="52" t="n"/>
      <c r="K238" s="52" t="n"/>
      <c r="L238" s="52" t="n"/>
      <c r="M238" s="52" t="n"/>
      <c r="N238" s="52" t="n"/>
      <c r="O238" s="52" t="n"/>
      <c r="P238" s="52" t="n"/>
      <c r="Q238" s="52" t="n"/>
      <c r="R238" s="52" t="n"/>
      <c r="S238" s="53" t="n"/>
      <c r="T238" s="46" t="inlineStr">
        <is>
          <t>IF(AQ238="","",AQ238)</t>
        </is>
      </c>
      <c r="U238" s="54" t="n"/>
      <c r="V238" s="55" t="n"/>
      <c r="W238" s="54" t="n"/>
      <c r="X238" s="46" t="inlineStr">
        <is>
          <t>IF(W238&lt;&gt;"",W238,IF(OR(T238="",V238=""),"",EDATE(T238,V238)))</t>
        </is>
      </c>
      <c r="Y238" s="54" t="n"/>
      <c r="Z238" s="55" t="n"/>
      <c r="AA238" s="52" t="n"/>
      <c r="AB238" s="52" t="n"/>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ht="18" customHeight="1">
      <c r="A239" s="42" t="inlineStr">
        <is>
          <t>IF(F239="","",ROW()-3)</t>
        </is>
      </c>
      <c r="B239" s="44" t="n"/>
      <c r="C239" s="44" t="n"/>
      <c r="D239" s="44" t="n"/>
      <c r="E239" s="44" t="n"/>
      <c r="F239" s="44" t="n"/>
      <c r="G239" s="44" t="n"/>
      <c r="H239" s="44" t="n"/>
      <c r="I239" s="44" t="n"/>
      <c r="J239" s="44" t="n"/>
      <c r="K239" s="44" t="n"/>
      <c r="L239" s="44" t="n"/>
      <c r="M239" s="44" t="n"/>
      <c r="N239" s="44" t="n"/>
      <c r="O239" s="44" t="n"/>
      <c r="P239" s="44" t="n"/>
      <c r="Q239" s="44" t="n"/>
      <c r="R239" s="44" t="n"/>
      <c r="S239" s="45" t="n"/>
      <c r="T239" s="46" t="inlineStr">
        <is>
          <t>IF(AQ239="","",AQ239)</t>
        </is>
      </c>
      <c r="U239" s="47" t="n"/>
      <c r="V239" s="48" t="n"/>
      <c r="W239" s="47" t="n"/>
      <c r="X239" s="46" t="inlineStr">
        <is>
          <t>IF(W239&lt;&gt;"",W239,IF(OR(T239="",V239=""),"",EDATE(T239,V239)))</t>
        </is>
      </c>
      <c r="Y239" s="47" t="n"/>
      <c r="Z239" s="48" t="n"/>
      <c r="AA239" s="44" t="n"/>
      <c r="AB239" s="44" t="n"/>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ht="18" customHeight="1">
      <c r="A240" s="42" t="inlineStr">
        <is>
          <t>IF(F240="","",ROW()-3)</t>
        </is>
      </c>
      <c r="B240" s="52" t="n"/>
      <c r="C240" s="52" t="n"/>
      <c r="D240" s="52" t="n"/>
      <c r="E240" s="52" t="n"/>
      <c r="F240" s="52" t="n"/>
      <c r="G240" s="52" t="n"/>
      <c r="H240" s="52" t="n"/>
      <c r="I240" s="52" t="n"/>
      <c r="J240" s="52" t="n"/>
      <c r="K240" s="52" t="n"/>
      <c r="L240" s="52" t="n"/>
      <c r="M240" s="52" t="n"/>
      <c r="N240" s="52" t="n"/>
      <c r="O240" s="52" t="n"/>
      <c r="P240" s="52" t="n"/>
      <c r="Q240" s="52" t="n"/>
      <c r="R240" s="52" t="n"/>
      <c r="S240" s="53" t="n"/>
      <c r="T240" s="46" t="inlineStr">
        <is>
          <t>IF(AQ240="","",AQ240)</t>
        </is>
      </c>
      <c r="U240" s="54" t="n"/>
      <c r="V240" s="55" t="n"/>
      <c r="W240" s="54" t="n"/>
      <c r="X240" s="46" t="inlineStr">
        <is>
          <t>IF(W240&lt;&gt;"",W240,IF(OR(T240="",V240=""),"",EDATE(T240,V240)))</t>
        </is>
      </c>
      <c r="Y240" s="54" t="n"/>
      <c r="Z240" s="55" t="n"/>
      <c r="AA240" s="52" t="n"/>
      <c r="AB240" s="52" t="n"/>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ht="18" customHeight="1">
      <c r="A241" s="42" t="inlineStr">
        <is>
          <t>IF(F241="","",ROW()-3)</t>
        </is>
      </c>
      <c r="B241" s="44" t="n"/>
      <c r="C241" s="44" t="n"/>
      <c r="D241" s="44" t="n"/>
      <c r="E241" s="44" t="n"/>
      <c r="F241" s="44" t="n"/>
      <c r="G241" s="44" t="n"/>
      <c r="H241" s="44" t="n"/>
      <c r="I241" s="44" t="n"/>
      <c r="J241" s="44" t="n"/>
      <c r="K241" s="44" t="n"/>
      <c r="L241" s="44" t="n"/>
      <c r="M241" s="44" t="n"/>
      <c r="N241" s="44" t="n"/>
      <c r="O241" s="44" t="n"/>
      <c r="P241" s="44" t="n"/>
      <c r="Q241" s="44" t="n"/>
      <c r="R241" s="44" t="n"/>
      <c r="S241" s="45" t="n"/>
      <c r="T241" s="46" t="inlineStr">
        <is>
          <t>IF(AQ241="","",AQ241)</t>
        </is>
      </c>
      <c r="U241" s="47" t="n"/>
      <c r="V241" s="48" t="n"/>
      <c r="W241" s="47" t="n"/>
      <c r="X241" s="46" t="inlineStr">
        <is>
          <t>IF(W241&lt;&gt;"",W241,IF(OR(T241="",V241=""),"",EDATE(T241,V241)))</t>
        </is>
      </c>
      <c r="Y241" s="47" t="n"/>
      <c r="Z241" s="48" t="n"/>
      <c r="AA241" s="44" t="n"/>
      <c r="AB241" s="44" t="n"/>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ht="18" customHeight="1">
      <c r="A242" s="42" t="inlineStr">
        <is>
          <t>IF(F242="","",ROW()-3)</t>
        </is>
      </c>
      <c r="B242" s="52" t="n"/>
      <c r="C242" s="52" t="n"/>
      <c r="D242" s="52" t="n"/>
      <c r="E242" s="52" t="n"/>
      <c r="F242" s="52" t="n"/>
      <c r="G242" s="52" t="n"/>
      <c r="H242" s="52" t="n"/>
      <c r="I242" s="52" t="n"/>
      <c r="J242" s="52" t="n"/>
      <c r="K242" s="52" t="n"/>
      <c r="L242" s="52" t="n"/>
      <c r="M242" s="52" t="n"/>
      <c r="N242" s="52" t="n"/>
      <c r="O242" s="52" t="n"/>
      <c r="P242" s="52" t="n"/>
      <c r="Q242" s="52" t="n"/>
      <c r="R242" s="52" t="n"/>
      <c r="S242" s="53" t="n"/>
      <c r="T242" s="46" t="inlineStr">
        <is>
          <t>IF(AQ242="","",AQ242)</t>
        </is>
      </c>
      <c r="U242" s="54" t="n"/>
      <c r="V242" s="55" t="n"/>
      <c r="W242" s="54" t="n"/>
      <c r="X242" s="46" t="inlineStr">
        <is>
          <t>IF(W242&lt;&gt;"",W242,IF(OR(T242="",V242=""),"",EDATE(T242,V242)))</t>
        </is>
      </c>
      <c r="Y242" s="54" t="n"/>
      <c r="Z242" s="55" t="n"/>
      <c r="AA242" s="52" t="n"/>
      <c r="AB242" s="52" t="n"/>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ht="18" customHeight="1">
      <c r="A243" s="42" t="inlineStr">
        <is>
          <t>IF(F243="","",ROW()-3)</t>
        </is>
      </c>
      <c r="B243" s="44" t="n"/>
      <c r="C243" s="44" t="n"/>
      <c r="D243" s="44" t="n"/>
      <c r="E243" s="44" t="n"/>
      <c r="F243" s="44" t="n"/>
      <c r="G243" s="44" t="n"/>
      <c r="H243" s="44" t="n"/>
      <c r="I243" s="44" t="n"/>
      <c r="J243" s="44" t="n"/>
      <c r="K243" s="44" t="n"/>
      <c r="L243" s="44" t="n"/>
      <c r="M243" s="44" t="n"/>
      <c r="N243" s="44" t="n"/>
      <c r="O243" s="44" t="n"/>
      <c r="P243" s="44" t="n"/>
      <c r="Q243" s="44" t="n"/>
      <c r="R243" s="44" t="n"/>
      <c r="S243" s="45" t="n"/>
      <c r="T243" s="46" t="inlineStr">
        <is>
          <t>IF(AQ243="","",AQ243)</t>
        </is>
      </c>
      <c r="U243" s="47" t="n"/>
      <c r="V243" s="48" t="n"/>
      <c r="W243" s="47" t="n"/>
      <c r="X243" s="46" t="inlineStr">
        <is>
          <t>IF(W243&lt;&gt;"",W243,IF(OR(T243="",V243=""),"",EDATE(T243,V243)))</t>
        </is>
      </c>
      <c r="Y243" s="47" t="n"/>
      <c r="Z243" s="48" t="n"/>
      <c r="AA243" s="44" t="n"/>
      <c r="AB243" s="44" t="n"/>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ht="18" customHeight="1">
      <c r="A244" s="42" t="inlineStr">
        <is>
          <t>IF(F244="","",ROW()-3)</t>
        </is>
      </c>
      <c r="B244" s="52" t="n"/>
      <c r="C244" s="52" t="n"/>
      <c r="D244" s="52" t="n"/>
      <c r="E244" s="52" t="n"/>
      <c r="F244" s="52" t="n"/>
      <c r="G244" s="52" t="n"/>
      <c r="H244" s="52" t="n"/>
      <c r="I244" s="52" t="n"/>
      <c r="J244" s="52" t="n"/>
      <c r="K244" s="52" t="n"/>
      <c r="L244" s="52" t="n"/>
      <c r="M244" s="52" t="n"/>
      <c r="N244" s="52" t="n"/>
      <c r="O244" s="52" t="n"/>
      <c r="P244" s="52" t="n"/>
      <c r="Q244" s="52" t="n"/>
      <c r="R244" s="52" t="n"/>
      <c r="S244" s="53" t="n"/>
      <c r="T244" s="46" t="inlineStr">
        <is>
          <t>IF(AQ244="","",AQ244)</t>
        </is>
      </c>
      <c r="U244" s="54" t="n"/>
      <c r="V244" s="55" t="n"/>
      <c r="W244" s="54" t="n"/>
      <c r="X244" s="46" t="inlineStr">
        <is>
          <t>IF(W244&lt;&gt;"",W244,IF(OR(T244="",V244=""),"",EDATE(T244,V244)))</t>
        </is>
      </c>
      <c r="Y244" s="54" t="n"/>
      <c r="Z244" s="55" t="n"/>
      <c r="AA244" s="52" t="n"/>
      <c r="AB244" s="52" t="n"/>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ht="18" customHeight="1">
      <c r="A245" s="42" t="inlineStr">
        <is>
          <t>IF(F245="","",ROW()-3)</t>
        </is>
      </c>
      <c r="B245" s="44" t="n"/>
      <c r="C245" s="44" t="n"/>
      <c r="D245" s="44" t="n"/>
      <c r="E245" s="44" t="n"/>
      <c r="F245" s="44" t="n"/>
      <c r="G245" s="44" t="n"/>
      <c r="H245" s="44" t="n"/>
      <c r="I245" s="44" t="n"/>
      <c r="J245" s="44" t="n"/>
      <c r="K245" s="44" t="n"/>
      <c r="L245" s="44" t="n"/>
      <c r="M245" s="44" t="n"/>
      <c r="N245" s="44" t="n"/>
      <c r="O245" s="44" t="n"/>
      <c r="P245" s="44" t="n"/>
      <c r="Q245" s="44" t="n"/>
      <c r="R245" s="44" t="n"/>
      <c r="S245" s="45" t="n"/>
      <c r="T245" s="46" t="inlineStr">
        <is>
          <t>IF(AQ245="","",AQ245)</t>
        </is>
      </c>
      <c r="U245" s="47" t="n"/>
      <c r="V245" s="48" t="n"/>
      <c r="W245" s="47" t="n"/>
      <c r="X245" s="46" t="inlineStr">
        <is>
          <t>IF(W245&lt;&gt;"",W245,IF(OR(T245="",V245=""),"",EDATE(T245,V245)))</t>
        </is>
      </c>
      <c r="Y245" s="47" t="n"/>
      <c r="Z245" s="48" t="n"/>
      <c r="AA245" s="44" t="n"/>
      <c r="AB245" s="44" t="n"/>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ht="18" customHeight="1">
      <c r="A246" s="42" t="inlineStr">
        <is>
          <t>IF(F246="","",ROW()-3)</t>
        </is>
      </c>
      <c r="B246" s="52" t="n"/>
      <c r="C246" s="52" t="n"/>
      <c r="D246" s="52" t="n"/>
      <c r="E246" s="52" t="n"/>
      <c r="F246" s="52" t="n"/>
      <c r="G246" s="52" t="n"/>
      <c r="H246" s="52" t="n"/>
      <c r="I246" s="52" t="n"/>
      <c r="J246" s="52" t="n"/>
      <c r="K246" s="52" t="n"/>
      <c r="L246" s="52" t="n"/>
      <c r="M246" s="52" t="n"/>
      <c r="N246" s="52" t="n"/>
      <c r="O246" s="52" t="n"/>
      <c r="P246" s="52" t="n"/>
      <c r="Q246" s="52" t="n"/>
      <c r="R246" s="52" t="n"/>
      <c r="S246" s="53" t="n"/>
      <c r="T246" s="46" t="inlineStr">
        <is>
          <t>IF(AQ246="","",AQ246)</t>
        </is>
      </c>
      <c r="U246" s="54" t="n"/>
      <c r="V246" s="55" t="n"/>
      <c r="W246" s="54" t="n"/>
      <c r="X246" s="46" t="inlineStr">
        <is>
          <t>IF(W246&lt;&gt;"",W246,IF(OR(T246="",V246=""),"",EDATE(T246,V246)))</t>
        </is>
      </c>
      <c r="Y246" s="54" t="n"/>
      <c r="Z246" s="55" t="n"/>
      <c r="AA246" s="52" t="n"/>
      <c r="AB246" s="52" t="n"/>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ht="18" customHeight="1">
      <c r="A247" s="42" t="inlineStr">
        <is>
          <t>IF(F247="","",ROW()-3)</t>
        </is>
      </c>
      <c r="B247" s="44" t="n"/>
      <c r="C247" s="44" t="n"/>
      <c r="D247" s="44" t="n"/>
      <c r="E247" s="44" t="n"/>
      <c r="F247" s="44" t="n"/>
      <c r="G247" s="44" t="n"/>
      <c r="H247" s="44" t="n"/>
      <c r="I247" s="44" t="n"/>
      <c r="J247" s="44" t="n"/>
      <c r="K247" s="44" t="n"/>
      <c r="L247" s="44" t="n"/>
      <c r="M247" s="44" t="n"/>
      <c r="N247" s="44" t="n"/>
      <c r="O247" s="44" t="n"/>
      <c r="P247" s="44" t="n"/>
      <c r="Q247" s="44" t="n"/>
      <c r="R247" s="44" t="n"/>
      <c r="S247" s="45" t="n"/>
      <c r="T247" s="46" t="inlineStr">
        <is>
          <t>IF(AQ247="","",AQ247)</t>
        </is>
      </c>
      <c r="U247" s="47" t="n"/>
      <c r="V247" s="48" t="n"/>
      <c r="W247" s="47" t="n"/>
      <c r="X247" s="46" t="inlineStr">
        <is>
          <t>IF(W247&lt;&gt;"",W247,IF(OR(T247="",V247=""),"",EDATE(T247,V247)))</t>
        </is>
      </c>
      <c r="Y247" s="47" t="n"/>
      <c r="Z247" s="48" t="n"/>
      <c r="AA247" s="44" t="n"/>
      <c r="AB247" s="44" t="n"/>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ht="18" customHeight="1">
      <c r="A248" s="42" t="inlineStr">
        <is>
          <t>IF(F248="","",ROW()-3)</t>
        </is>
      </c>
      <c r="B248" s="52" t="n"/>
      <c r="C248" s="52" t="n"/>
      <c r="D248" s="52" t="n"/>
      <c r="E248" s="52" t="n"/>
      <c r="F248" s="52" t="n"/>
      <c r="G248" s="52" t="n"/>
      <c r="H248" s="52" t="n"/>
      <c r="I248" s="52" t="n"/>
      <c r="J248" s="52" t="n"/>
      <c r="K248" s="52" t="n"/>
      <c r="L248" s="52" t="n"/>
      <c r="M248" s="52" t="n"/>
      <c r="N248" s="52" t="n"/>
      <c r="O248" s="52" t="n"/>
      <c r="P248" s="52" t="n"/>
      <c r="Q248" s="52" t="n"/>
      <c r="R248" s="52" t="n"/>
      <c r="S248" s="53" t="n"/>
      <c r="T248" s="46" t="inlineStr">
        <is>
          <t>IF(AQ248="","",AQ248)</t>
        </is>
      </c>
      <c r="U248" s="54" t="n"/>
      <c r="V248" s="55" t="n"/>
      <c r="W248" s="54" t="n"/>
      <c r="X248" s="46" t="inlineStr">
        <is>
          <t>IF(W248&lt;&gt;"",W248,IF(OR(T248="",V248=""),"",EDATE(T248,V248)))</t>
        </is>
      </c>
      <c r="Y248" s="54" t="n"/>
      <c r="Z248" s="55" t="n"/>
      <c r="AA248" s="52" t="n"/>
      <c r="AB248" s="52" t="n"/>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ht="18" customHeight="1">
      <c r="A249" s="42" t="inlineStr">
        <is>
          <t>IF(F249="","",ROW()-3)</t>
        </is>
      </c>
      <c r="B249" s="44" t="n"/>
      <c r="C249" s="44" t="n"/>
      <c r="D249" s="44" t="n"/>
      <c r="E249" s="44" t="n"/>
      <c r="F249" s="44" t="n"/>
      <c r="G249" s="44" t="n"/>
      <c r="H249" s="44" t="n"/>
      <c r="I249" s="44" t="n"/>
      <c r="J249" s="44" t="n"/>
      <c r="K249" s="44" t="n"/>
      <c r="L249" s="44" t="n"/>
      <c r="M249" s="44" t="n"/>
      <c r="N249" s="44" t="n"/>
      <c r="O249" s="44" t="n"/>
      <c r="P249" s="44" t="n"/>
      <c r="Q249" s="44" t="n"/>
      <c r="R249" s="44" t="n"/>
      <c r="S249" s="45" t="n"/>
      <c r="T249" s="46" t="inlineStr">
        <is>
          <t>IF(AQ249="","",AQ249)</t>
        </is>
      </c>
      <c r="U249" s="47" t="n"/>
      <c r="V249" s="48" t="n"/>
      <c r="W249" s="47" t="n"/>
      <c r="X249" s="46" t="inlineStr">
        <is>
          <t>IF(W249&lt;&gt;"",W249,IF(OR(T249="",V249=""),"",EDATE(T249,V249)))</t>
        </is>
      </c>
      <c r="Y249" s="47" t="n"/>
      <c r="Z249" s="48" t="n"/>
      <c r="AA249" s="44" t="n"/>
      <c r="AB249" s="44" t="n"/>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ht="18" customHeight="1">
      <c r="A250" s="42" t="inlineStr">
        <is>
          <t>IF(F250="","",ROW()-3)</t>
        </is>
      </c>
      <c r="B250" s="52" t="n"/>
      <c r="C250" s="52" t="n"/>
      <c r="D250" s="52" t="n"/>
      <c r="E250" s="52" t="n"/>
      <c r="F250" s="52" t="n"/>
      <c r="G250" s="52" t="n"/>
      <c r="H250" s="52" t="n"/>
      <c r="I250" s="52" t="n"/>
      <c r="J250" s="52" t="n"/>
      <c r="K250" s="52" t="n"/>
      <c r="L250" s="52" t="n"/>
      <c r="M250" s="52" t="n"/>
      <c r="N250" s="52" t="n"/>
      <c r="O250" s="52" t="n"/>
      <c r="P250" s="52" t="n"/>
      <c r="Q250" s="52" t="n"/>
      <c r="R250" s="52" t="n"/>
      <c r="S250" s="53" t="n"/>
      <c r="T250" s="46" t="inlineStr">
        <is>
          <t>IF(AQ250="","",AQ250)</t>
        </is>
      </c>
      <c r="U250" s="54" t="n"/>
      <c r="V250" s="55" t="n"/>
      <c r="W250" s="54" t="n"/>
      <c r="X250" s="46" t="inlineStr">
        <is>
          <t>IF(W250&lt;&gt;"",W250,IF(OR(T250="",V250=""),"",EDATE(T250,V250)))</t>
        </is>
      </c>
      <c r="Y250" s="54" t="n"/>
      <c r="Z250" s="55" t="n"/>
      <c r="AA250" s="52" t="n"/>
      <c r="AB250" s="52" t="n"/>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ht="18" customHeight="1">
      <c r="A251" s="42" t="inlineStr">
        <is>
          <t>IF(F251="","",ROW()-3)</t>
        </is>
      </c>
      <c r="B251" s="44" t="n"/>
      <c r="C251" s="44" t="n"/>
      <c r="D251" s="44" t="n"/>
      <c r="E251" s="44" t="n"/>
      <c r="F251" s="44" t="n"/>
      <c r="G251" s="44" t="n"/>
      <c r="H251" s="44" t="n"/>
      <c r="I251" s="44" t="n"/>
      <c r="J251" s="44" t="n"/>
      <c r="K251" s="44" t="n"/>
      <c r="L251" s="44" t="n"/>
      <c r="M251" s="44" t="n"/>
      <c r="N251" s="44" t="n"/>
      <c r="O251" s="44" t="n"/>
      <c r="P251" s="44" t="n"/>
      <c r="Q251" s="44" t="n"/>
      <c r="R251" s="44" t="n"/>
      <c r="S251" s="45" t="n"/>
      <c r="T251" s="46" t="inlineStr">
        <is>
          <t>IF(AQ251="","",AQ251)</t>
        </is>
      </c>
      <c r="U251" s="47" t="n"/>
      <c r="V251" s="48" t="n"/>
      <c r="W251" s="47" t="n"/>
      <c r="X251" s="46" t="inlineStr">
        <is>
          <t>IF(W251&lt;&gt;"",W251,IF(OR(T251="",V251=""),"",EDATE(T251,V251)))</t>
        </is>
      </c>
      <c r="Y251" s="47" t="n"/>
      <c r="Z251" s="48" t="n"/>
      <c r="AA251" s="44" t="n"/>
      <c r="AB251" s="44" t="n"/>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ht="18" customHeight="1">
      <c r="A252" s="42" t="inlineStr">
        <is>
          <t>IF(F252="","",ROW()-3)</t>
        </is>
      </c>
      <c r="B252" s="52" t="n"/>
      <c r="C252" s="52" t="n"/>
      <c r="D252" s="52" t="n"/>
      <c r="E252" s="52" t="n"/>
      <c r="F252" s="52" t="n"/>
      <c r="G252" s="52" t="n"/>
      <c r="H252" s="52" t="n"/>
      <c r="I252" s="52" t="n"/>
      <c r="J252" s="52" t="n"/>
      <c r="K252" s="52" t="n"/>
      <c r="L252" s="52" t="n"/>
      <c r="M252" s="52" t="n"/>
      <c r="N252" s="52" t="n"/>
      <c r="O252" s="52" t="n"/>
      <c r="P252" s="52" t="n"/>
      <c r="Q252" s="52" t="n"/>
      <c r="R252" s="52" t="n"/>
      <c r="S252" s="53" t="n"/>
      <c r="T252" s="46" t="inlineStr">
        <is>
          <t>IF(AQ252="","",AQ252)</t>
        </is>
      </c>
      <c r="U252" s="54" t="n"/>
      <c r="V252" s="55" t="n"/>
      <c r="W252" s="54" t="n"/>
      <c r="X252" s="46" t="inlineStr">
        <is>
          <t>IF(W252&lt;&gt;"",W252,IF(OR(T252="",V252=""),"",EDATE(T252,V252)))</t>
        </is>
      </c>
      <c r="Y252" s="54" t="n"/>
      <c r="Z252" s="55" t="n"/>
      <c r="AA252" s="52" t="n"/>
      <c r="AB252" s="52" t="n"/>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ht="18" customHeight="1">
      <c r="A253" s="42" t="inlineStr">
        <is>
          <t>IF(F253="","",ROW()-3)</t>
        </is>
      </c>
      <c r="B253" s="44" t="n"/>
      <c r="C253" s="44" t="n"/>
      <c r="D253" s="44" t="n"/>
      <c r="E253" s="44" t="n"/>
      <c r="F253" s="44" t="n"/>
      <c r="G253" s="44" t="n"/>
      <c r="H253" s="44" t="n"/>
      <c r="I253" s="44" t="n"/>
      <c r="J253" s="44" t="n"/>
      <c r="K253" s="44" t="n"/>
      <c r="L253" s="44" t="n"/>
      <c r="M253" s="44" t="n"/>
      <c r="N253" s="44" t="n"/>
      <c r="O253" s="44" t="n"/>
      <c r="P253" s="44" t="n"/>
      <c r="Q253" s="44" t="n"/>
      <c r="R253" s="44" t="n"/>
      <c r="S253" s="45" t="n"/>
      <c r="T253" s="46" t="inlineStr">
        <is>
          <t>IF(AQ253="","",AQ253)</t>
        </is>
      </c>
      <c r="U253" s="47" t="n"/>
      <c r="V253" s="48" t="n"/>
      <c r="W253" s="47" t="n"/>
      <c r="X253" s="46" t="inlineStr">
        <is>
          <t>IF(W253&lt;&gt;"",W253,IF(OR(T253="",V253=""),"",EDATE(T253,V253)))</t>
        </is>
      </c>
      <c r="Y253" s="47" t="n"/>
      <c r="Z253" s="48" t="n"/>
      <c r="AA253" s="44" t="n"/>
      <c r="AB253" s="44" t="n"/>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ht="18" customHeight="1">
      <c r="A254" s="42" t="inlineStr">
        <is>
          <t>IF(F254="","",ROW()-3)</t>
        </is>
      </c>
      <c r="B254" s="52" t="n"/>
      <c r="C254" s="52" t="n"/>
      <c r="D254" s="52" t="n"/>
      <c r="E254" s="52" t="n"/>
      <c r="F254" s="52" t="n"/>
      <c r="G254" s="52" t="n"/>
      <c r="H254" s="52" t="n"/>
      <c r="I254" s="52" t="n"/>
      <c r="J254" s="52" t="n"/>
      <c r="K254" s="52" t="n"/>
      <c r="L254" s="52" t="n"/>
      <c r="M254" s="52" t="n"/>
      <c r="N254" s="52" t="n"/>
      <c r="O254" s="52" t="n"/>
      <c r="P254" s="52" t="n"/>
      <c r="Q254" s="52" t="n"/>
      <c r="R254" s="52" t="n"/>
      <c r="S254" s="53" t="n"/>
      <c r="T254" s="46" t="inlineStr">
        <is>
          <t>IF(AQ254="","",AQ254)</t>
        </is>
      </c>
      <c r="U254" s="54" t="n"/>
      <c r="V254" s="55" t="n"/>
      <c r="W254" s="54" t="n"/>
      <c r="X254" s="46" t="inlineStr">
        <is>
          <t>IF(W254&lt;&gt;"",W254,IF(OR(T254="",V254=""),"",EDATE(T254,V254)))</t>
        </is>
      </c>
      <c r="Y254" s="54" t="n"/>
      <c r="Z254" s="55" t="n"/>
      <c r="AA254" s="52" t="n"/>
      <c r="AB254" s="52" t="n"/>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ht="18" customHeight="1">
      <c r="A255" s="42" t="inlineStr">
        <is>
          <t>IF(F255="","",ROW()-3)</t>
        </is>
      </c>
      <c r="B255" s="44" t="n"/>
      <c r="C255" s="44" t="n"/>
      <c r="D255" s="44" t="n"/>
      <c r="E255" s="44" t="n"/>
      <c r="F255" s="44" t="n"/>
      <c r="G255" s="44" t="n"/>
      <c r="H255" s="44" t="n"/>
      <c r="I255" s="44" t="n"/>
      <c r="J255" s="44" t="n"/>
      <c r="K255" s="44" t="n"/>
      <c r="L255" s="44" t="n"/>
      <c r="M255" s="44" t="n"/>
      <c r="N255" s="44" t="n"/>
      <c r="O255" s="44" t="n"/>
      <c r="P255" s="44" t="n"/>
      <c r="Q255" s="44" t="n"/>
      <c r="R255" s="44" t="n"/>
      <c r="S255" s="45" t="n"/>
      <c r="T255" s="46" t="inlineStr">
        <is>
          <t>IF(AQ255="","",AQ255)</t>
        </is>
      </c>
      <c r="U255" s="47" t="n"/>
      <c r="V255" s="48" t="n"/>
      <c r="W255" s="47" t="n"/>
      <c r="X255" s="46" t="inlineStr">
        <is>
          <t>IF(W255&lt;&gt;"",W255,IF(OR(T255="",V255=""),"",EDATE(T255,V255)))</t>
        </is>
      </c>
      <c r="Y255" s="47" t="n"/>
      <c r="Z255" s="48" t="n"/>
      <c r="AA255" s="44" t="n"/>
      <c r="AB255" s="44" t="n"/>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ht="18" customHeight="1">
      <c r="A256" s="42" t="inlineStr">
        <is>
          <t>IF(F256="","",ROW()-3)</t>
        </is>
      </c>
      <c r="B256" s="52" t="n"/>
      <c r="C256" s="52" t="n"/>
      <c r="D256" s="52" t="n"/>
      <c r="E256" s="52" t="n"/>
      <c r="F256" s="52" t="n"/>
      <c r="G256" s="52" t="n"/>
      <c r="H256" s="52" t="n"/>
      <c r="I256" s="52" t="n"/>
      <c r="J256" s="52" t="n"/>
      <c r="K256" s="52" t="n"/>
      <c r="L256" s="52" t="n"/>
      <c r="M256" s="52" t="n"/>
      <c r="N256" s="52" t="n"/>
      <c r="O256" s="52" t="n"/>
      <c r="P256" s="52" t="n"/>
      <c r="Q256" s="52" t="n"/>
      <c r="R256" s="52" t="n"/>
      <c r="S256" s="53" t="n"/>
      <c r="T256" s="46" t="inlineStr">
        <is>
          <t>IF(AQ256="","",AQ256)</t>
        </is>
      </c>
      <c r="U256" s="54" t="n"/>
      <c r="V256" s="55" t="n"/>
      <c r="W256" s="54" t="n"/>
      <c r="X256" s="46" t="inlineStr">
        <is>
          <t>IF(W256&lt;&gt;"",W256,IF(OR(T256="",V256=""),"",EDATE(T256,V256)))</t>
        </is>
      </c>
      <c r="Y256" s="54" t="n"/>
      <c r="Z256" s="55" t="n"/>
      <c r="AA256" s="52" t="n"/>
      <c r="AB256" s="52" t="n"/>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ht="18" customHeight="1">
      <c r="A257" s="42" t="inlineStr">
        <is>
          <t>IF(F257="","",ROW()-3)</t>
        </is>
      </c>
      <c r="B257" s="44" t="n"/>
      <c r="C257" s="44" t="n"/>
      <c r="D257" s="44" t="n"/>
      <c r="E257" s="44" t="n"/>
      <c r="F257" s="44" t="n"/>
      <c r="G257" s="44" t="n"/>
      <c r="H257" s="44" t="n"/>
      <c r="I257" s="44" t="n"/>
      <c r="J257" s="44" t="n"/>
      <c r="K257" s="44" t="n"/>
      <c r="L257" s="44" t="n"/>
      <c r="M257" s="44" t="n"/>
      <c r="N257" s="44" t="n"/>
      <c r="O257" s="44" t="n"/>
      <c r="P257" s="44" t="n"/>
      <c r="Q257" s="44" t="n"/>
      <c r="R257" s="44" t="n"/>
      <c r="S257" s="45" t="n"/>
      <c r="T257" s="46" t="inlineStr">
        <is>
          <t>IF(AQ257="","",AQ257)</t>
        </is>
      </c>
      <c r="U257" s="47" t="n"/>
      <c r="V257" s="48" t="n"/>
      <c r="W257" s="47" t="n"/>
      <c r="X257" s="46" t="inlineStr">
        <is>
          <t>IF(W257&lt;&gt;"",W257,IF(OR(T257="",V257=""),"",EDATE(T257,V257)))</t>
        </is>
      </c>
      <c r="Y257" s="47" t="n"/>
      <c r="Z257" s="48" t="n"/>
      <c r="AA257" s="44" t="n"/>
      <c r="AB257" s="44" t="n"/>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ht="18" customHeight="1">
      <c r="A258" s="42" t="inlineStr">
        <is>
          <t>IF(F258="","",ROW()-3)</t>
        </is>
      </c>
      <c r="B258" s="52" t="n"/>
      <c r="C258" s="52" t="n"/>
      <c r="D258" s="52" t="n"/>
      <c r="E258" s="52" t="n"/>
      <c r="F258" s="52" t="n"/>
      <c r="G258" s="52" t="n"/>
      <c r="H258" s="52" t="n"/>
      <c r="I258" s="52" t="n"/>
      <c r="J258" s="52" t="n"/>
      <c r="K258" s="52" t="n"/>
      <c r="L258" s="52" t="n"/>
      <c r="M258" s="52" t="n"/>
      <c r="N258" s="52" t="n"/>
      <c r="O258" s="52" t="n"/>
      <c r="P258" s="52" t="n"/>
      <c r="Q258" s="52" t="n"/>
      <c r="R258" s="52" t="n"/>
      <c r="S258" s="53" t="n"/>
      <c r="T258" s="46" t="inlineStr">
        <is>
          <t>IF(AQ258="","",AQ258)</t>
        </is>
      </c>
      <c r="U258" s="54" t="n"/>
      <c r="V258" s="55" t="n"/>
      <c r="W258" s="54" t="n"/>
      <c r="X258" s="46" t="inlineStr">
        <is>
          <t>IF(W258&lt;&gt;"",W258,IF(OR(T258="",V258=""),"",EDATE(T258,V258)))</t>
        </is>
      </c>
      <c r="Y258" s="54" t="n"/>
      <c r="Z258" s="55" t="n"/>
      <c r="AA258" s="52" t="n"/>
      <c r="AB258" s="52" t="n"/>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42" t="inlineStr">
        <is>
          <t>IF(F259="","",ROW()-3)</t>
        </is>
      </c>
      <c r="B259" s="44" t="n"/>
      <c r="C259" s="44" t="n"/>
      <c r="D259" s="44" t="n"/>
      <c r="E259" s="44" t="n"/>
      <c r="F259" s="44" t="n"/>
      <c r="G259" s="44" t="n"/>
      <c r="H259" s="44" t="n"/>
      <c r="I259" s="44" t="n"/>
      <c r="J259" s="44" t="n"/>
      <c r="K259" s="44" t="n"/>
      <c r="L259" s="44" t="n"/>
      <c r="M259" s="44" t="n"/>
      <c r="N259" s="44" t="n"/>
      <c r="O259" s="44" t="n"/>
      <c r="P259" s="44" t="n"/>
      <c r="Q259" s="44" t="n"/>
      <c r="R259" s="44" t="n"/>
      <c r="S259" s="45" t="n"/>
      <c r="T259" s="46" t="inlineStr">
        <is>
          <t>IF(AQ259="","",AQ259)</t>
        </is>
      </c>
      <c r="U259" s="47" t="n"/>
      <c r="V259" s="48" t="n"/>
      <c r="W259" s="47" t="n"/>
      <c r="X259" s="46" t="inlineStr">
        <is>
          <t>IF(W259&lt;&gt;"",W259,IF(OR(T259="",V259=""),"",EDATE(T259,V259)))</t>
        </is>
      </c>
      <c r="Y259" s="47" t="n"/>
      <c r="Z259" s="48" t="n"/>
      <c r="AA259" s="44" t="n"/>
      <c r="AB259" s="44" t="n"/>
      <c r="AC259" s="42" t="inlineStr">
        <is>
          <t>IF(F259="","",IF(COUNT(AI259:AV259)=0,IF(AA259="","Not started",AA259),SUBSTITUTE(LOOKUP(2,1/(AI259:AV259&lt;&gt;""),$AI$3:$AV$3),"Date: ","")))</t>
        </is>
      </c>
      <c r="AD259" s="49" t="inlineStr">
        <is>
          <t>IF(OR(F259="",COUNT(AI259:AV259)=0),"",TODAY()-LOOKUP(2,1/(AI259:AV259&lt;&gt;""),AI259:AV259))</t>
        </is>
      </c>
      <c r="AE259" s="49" t="inlineStr">
        <is>
          <t>IF(OR(F259="",COUNT(AI259:AV259)&lt;2),"",LOOKUP(2,1/(AI259:AV259&lt;&gt;""),AI259:AV259)-MIN(AI259:AV259))</t>
        </is>
      </c>
      <c r="AF259" s="49" t="inlineStr">
        <is>
          <t>IF(OR(AD259="",AC259="Not started",AC259=""),"",IFERROR(AD259-IF(VLOOKUP(AC259,'06_Status_Pipeline'!$B$3:$E$20,4,FALSE)="",0,VLOOKUP(AC259,'06_Status_Pipeline'!$B$3:$E$20,4,FALSE)),""))</t>
        </is>
      </c>
      <c r="AG259" s="4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49" t="inlineStr">
        <is>
          <t>IF(OR(F259="",AC259="Completed / Handover",AC259="Cancelled"),"",IF(O259="Not awarded",IF(U259&lt;&gt;"",U259-TODAY(),IF(X259="","",X259-TODAY())),IF(X259="","",X259-TODAY())))</t>
        </is>
      </c>
      <c r="AI259" s="47" t="n"/>
      <c r="AJ259" s="47" t="n"/>
      <c r="AK259" s="47" t="n"/>
      <c r="AL259" s="47" t="n"/>
      <c r="AM259" s="47" t="n"/>
      <c r="AN259" s="47" t="n"/>
      <c r="AO259" s="47" t="n"/>
      <c r="AP259" s="47" t="n"/>
      <c r="AQ259" s="47" t="n"/>
      <c r="AR259" s="47" t="n"/>
      <c r="AS259" s="47" t="n"/>
      <c r="AT259" s="50" t="n"/>
      <c r="AU259" s="50" t="n"/>
      <c r="AV259" s="50" t="n"/>
      <c r="AW259" s="49" t="inlineStr">
        <is>
          <t>IF(OR(F259="",AJ259=""),"",IF(COUNT(AI259:AI259)=0,"",AJ259-LOOKUP(2,1/(AI259:AI259&lt;&gt;""),AI259:AI259)))</t>
        </is>
      </c>
      <c r="AX259" s="49" t="inlineStr">
        <is>
          <t>IF(OR(F259="",AK259=""),"",IF(COUNT(AI259:AJ259)=0,"",AK259-LOOKUP(2,1/(AI259:AJ259&lt;&gt;""),AI259:AJ259)))</t>
        </is>
      </c>
      <c r="AY259" s="49" t="inlineStr">
        <is>
          <t>IF(OR(F259="",AL259=""),"",IF(COUNT(AI259:AK259)=0,"",AL259-LOOKUP(2,1/(AI259:AK259&lt;&gt;""),AI259:AK259)))</t>
        </is>
      </c>
      <c r="AZ259" s="49" t="inlineStr">
        <is>
          <t>IF(OR(F259="",AM259=""),"",IF(COUNT(AI259:AL259)=0,"",AM259-LOOKUP(2,1/(AI259:AL259&lt;&gt;""),AI259:AL259)))</t>
        </is>
      </c>
      <c r="BA259" s="49" t="inlineStr">
        <is>
          <t>IF(OR(F259="",AN259=""),"",IF(COUNT(AI259:AM259)=0,"",AN259-LOOKUP(2,1/(AI259:AM259&lt;&gt;""),AI259:AM259)))</t>
        </is>
      </c>
      <c r="BB259" s="49" t="inlineStr">
        <is>
          <t>IF(OR(F259="",AO259=""),"",IF(COUNT(AI259:AN259)=0,"",AO259-LOOKUP(2,1/(AI259:AN259&lt;&gt;""),AI259:AN259)))</t>
        </is>
      </c>
      <c r="BC259" s="49" t="inlineStr">
        <is>
          <t>IF(OR(F259="",AP259=""),"",IF(COUNT(AI259:AO259)=0,"",AP259-LOOKUP(2,1/(AI259:AO259&lt;&gt;""),AI259:AO259)))</t>
        </is>
      </c>
      <c r="BD259" s="49" t="inlineStr">
        <is>
          <t>IF(OR(F259="",AQ259=""),"",IF(COUNT(AI259:AP259)=0,"",AQ259-LOOKUP(2,1/(AI259:AP259&lt;&gt;""),AI259:AP259)))</t>
        </is>
      </c>
      <c r="BE259" s="49" t="inlineStr">
        <is>
          <t>IF(OR(F259="",AR259=""),"",IF(COUNT(AI259:AQ259)=0,"",AR259-LOOKUP(2,1/(AI259:AQ259&lt;&gt;""),AI259:AQ259)))</t>
        </is>
      </c>
      <c r="BF259" s="49" t="inlineStr">
        <is>
          <t>IF(OR(F259="",AS259=""),"",IF(COUNT(AI259:AR259)=0,"",AS259-LOOKUP(2,1/(AI259:AR259&lt;&gt;""),AI259:AR259)))</t>
        </is>
      </c>
      <c r="BG259" s="49" t="inlineStr">
        <is>
          <t>IF(OR(F259="",AT259=""),"",IF(COUNT(AI259:AS259)=0,"",AT259-LOOKUP(2,1/(AI259:AS259&lt;&gt;""),AI259:AS259)))</t>
        </is>
      </c>
      <c r="BH259" s="49" t="inlineStr">
        <is>
          <t>IF(OR(F259="",AU259=""),"",IF(COUNT(AI259:AT259)=0,"",AU259-LOOKUP(2,1/(AI259:AT259&lt;&gt;""),AI259:AT259)))</t>
        </is>
      </c>
      <c r="BI259" s="49" t="inlineStr">
        <is>
          <t>IF(OR(F259="",AV259=""),"",IF(COUNT(AI259:AU259)=0,"",AV259-LOOKUP(2,1/(AI259:AU259&lt;&gt;""),AI259:AU259)))</t>
        </is>
      </c>
      <c r="BJ259" s="51" t="inlineStr">
        <is>
          <t>IF(J259="","All_Provinces",IFERROR(VLOOKUP(J259,'09_Lookups'!$A$4:$B$20,2,FALSE),"All_Provinces"))</t>
        </is>
      </c>
      <c r="BK259" s="51" t="inlineStr">
        <is>
          <t>IF(K259="","All_Districts",IFERROR(VLOOKUP(K259,'09_Lookups'!$E$4:$F$42,2,FALSE),"All_Districts"))</t>
        </is>
      </c>
    </row>
    <row r="260" ht="18" customHeight="1">
      <c r="A260" s="42" t="inlineStr">
        <is>
          <t>IF(F260="","",ROW()-3)</t>
        </is>
      </c>
      <c r="B260" s="52" t="n"/>
      <c r="C260" s="52" t="n"/>
      <c r="D260" s="52" t="n"/>
      <c r="E260" s="52" t="n"/>
      <c r="F260" s="52" t="n"/>
      <c r="G260" s="52" t="n"/>
      <c r="H260" s="52" t="n"/>
      <c r="I260" s="52" t="n"/>
      <c r="J260" s="52" t="n"/>
      <c r="K260" s="52" t="n"/>
      <c r="L260" s="52" t="n"/>
      <c r="M260" s="52" t="n"/>
      <c r="N260" s="52" t="n"/>
      <c r="O260" s="52" t="n"/>
      <c r="P260" s="52" t="n"/>
      <c r="Q260" s="52" t="n"/>
      <c r="R260" s="52" t="n"/>
      <c r="S260" s="53" t="n"/>
      <c r="T260" s="46" t="inlineStr">
        <is>
          <t>IF(AQ260="","",AQ260)</t>
        </is>
      </c>
      <c r="U260" s="54" t="n"/>
      <c r="V260" s="55" t="n"/>
      <c r="W260" s="54" t="n"/>
      <c r="X260" s="46" t="inlineStr">
        <is>
          <t>IF(W260&lt;&gt;"",W260,IF(OR(T260="",V260=""),"",EDATE(T260,V260)))</t>
        </is>
      </c>
      <c r="Y260" s="54" t="n"/>
      <c r="Z260" s="55" t="n"/>
      <c r="AA260" s="52" t="n"/>
      <c r="AB260" s="52" t="n"/>
      <c r="AC260" s="42" t="inlineStr">
        <is>
          <t>IF(F260="","",IF(COUNT(AI260:AV260)=0,IF(AA260="","Not started",AA260),SUBSTITUTE(LOOKUP(2,1/(AI260:AV260&lt;&gt;""),$AI$3:$AV$3),"Date: ","")))</t>
        </is>
      </c>
      <c r="AD260" s="49" t="inlineStr">
        <is>
          <t>IF(OR(F260="",COUNT(AI260:AV260)=0),"",TODAY()-LOOKUP(2,1/(AI260:AV260&lt;&gt;""),AI260:AV260))</t>
        </is>
      </c>
      <c r="AE260" s="49" t="inlineStr">
        <is>
          <t>IF(OR(F260="",COUNT(AI260:AV260)&lt;2),"",LOOKUP(2,1/(AI260:AV260&lt;&gt;""),AI260:AV260)-MIN(AI260:AV260))</t>
        </is>
      </c>
      <c r="AF260" s="49" t="inlineStr">
        <is>
          <t>IF(OR(AD260="",AC260="Not started",AC260=""),"",IFERROR(AD260-IF(VLOOKUP(AC260,'06_Status_Pipeline'!$B$3:$E$20,4,FALSE)="",0,VLOOKUP(AC260,'06_Status_Pipeline'!$B$3:$E$20,4,FALSE)),""))</t>
        </is>
      </c>
      <c r="AG260" s="4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49" t="inlineStr">
        <is>
          <t>IF(OR(F260="",AC260="Completed / Handover",AC260="Cancelled"),"",IF(O260="Not awarded",IF(U260&lt;&gt;"",U260-TODAY(),IF(X260="","",X260-TODAY())),IF(X260="","",X260-TODAY())))</t>
        </is>
      </c>
      <c r="AI260" s="54" t="n"/>
      <c r="AJ260" s="54" t="n"/>
      <c r="AK260" s="54" t="n"/>
      <c r="AL260" s="54" t="n"/>
      <c r="AM260" s="54" t="n"/>
      <c r="AN260" s="54" t="n"/>
      <c r="AO260" s="54" t="n"/>
      <c r="AP260" s="54" t="n"/>
      <c r="AQ260" s="54" t="n"/>
      <c r="AR260" s="54" t="n"/>
      <c r="AS260" s="54" t="n"/>
      <c r="AT260" s="50" t="n"/>
      <c r="AU260" s="50" t="n"/>
      <c r="AV260" s="50" t="n"/>
      <c r="AW260" s="49" t="inlineStr">
        <is>
          <t>IF(OR(F260="",AJ260=""),"",IF(COUNT(AI260:AI260)=0,"",AJ260-LOOKUP(2,1/(AI260:AI260&lt;&gt;""),AI260:AI260)))</t>
        </is>
      </c>
      <c r="AX260" s="49" t="inlineStr">
        <is>
          <t>IF(OR(F260="",AK260=""),"",IF(COUNT(AI260:AJ260)=0,"",AK260-LOOKUP(2,1/(AI260:AJ260&lt;&gt;""),AI260:AJ260)))</t>
        </is>
      </c>
      <c r="AY260" s="49" t="inlineStr">
        <is>
          <t>IF(OR(F260="",AL260=""),"",IF(COUNT(AI260:AK260)=0,"",AL260-LOOKUP(2,1/(AI260:AK260&lt;&gt;""),AI260:AK260)))</t>
        </is>
      </c>
      <c r="AZ260" s="49" t="inlineStr">
        <is>
          <t>IF(OR(F260="",AM260=""),"",IF(COUNT(AI260:AL260)=0,"",AM260-LOOKUP(2,1/(AI260:AL260&lt;&gt;""),AI260:AL260)))</t>
        </is>
      </c>
      <c r="BA260" s="49" t="inlineStr">
        <is>
          <t>IF(OR(F260="",AN260=""),"",IF(COUNT(AI260:AM260)=0,"",AN260-LOOKUP(2,1/(AI260:AM260&lt;&gt;""),AI260:AM260)))</t>
        </is>
      </c>
      <c r="BB260" s="49" t="inlineStr">
        <is>
          <t>IF(OR(F260="",AO260=""),"",IF(COUNT(AI260:AN260)=0,"",AO260-LOOKUP(2,1/(AI260:AN260&lt;&gt;""),AI260:AN260)))</t>
        </is>
      </c>
      <c r="BC260" s="49" t="inlineStr">
        <is>
          <t>IF(OR(F260="",AP260=""),"",IF(COUNT(AI260:AO260)=0,"",AP260-LOOKUP(2,1/(AI260:AO260&lt;&gt;""),AI260:AO260)))</t>
        </is>
      </c>
      <c r="BD260" s="49" t="inlineStr">
        <is>
          <t>IF(OR(F260="",AQ260=""),"",IF(COUNT(AI260:AP260)=0,"",AQ260-LOOKUP(2,1/(AI260:AP260&lt;&gt;""),AI260:AP260)))</t>
        </is>
      </c>
      <c r="BE260" s="49" t="inlineStr">
        <is>
          <t>IF(OR(F260="",AR260=""),"",IF(COUNT(AI260:AQ260)=0,"",AR260-LOOKUP(2,1/(AI260:AQ260&lt;&gt;""),AI260:AQ260)))</t>
        </is>
      </c>
      <c r="BF260" s="49" t="inlineStr">
        <is>
          <t>IF(OR(F260="",AS260=""),"",IF(COUNT(AI260:AR260)=0,"",AS260-LOOKUP(2,1/(AI260:AR260&lt;&gt;""),AI260:AR260)))</t>
        </is>
      </c>
      <c r="BG260" s="49" t="inlineStr">
        <is>
          <t>IF(OR(F260="",AT260=""),"",IF(COUNT(AI260:AS260)=0,"",AT260-LOOKUP(2,1/(AI260:AS260&lt;&gt;""),AI260:AS260)))</t>
        </is>
      </c>
      <c r="BH260" s="49" t="inlineStr">
        <is>
          <t>IF(OR(F260="",AU260=""),"",IF(COUNT(AI260:AT260)=0,"",AU260-LOOKUP(2,1/(AI260:AT260&lt;&gt;""),AI260:AT260)))</t>
        </is>
      </c>
      <c r="BI260" s="49" t="inlineStr">
        <is>
          <t>IF(OR(F260="",AV260=""),"",IF(COUNT(AI260:AU260)=0,"",AV260-LOOKUP(2,1/(AI260:AU260&lt;&gt;""),AI260:AU260)))</t>
        </is>
      </c>
      <c r="BJ260" s="51" t="inlineStr">
        <is>
          <t>IF(J260="","All_Provinces",IFERROR(VLOOKUP(J260,'09_Lookups'!$A$4:$B$20,2,FALSE),"All_Provinces"))</t>
        </is>
      </c>
      <c r="BK260" s="51" t="inlineStr">
        <is>
          <t>IF(K260="","All_Districts",IFERROR(VLOOKUP(K260,'09_Lookups'!$E$4:$F$42,2,FALSE),"All_Districts"))</t>
        </is>
      </c>
    </row>
    <row r="261" ht="18" customHeight="1">
      <c r="A261" s="42" t="inlineStr">
        <is>
          <t>IF(F261="","",ROW()-3)</t>
        </is>
      </c>
      <c r="B261" s="44" t="n"/>
      <c r="C261" s="44" t="n"/>
      <c r="D261" s="44" t="n"/>
      <c r="E261" s="44" t="n"/>
      <c r="F261" s="44" t="n"/>
      <c r="G261" s="44" t="n"/>
      <c r="H261" s="44" t="n"/>
      <c r="I261" s="44" t="n"/>
      <c r="J261" s="44" t="n"/>
      <c r="K261" s="44" t="n"/>
      <c r="L261" s="44" t="n"/>
      <c r="M261" s="44" t="n"/>
      <c r="N261" s="44" t="n"/>
      <c r="O261" s="44" t="n"/>
      <c r="P261" s="44" t="n"/>
      <c r="Q261" s="44" t="n"/>
      <c r="R261" s="44" t="n"/>
      <c r="S261" s="45" t="n"/>
      <c r="T261" s="46" t="inlineStr">
        <is>
          <t>IF(AQ261="","",AQ261)</t>
        </is>
      </c>
      <c r="U261" s="47" t="n"/>
      <c r="V261" s="48" t="n"/>
      <c r="W261" s="47" t="n"/>
      <c r="X261" s="46" t="inlineStr">
        <is>
          <t>IF(W261&lt;&gt;"",W261,IF(OR(T261="",V261=""),"",EDATE(T261,V261)))</t>
        </is>
      </c>
      <c r="Y261" s="47" t="n"/>
      <c r="Z261" s="48" t="n"/>
      <c r="AA261" s="44" t="n"/>
      <c r="AB261" s="44" t="n"/>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47" t="n"/>
      <c r="AJ261" s="47" t="n"/>
      <c r="AK261" s="47" t="n"/>
      <c r="AL261" s="47" t="n"/>
      <c r="AM261" s="47" t="n"/>
      <c r="AN261" s="47" t="n"/>
      <c r="AO261" s="47" t="n"/>
      <c r="AP261" s="47" t="n"/>
      <c r="AQ261" s="47" t="n"/>
      <c r="AR261" s="47" t="n"/>
      <c r="AS261" s="4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ht="18" customHeight="1">
      <c r="A262" s="42" t="inlineStr">
        <is>
          <t>IF(F262="","",ROW()-3)</t>
        </is>
      </c>
      <c r="B262" s="52" t="n"/>
      <c r="C262" s="52" t="n"/>
      <c r="D262" s="52" t="n"/>
      <c r="E262" s="52" t="n"/>
      <c r="F262" s="52" t="n"/>
      <c r="G262" s="52" t="n"/>
      <c r="H262" s="52" t="n"/>
      <c r="I262" s="52" t="n"/>
      <c r="J262" s="52" t="n"/>
      <c r="K262" s="52" t="n"/>
      <c r="L262" s="52" t="n"/>
      <c r="M262" s="52" t="n"/>
      <c r="N262" s="52" t="n"/>
      <c r="O262" s="52" t="n"/>
      <c r="P262" s="52" t="n"/>
      <c r="Q262" s="52" t="n"/>
      <c r="R262" s="52" t="n"/>
      <c r="S262" s="53" t="n"/>
      <c r="T262" s="46" t="inlineStr">
        <is>
          <t>IF(AQ262="","",AQ262)</t>
        </is>
      </c>
      <c r="U262" s="54" t="n"/>
      <c r="V262" s="55" t="n"/>
      <c r="W262" s="54" t="n"/>
      <c r="X262" s="46" t="inlineStr">
        <is>
          <t>IF(W262&lt;&gt;"",W262,IF(OR(T262="",V262=""),"",EDATE(T262,V262)))</t>
        </is>
      </c>
      <c r="Y262" s="54" t="n"/>
      <c r="Z262" s="55" t="n"/>
      <c r="AA262" s="52" t="n"/>
      <c r="AB262" s="52" t="n"/>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54" t="n"/>
      <c r="AJ262" s="54" t="n"/>
      <c r="AK262" s="54" t="n"/>
      <c r="AL262" s="54" t="n"/>
      <c r="AM262" s="54" t="n"/>
      <c r="AN262" s="54" t="n"/>
      <c r="AO262" s="54" t="n"/>
      <c r="AP262" s="54" t="n"/>
      <c r="AQ262" s="54" t="n"/>
      <c r="AR262" s="54" t="n"/>
      <c r="AS262" s="54"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42" t="inlineStr">
        <is>
          <t>IF(F263="","",ROW()-3)</t>
        </is>
      </c>
      <c r="B263" s="44" t="n"/>
      <c r="C263" s="44" t="n"/>
      <c r="D263" s="44" t="n"/>
      <c r="E263" s="44" t="n"/>
      <c r="F263" s="44" t="n"/>
      <c r="G263" s="44" t="n"/>
      <c r="H263" s="44" t="n"/>
      <c r="I263" s="44" t="n"/>
      <c r="J263" s="44" t="n"/>
      <c r="K263" s="44" t="n"/>
      <c r="L263" s="44" t="n"/>
      <c r="M263" s="44" t="n"/>
      <c r="N263" s="44" t="n"/>
      <c r="O263" s="44" t="n"/>
      <c r="P263" s="44" t="n"/>
      <c r="Q263" s="44" t="n"/>
      <c r="R263" s="44" t="n"/>
      <c r="S263" s="45" t="n"/>
      <c r="T263" s="46" t="inlineStr">
        <is>
          <t>IF(AQ263="","",AQ263)</t>
        </is>
      </c>
      <c r="U263" s="47" t="n"/>
      <c r="V263" s="48" t="n"/>
      <c r="W263" s="47" t="n"/>
      <c r="X263" s="46" t="inlineStr">
        <is>
          <t>IF(W263&lt;&gt;"",W263,IF(OR(T263="",V263=""),"",EDATE(T263,V263)))</t>
        </is>
      </c>
      <c r="Y263" s="47" t="n"/>
      <c r="Z263" s="48" t="n"/>
      <c r="AA263" s="44" t="n"/>
      <c r="AB263" s="44" t="n"/>
      <c r="AC263" s="42" t="inlineStr">
        <is>
          <t>IF(F263="","",IF(COUNT(AI263:AV263)=0,IF(AA263="","Not started",AA263),SUBSTITUTE(LOOKUP(2,1/(AI263:AV263&lt;&gt;""),$AI$3:$AV$3),"Date: ","")))</t>
        </is>
      </c>
      <c r="AD263" s="49" t="inlineStr">
        <is>
          <t>IF(OR(F263="",COUNT(AI263:AV263)=0),"",TODAY()-LOOKUP(2,1/(AI263:AV263&lt;&gt;""),AI263:AV263))</t>
        </is>
      </c>
      <c r="AE263" s="49" t="inlineStr">
        <is>
          <t>IF(OR(F263="",COUNT(AI263:AV263)&lt;2),"",LOOKUP(2,1/(AI263:AV263&lt;&gt;""),AI263:AV263)-MIN(AI263:AV263))</t>
        </is>
      </c>
      <c r="AF263" s="49" t="inlineStr">
        <is>
          <t>IF(OR(AD263="",AC263="Not started",AC263=""),"",IFERROR(AD263-IF(VLOOKUP(AC263,'06_Status_Pipeline'!$B$3:$E$20,4,FALSE)="",0,VLOOKUP(AC263,'06_Status_Pipeline'!$B$3:$E$20,4,FALSE)),""))</t>
        </is>
      </c>
      <c r="AG263" s="4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49" t="inlineStr">
        <is>
          <t>IF(OR(F263="",AC263="Completed / Handover",AC263="Cancelled"),"",IF(O263="Not awarded",IF(U263&lt;&gt;"",U263-TODAY(),IF(X263="","",X263-TODAY())),IF(X263="","",X263-TODAY())))</t>
        </is>
      </c>
      <c r="AI263" s="47" t="n"/>
      <c r="AJ263" s="47" t="n"/>
      <c r="AK263" s="47" t="n"/>
      <c r="AL263" s="47" t="n"/>
      <c r="AM263" s="47" t="n"/>
      <c r="AN263" s="47" t="n"/>
      <c r="AO263" s="47" t="n"/>
      <c r="AP263" s="47" t="n"/>
      <c r="AQ263" s="47" t="n"/>
      <c r="AR263" s="47" t="n"/>
      <c r="AS263" s="47" t="n"/>
      <c r="AT263" s="50" t="n"/>
      <c r="AU263" s="50" t="n"/>
      <c r="AV263" s="50" t="n"/>
      <c r="AW263" s="49" t="inlineStr">
        <is>
          <t>IF(OR(F263="",AJ263=""),"",IF(COUNT(AI263:AI263)=0,"",AJ263-LOOKUP(2,1/(AI263:AI263&lt;&gt;""),AI263:AI263)))</t>
        </is>
      </c>
      <c r="AX263" s="49" t="inlineStr">
        <is>
          <t>IF(OR(F263="",AK263=""),"",IF(COUNT(AI263:AJ263)=0,"",AK263-LOOKUP(2,1/(AI263:AJ263&lt;&gt;""),AI263:AJ263)))</t>
        </is>
      </c>
      <c r="AY263" s="49" t="inlineStr">
        <is>
          <t>IF(OR(F263="",AL263=""),"",IF(COUNT(AI263:AK263)=0,"",AL263-LOOKUP(2,1/(AI263:AK263&lt;&gt;""),AI263:AK263)))</t>
        </is>
      </c>
      <c r="AZ263" s="49" t="inlineStr">
        <is>
          <t>IF(OR(F263="",AM263=""),"",IF(COUNT(AI263:AL263)=0,"",AM263-LOOKUP(2,1/(AI263:AL263&lt;&gt;""),AI263:AL263)))</t>
        </is>
      </c>
      <c r="BA263" s="49" t="inlineStr">
        <is>
          <t>IF(OR(F263="",AN263=""),"",IF(COUNT(AI263:AM263)=0,"",AN263-LOOKUP(2,1/(AI263:AM263&lt;&gt;""),AI263:AM263)))</t>
        </is>
      </c>
      <c r="BB263" s="49" t="inlineStr">
        <is>
          <t>IF(OR(F263="",AO263=""),"",IF(COUNT(AI263:AN263)=0,"",AO263-LOOKUP(2,1/(AI263:AN263&lt;&gt;""),AI263:AN263)))</t>
        </is>
      </c>
      <c r="BC263" s="49" t="inlineStr">
        <is>
          <t>IF(OR(F263="",AP263=""),"",IF(COUNT(AI263:AO263)=0,"",AP263-LOOKUP(2,1/(AI263:AO263&lt;&gt;""),AI263:AO263)))</t>
        </is>
      </c>
      <c r="BD263" s="49" t="inlineStr">
        <is>
          <t>IF(OR(F263="",AQ263=""),"",IF(COUNT(AI263:AP263)=0,"",AQ263-LOOKUP(2,1/(AI263:AP263&lt;&gt;""),AI263:AP263)))</t>
        </is>
      </c>
      <c r="BE263" s="49" t="inlineStr">
        <is>
          <t>IF(OR(F263="",AR263=""),"",IF(COUNT(AI263:AQ263)=0,"",AR263-LOOKUP(2,1/(AI263:AQ263&lt;&gt;""),AI263:AQ263)))</t>
        </is>
      </c>
      <c r="BF263" s="49" t="inlineStr">
        <is>
          <t>IF(OR(F263="",AS263=""),"",IF(COUNT(AI263:AR263)=0,"",AS263-LOOKUP(2,1/(AI263:AR263&lt;&gt;""),AI263:AR263)))</t>
        </is>
      </c>
      <c r="BG263" s="49" t="inlineStr">
        <is>
          <t>IF(OR(F263="",AT263=""),"",IF(COUNT(AI263:AS263)=0,"",AT263-LOOKUP(2,1/(AI263:AS263&lt;&gt;""),AI263:AS263)))</t>
        </is>
      </c>
      <c r="BH263" s="49" t="inlineStr">
        <is>
          <t>IF(OR(F263="",AU263=""),"",IF(COUNT(AI263:AT263)=0,"",AU263-LOOKUP(2,1/(AI263:AT263&lt;&gt;""),AI263:AT263)))</t>
        </is>
      </c>
      <c r="BI263" s="49" t="inlineStr">
        <is>
          <t>IF(OR(F263="",AV263=""),"",IF(COUNT(AI263:AU263)=0,"",AV263-LOOKUP(2,1/(AI263:AU263&lt;&gt;""),AI263:AU263)))</t>
        </is>
      </c>
      <c r="BJ263" s="51" t="inlineStr">
        <is>
          <t>IF(J263="","All_Provinces",IFERROR(VLOOKUP(J263,'09_Lookups'!$A$4:$B$20,2,FALSE),"All_Provinces"))</t>
        </is>
      </c>
      <c r="BK263" s="51" t="inlineStr">
        <is>
          <t>IF(K263="","All_Districts",IFERROR(VLOOKUP(K263,'09_Lookups'!$E$4:$F$42,2,FALSE),"All_Districts"))</t>
        </is>
      </c>
    </row>
    <row r="264" ht="18" customHeight="1">
      <c r="A264" s="42" t="inlineStr">
        <is>
          <t>IF(F264="","",ROW()-3)</t>
        </is>
      </c>
      <c r="B264" s="52" t="n"/>
      <c r="C264" s="52" t="n"/>
      <c r="D264" s="52" t="n"/>
      <c r="E264" s="52" t="n"/>
      <c r="F264" s="52" t="n"/>
      <c r="G264" s="52" t="n"/>
      <c r="H264" s="52" t="n"/>
      <c r="I264" s="52" t="n"/>
      <c r="J264" s="52" t="n"/>
      <c r="K264" s="52" t="n"/>
      <c r="L264" s="52" t="n"/>
      <c r="M264" s="52" t="n"/>
      <c r="N264" s="52" t="n"/>
      <c r="O264" s="52" t="n"/>
      <c r="P264" s="52" t="n"/>
      <c r="Q264" s="52" t="n"/>
      <c r="R264" s="52" t="n"/>
      <c r="S264" s="53" t="n"/>
      <c r="T264" s="46" t="inlineStr">
        <is>
          <t>IF(AQ264="","",AQ264)</t>
        </is>
      </c>
      <c r="U264" s="54" t="n"/>
      <c r="V264" s="55" t="n"/>
      <c r="W264" s="54" t="n"/>
      <c r="X264" s="46" t="inlineStr">
        <is>
          <t>IF(W264&lt;&gt;"",W264,IF(OR(T264="",V264=""),"",EDATE(T264,V264)))</t>
        </is>
      </c>
      <c r="Y264" s="54" t="n"/>
      <c r="Z264" s="55" t="n"/>
      <c r="AA264" s="52" t="n"/>
      <c r="AB264" s="52" t="n"/>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54" t="n"/>
      <c r="AJ264" s="54" t="n"/>
      <c r="AK264" s="54" t="n"/>
      <c r="AL264" s="54" t="n"/>
      <c r="AM264" s="54" t="n"/>
      <c r="AN264" s="54" t="n"/>
      <c r="AO264" s="54" t="n"/>
      <c r="AP264" s="54" t="n"/>
      <c r="AQ264" s="54" t="n"/>
      <c r="AR264" s="54" t="n"/>
      <c r="AS264" s="54"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ht="18" customHeight="1">
      <c r="A265" s="42" t="inlineStr">
        <is>
          <t>IF(F265="","",ROW()-3)</t>
        </is>
      </c>
      <c r="B265" s="44" t="n"/>
      <c r="C265" s="44" t="n"/>
      <c r="D265" s="44" t="n"/>
      <c r="E265" s="44" t="n"/>
      <c r="F265" s="44" t="n"/>
      <c r="G265" s="44" t="n"/>
      <c r="H265" s="44" t="n"/>
      <c r="I265" s="44" t="n"/>
      <c r="J265" s="44" t="n"/>
      <c r="K265" s="44" t="n"/>
      <c r="L265" s="44" t="n"/>
      <c r="M265" s="44" t="n"/>
      <c r="N265" s="44" t="n"/>
      <c r="O265" s="44" t="n"/>
      <c r="P265" s="44" t="n"/>
      <c r="Q265" s="44" t="n"/>
      <c r="R265" s="44" t="n"/>
      <c r="S265" s="45" t="n"/>
      <c r="T265" s="46" t="inlineStr">
        <is>
          <t>IF(AQ265="","",AQ265)</t>
        </is>
      </c>
      <c r="U265" s="47" t="n"/>
      <c r="V265" s="48" t="n"/>
      <c r="W265" s="47" t="n"/>
      <c r="X265" s="46" t="inlineStr">
        <is>
          <t>IF(W265&lt;&gt;"",W265,IF(OR(T265="",V265=""),"",EDATE(T265,V265)))</t>
        </is>
      </c>
      <c r="Y265" s="47" t="n"/>
      <c r="Z265" s="48" t="n"/>
      <c r="AA265" s="44" t="n"/>
      <c r="AB265" s="44" t="n"/>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47" t="n"/>
      <c r="AJ265" s="47" t="n"/>
      <c r="AK265" s="47" t="n"/>
      <c r="AL265" s="47" t="n"/>
      <c r="AM265" s="47" t="n"/>
      <c r="AN265" s="47" t="n"/>
      <c r="AO265" s="47" t="n"/>
      <c r="AP265" s="47" t="n"/>
      <c r="AQ265" s="47" t="n"/>
      <c r="AR265" s="47" t="n"/>
      <c r="AS265" s="4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42" t="inlineStr">
        <is>
          <t>IF(F266="","",ROW()-3)</t>
        </is>
      </c>
      <c r="B266" s="52" t="n"/>
      <c r="C266" s="52" t="n"/>
      <c r="D266" s="52" t="n"/>
      <c r="E266" s="52" t="n"/>
      <c r="F266" s="52" t="n"/>
      <c r="G266" s="52" t="n"/>
      <c r="H266" s="52" t="n"/>
      <c r="I266" s="52" t="n"/>
      <c r="J266" s="52" t="n"/>
      <c r="K266" s="52" t="n"/>
      <c r="L266" s="52" t="n"/>
      <c r="M266" s="52" t="n"/>
      <c r="N266" s="52" t="n"/>
      <c r="O266" s="52" t="n"/>
      <c r="P266" s="52" t="n"/>
      <c r="Q266" s="52" t="n"/>
      <c r="R266" s="52" t="n"/>
      <c r="S266" s="53" t="n"/>
      <c r="T266" s="46" t="inlineStr">
        <is>
          <t>IF(AQ266="","",AQ266)</t>
        </is>
      </c>
      <c r="U266" s="54" t="n"/>
      <c r="V266" s="55" t="n"/>
      <c r="W266" s="54" t="n"/>
      <c r="X266" s="46" t="inlineStr">
        <is>
          <t>IF(W266&lt;&gt;"",W266,IF(OR(T266="",V266=""),"",EDATE(T266,V266)))</t>
        </is>
      </c>
      <c r="Y266" s="54" t="n"/>
      <c r="Z266" s="55" t="n"/>
      <c r="AA266" s="52" t="n"/>
      <c r="AB266" s="52" t="n"/>
      <c r="AC266" s="42" t="inlineStr">
        <is>
          <t>IF(F266="","",IF(COUNT(AI266:AV266)=0,IF(AA266="","Not started",AA266),SUBSTITUTE(LOOKUP(2,1/(AI266:AV266&lt;&gt;""),$AI$3:$AV$3),"Date: ","")))</t>
        </is>
      </c>
      <c r="AD266" s="49" t="inlineStr">
        <is>
          <t>IF(OR(F266="",COUNT(AI266:AV266)=0),"",TODAY()-LOOKUP(2,1/(AI266:AV266&lt;&gt;""),AI266:AV266))</t>
        </is>
      </c>
      <c r="AE266" s="49" t="inlineStr">
        <is>
          <t>IF(OR(F266="",COUNT(AI266:AV266)&lt;2),"",LOOKUP(2,1/(AI266:AV266&lt;&gt;""),AI266:AV266)-MIN(AI266:AV266))</t>
        </is>
      </c>
      <c r="AF266" s="49" t="inlineStr">
        <is>
          <t>IF(OR(AD266="",AC266="Not started",AC266=""),"",IFERROR(AD266-IF(VLOOKUP(AC266,'06_Status_Pipeline'!$B$3:$E$20,4,FALSE)="",0,VLOOKUP(AC266,'06_Status_Pipeline'!$B$3:$E$20,4,FALSE)),""))</t>
        </is>
      </c>
      <c r="AG266" s="4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49" t="inlineStr">
        <is>
          <t>IF(OR(F266="",AC266="Completed / Handover",AC266="Cancelled"),"",IF(O266="Not awarded",IF(U266&lt;&gt;"",U266-TODAY(),IF(X266="","",X266-TODAY())),IF(X266="","",X266-TODAY())))</t>
        </is>
      </c>
      <c r="AI266" s="54" t="n"/>
      <c r="AJ266" s="54" t="n"/>
      <c r="AK266" s="54" t="n"/>
      <c r="AL266" s="54" t="n"/>
      <c r="AM266" s="54" t="n"/>
      <c r="AN266" s="54" t="n"/>
      <c r="AO266" s="54" t="n"/>
      <c r="AP266" s="54" t="n"/>
      <c r="AQ266" s="54" t="n"/>
      <c r="AR266" s="54" t="n"/>
      <c r="AS266" s="54" t="n"/>
      <c r="AT266" s="50" t="n"/>
      <c r="AU266" s="50" t="n"/>
      <c r="AV266" s="50" t="n"/>
      <c r="AW266" s="49" t="inlineStr">
        <is>
          <t>IF(OR(F266="",AJ266=""),"",IF(COUNT(AI266:AI266)=0,"",AJ266-LOOKUP(2,1/(AI266:AI266&lt;&gt;""),AI266:AI266)))</t>
        </is>
      </c>
      <c r="AX266" s="49" t="inlineStr">
        <is>
          <t>IF(OR(F266="",AK266=""),"",IF(COUNT(AI266:AJ266)=0,"",AK266-LOOKUP(2,1/(AI266:AJ266&lt;&gt;""),AI266:AJ266)))</t>
        </is>
      </c>
      <c r="AY266" s="49" t="inlineStr">
        <is>
          <t>IF(OR(F266="",AL266=""),"",IF(COUNT(AI266:AK266)=0,"",AL266-LOOKUP(2,1/(AI266:AK266&lt;&gt;""),AI266:AK266)))</t>
        </is>
      </c>
      <c r="AZ266" s="49" t="inlineStr">
        <is>
          <t>IF(OR(F266="",AM266=""),"",IF(COUNT(AI266:AL266)=0,"",AM266-LOOKUP(2,1/(AI266:AL266&lt;&gt;""),AI266:AL266)))</t>
        </is>
      </c>
      <c r="BA266" s="49" t="inlineStr">
        <is>
          <t>IF(OR(F266="",AN266=""),"",IF(COUNT(AI266:AM266)=0,"",AN266-LOOKUP(2,1/(AI266:AM266&lt;&gt;""),AI266:AM266)))</t>
        </is>
      </c>
      <c r="BB266" s="49" t="inlineStr">
        <is>
          <t>IF(OR(F266="",AO266=""),"",IF(COUNT(AI266:AN266)=0,"",AO266-LOOKUP(2,1/(AI266:AN266&lt;&gt;""),AI266:AN266)))</t>
        </is>
      </c>
      <c r="BC266" s="49" t="inlineStr">
        <is>
          <t>IF(OR(F266="",AP266=""),"",IF(COUNT(AI266:AO266)=0,"",AP266-LOOKUP(2,1/(AI266:AO266&lt;&gt;""),AI266:AO266)))</t>
        </is>
      </c>
      <c r="BD266" s="49" t="inlineStr">
        <is>
          <t>IF(OR(F266="",AQ266=""),"",IF(COUNT(AI266:AP266)=0,"",AQ266-LOOKUP(2,1/(AI266:AP266&lt;&gt;""),AI266:AP266)))</t>
        </is>
      </c>
      <c r="BE266" s="49" t="inlineStr">
        <is>
          <t>IF(OR(F266="",AR266=""),"",IF(COUNT(AI266:AQ266)=0,"",AR266-LOOKUP(2,1/(AI266:AQ266&lt;&gt;""),AI266:AQ266)))</t>
        </is>
      </c>
      <c r="BF266" s="49" t="inlineStr">
        <is>
          <t>IF(OR(F266="",AS266=""),"",IF(COUNT(AI266:AR266)=0,"",AS266-LOOKUP(2,1/(AI266:AR266&lt;&gt;""),AI266:AR266)))</t>
        </is>
      </c>
      <c r="BG266" s="49" t="inlineStr">
        <is>
          <t>IF(OR(F266="",AT266=""),"",IF(COUNT(AI266:AS266)=0,"",AT266-LOOKUP(2,1/(AI266:AS266&lt;&gt;""),AI266:AS266)))</t>
        </is>
      </c>
      <c r="BH266" s="49" t="inlineStr">
        <is>
          <t>IF(OR(F266="",AU266=""),"",IF(COUNT(AI266:AT266)=0,"",AU266-LOOKUP(2,1/(AI266:AT266&lt;&gt;""),AI266:AT266)))</t>
        </is>
      </c>
      <c r="BI266" s="49" t="inlineStr">
        <is>
          <t>IF(OR(F266="",AV266=""),"",IF(COUNT(AI266:AU266)=0,"",AV266-LOOKUP(2,1/(AI266:AU266&lt;&gt;""),AI266:AU266)))</t>
        </is>
      </c>
      <c r="BJ266" s="51" t="inlineStr">
        <is>
          <t>IF(J266="","All_Provinces",IFERROR(VLOOKUP(J266,'09_Lookups'!$A$4:$B$20,2,FALSE),"All_Provinces"))</t>
        </is>
      </c>
      <c r="BK266" s="51" t="inlineStr">
        <is>
          <t>IF(K266="","All_Districts",IFERROR(VLOOKUP(K266,'09_Lookups'!$E$4:$F$42,2,FALSE),"All_Districts"))</t>
        </is>
      </c>
    </row>
    <row r="267" ht="18" customHeight="1">
      <c r="A267" s="42" t="inlineStr">
        <is>
          <t>IF(F267="","",ROW()-3)</t>
        </is>
      </c>
      <c r="B267" s="44" t="n"/>
      <c r="C267" s="44" t="n"/>
      <c r="D267" s="44" t="n"/>
      <c r="E267" s="44" t="n"/>
      <c r="F267" s="44" t="n"/>
      <c r="G267" s="44" t="n"/>
      <c r="H267" s="44" t="n"/>
      <c r="I267" s="44" t="n"/>
      <c r="J267" s="44" t="n"/>
      <c r="K267" s="44" t="n"/>
      <c r="L267" s="44" t="n"/>
      <c r="M267" s="44" t="n"/>
      <c r="N267" s="44" t="n"/>
      <c r="O267" s="44" t="n"/>
      <c r="P267" s="44" t="n"/>
      <c r="Q267" s="44" t="n"/>
      <c r="R267" s="44" t="n"/>
      <c r="S267" s="45" t="n"/>
      <c r="T267" s="46" t="inlineStr">
        <is>
          <t>IF(AQ267="","",AQ267)</t>
        </is>
      </c>
      <c r="U267" s="47" t="n"/>
      <c r="V267" s="48" t="n"/>
      <c r="W267" s="47" t="n"/>
      <c r="X267" s="46" t="inlineStr">
        <is>
          <t>IF(W267&lt;&gt;"",W267,IF(OR(T267="",V267=""),"",EDATE(T267,V267)))</t>
        </is>
      </c>
      <c r="Y267" s="47" t="n"/>
      <c r="Z267" s="48" t="n"/>
      <c r="AA267" s="44" t="n"/>
      <c r="AB267" s="44" t="n"/>
      <c r="AC267" s="42" t="inlineStr">
        <is>
          <t>IF(F267="","",IF(COUNT(AI267:AV267)=0,IF(AA267="","Not started",AA267),SUBSTITUTE(LOOKUP(2,1/(AI267:AV267&lt;&gt;""),$AI$3:$AV$3),"Date: ","")))</t>
        </is>
      </c>
      <c r="AD267" s="49" t="inlineStr">
        <is>
          <t>IF(OR(F267="",COUNT(AI267:AV267)=0),"",TODAY()-LOOKUP(2,1/(AI267:AV267&lt;&gt;""),AI267:AV267))</t>
        </is>
      </c>
      <c r="AE267" s="49" t="inlineStr">
        <is>
          <t>IF(OR(F267="",COUNT(AI267:AV267)&lt;2),"",LOOKUP(2,1/(AI267:AV267&lt;&gt;""),AI267:AV267)-MIN(AI267:AV267))</t>
        </is>
      </c>
      <c r="AF267" s="49" t="inlineStr">
        <is>
          <t>IF(OR(AD267="",AC267="Not started",AC267=""),"",IFERROR(AD267-IF(VLOOKUP(AC267,'06_Status_Pipeline'!$B$3:$E$20,4,FALSE)="",0,VLOOKUP(AC267,'06_Status_Pipeline'!$B$3:$E$20,4,FALSE)),""))</t>
        </is>
      </c>
      <c r="AG267" s="4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49" t="inlineStr">
        <is>
          <t>IF(OR(F267="",AC267="Completed / Handover",AC267="Cancelled"),"",IF(O267="Not awarded",IF(U267&lt;&gt;"",U267-TODAY(),IF(X267="","",X267-TODAY())),IF(X267="","",X267-TODAY())))</t>
        </is>
      </c>
      <c r="AI267" s="47" t="n"/>
      <c r="AJ267" s="47" t="n"/>
      <c r="AK267" s="47" t="n"/>
      <c r="AL267" s="47" t="n"/>
      <c r="AM267" s="47" t="n"/>
      <c r="AN267" s="47" t="n"/>
      <c r="AO267" s="47" t="n"/>
      <c r="AP267" s="47" t="n"/>
      <c r="AQ267" s="47" t="n"/>
      <c r="AR267" s="47" t="n"/>
      <c r="AS267" s="47" t="n"/>
      <c r="AT267" s="50" t="n"/>
      <c r="AU267" s="50" t="n"/>
      <c r="AV267" s="50" t="n"/>
      <c r="AW267" s="49" t="inlineStr">
        <is>
          <t>IF(OR(F267="",AJ267=""),"",IF(COUNT(AI267:AI267)=0,"",AJ267-LOOKUP(2,1/(AI267:AI267&lt;&gt;""),AI267:AI267)))</t>
        </is>
      </c>
      <c r="AX267" s="49" t="inlineStr">
        <is>
          <t>IF(OR(F267="",AK267=""),"",IF(COUNT(AI267:AJ267)=0,"",AK267-LOOKUP(2,1/(AI267:AJ267&lt;&gt;""),AI267:AJ267)))</t>
        </is>
      </c>
      <c r="AY267" s="49" t="inlineStr">
        <is>
          <t>IF(OR(F267="",AL267=""),"",IF(COUNT(AI267:AK267)=0,"",AL267-LOOKUP(2,1/(AI267:AK267&lt;&gt;""),AI267:AK267)))</t>
        </is>
      </c>
      <c r="AZ267" s="49" t="inlineStr">
        <is>
          <t>IF(OR(F267="",AM267=""),"",IF(COUNT(AI267:AL267)=0,"",AM267-LOOKUP(2,1/(AI267:AL267&lt;&gt;""),AI267:AL267)))</t>
        </is>
      </c>
      <c r="BA267" s="49" t="inlineStr">
        <is>
          <t>IF(OR(F267="",AN267=""),"",IF(COUNT(AI267:AM267)=0,"",AN267-LOOKUP(2,1/(AI267:AM267&lt;&gt;""),AI267:AM267)))</t>
        </is>
      </c>
      <c r="BB267" s="49" t="inlineStr">
        <is>
          <t>IF(OR(F267="",AO267=""),"",IF(COUNT(AI267:AN267)=0,"",AO267-LOOKUP(2,1/(AI267:AN267&lt;&gt;""),AI267:AN267)))</t>
        </is>
      </c>
      <c r="BC267" s="49" t="inlineStr">
        <is>
          <t>IF(OR(F267="",AP267=""),"",IF(COUNT(AI267:AO267)=0,"",AP267-LOOKUP(2,1/(AI267:AO267&lt;&gt;""),AI267:AO267)))</t>
        </is>
      </c>
      <c r="BD267" s="49" t="inlineStr">
        <is>
          <t>IF(OR(F267="",AQ267=""),"",IF(COUNT(AI267:AP267)=0,"",AQ267-LOOKUP(2,1/(AI267:AP267&lt;&gt;""),AI267:AP267)))</t>
        </is>
      </c>
      <c r="BE267" s="49" t="inlineStr">
        <is>
          <t>IF(OR(F267="",AR267=""),"",IF(COUNT(AI267:AQ267)=0,"",AR267-LOOKUP(2,1/(AI267:AQ267&lt;&gt;""),AI267:AQ267)))</t>
        </is>
      </c>
      <c r="BF267" s="49" t="inlineStr">
        <is>
          <t>IF(OR(F267="",AS267=""),"",IF(COUNT(AI267:AR267)=0,"",AS267-LOOKUP(2,1/(AI267:AR267&lt;&gt;""),AI267:AR267)))</t>
        </is>
      </c>
      <c r="BG267" s="49" t="inlineStr">
        <is>
          <t>IF(OR(F267="",AT267=""),"",IF(COUNT(AI267:AS267)=0,"",AT267-LOOKUP(2,1/(AI267:AS267&lt;&gt;""),AI267:AS267)))</t>
        </is>
      </c>
      <c r="BH267" s="49" t="inlineStr">
        <is>
          <t>IF(OR(F267="",AU267=""),"",IF(COUNT(AI267:AT267)=0,"",AU267-LOOKUP(2,1/(AI267:AT267&lt;&gt;""),AI267:AT267)))</t>
        </is>
      </c>
      <c r="BI267" s="49" t="inlineStr">
        <is>
          <t>IF(OR(F267="",AV267=""),"",IF(COUNT(AI267:AU267)=0,"",AV267-LOOKUP(2,1/(AI267:AU267&lt;&gt;""),AI267:AU267)))</t>
        </is>
      </c>
      <c r="BJ267" s="51" t="inlineStr">
        <is>
          <t>IF(J267="","All_Provinces",IFERROR(VLOOKUP(J267,'09_Lookups'!$A$4:$B$20,2,FALSE),"All_Provinces"))</t>
        </is>
      </c>
      <c r="BK267" s="51" t="inlineStr">
        <is>
          <t>IF(K267="","All_Districts",IFERROR(VLOOKUP(K267,'09_Lookups'!$E$4:$F$42,2,FALSE),"All_Districts"))</t>
        </is>
      </c>
    </row>
    <row r="268" ht="18" customHeight="1">
      <c r="A268" s="42" t="inlineStr">
        <is>
          <t>IF(F268="","",ROW()-3)</t>
        </is>
      </c>
      <c r="B268" s="52" t="n"/>
      <c r="C268" s="52" t="n"/>
      <c r="D268" s="52" t="n"/>
      <c r="E268" s="52" t="n"/>
      <c r="F268" s="52" t="n"/>
      <c r="G268" s="52" t="n"/>
      <c r="H268" s="52" t="n"/>
      <c r="I268" s="52" t="n"/>
      <c r="J268" s="52" t="n"/>
      <c r="K268" s="52" t="n"/>
      <c r="L268" s="52" t="n"/>
      <c r="M268" s="52" t="n"/>
      <c r="N268" s="52" t="n"/>
      <c r="O268" s="52" t="n"/>
      <c r="P268" s="52" t="n"/>
      <c r="Q268" s="52" t="n"/>
      <c r="R268" s="52" t="n"/>
      <c r="S268" s="53" t="n"/>
      <c r="T268" s="46" t="inlineStr">
        <is>
          <t>IF(AQ268="","",AQ268)</t>
        </is>
      </c>
      <c r="U268" s="54" t="n"/>
      <c r="V268" s="55" t="n"/>
      <c r="W268" s="54" t="n"/>
      <c r="X268" s="46" t="inlineStr">
        <is>
          <t>IF(W268&lt;&gt;"",W268,IF(OR(T268="",V268=""),"",EDATE(T268,V268)))</t>
        </is>
      </c>
      <c r="Y268" s="54" t="n"/>
      <c r="Z268" s="55" t="n"/>
      <c r="AA268" s="52" t="n"/>
      <c r="AB268" s="52" t="n"/>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54" t="n"/>
      <c r="AJ268" s="54" t="n"/>
      <c r="AK268" s="54" t="n"/>
      <c r="AL268" s="54" t="n"/>
      <c r="AM268" s="54" t="n"/>
      <c r="AN268" s="54" t="n"/>
      <c r="AO268" s="54" t="n"/>
      <c r="AP268" s="54" t="n"/>
      <c r="AQ268" s="54" t="n"/>
      <c r="AR268" s="54" t="n"/>
      <c r="AS268" s="54"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ht="18" customHeight="1">
      <c r="A269" s="42" t="inlineStr">
        <is>
          <t>IF(F269="","",ROW()-3)</t>
        </is>
      </c>
      <c r="B269" s="44" t="n"/>
      <c r="C269" s="44" t="n"/>
      <c r="D269" s="44" t="n"/>
      <c r="E269" s="44" t="n"/>
      <c r="F269" s="44" t="n"/>
      <c r="G269" s="44" t="n"/>
      <c r="H269" s="44" t="n"/>
      <c r="I269" s="44" t="n"/>
      <c r="J269" s="44" t="n"/>
      <c r="K269" s="44" t="n"/>
      <c r="L269" s="44" t="n"/>
      <c r="M269" s="44" t="n"/>
      <c r="N269" s="44" t="n"/>
      <c r="O269" s="44" t="n"/>
      <c r="P269" s="44" t="n"/>
      <c r="Q269" s="44" t="n"/>
      <c r="R269" s="44" t="n"/>
      <c r="S269" s="45" t="n"/>
      <c r="T269" s="46" t="inlineStr">
        <is>
          <t>IF(AQ269="","",AQ269)</t>
        </is>
      </c>
      <c r="U269" s="47" t="n"/>
      <c r="V269" s="48" t="n"/>
      <c r="W269" s="47" t="n"/>
      <c r="X269" s="46" t="inlineStr">
        <is>
          <t>IF(W269&lt;&gt;"",W269,IF(OR(T269="",V269=""),"",EDATE(T269,V269)))</t>
        </is>
      </c>
      <c r="Y269" s="47" t="n"/>
      <c r="Z269" s="48" t="n"/>
      <c r="AA269" s="44" t="n"/>
      <c r="AB269" s="44" t="n"/>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47" t="n"/>
      <c r="AJ269" s="47" t="n"/>
      <c r="AK269" s="47" t="n"/>
      <c r="AL269" s="47" t="n"/>
      <c r="AM269" s="47" t="n"/>
      <c r="AN269" s="47" t="n"/>
      <c r="AO269" s="47" t="n"/>
      <c r="AP269" s="47" t="n"/>
      <c r="AQ269" s="47" t="n"/>
      <c r="AR269" s="47" t="n"/>
      <c r="AS269" s="4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ht="18" customHeight="1">
      <c r="A270" s="42" t="inlineStr">
        <is>
          <t>IF(F270="","",ROW()-3)</t>
        </is>
      </c>
      <c r="B270" s="52" t="n"/>
      <c r="C270" s="52" t="n"/>
      <c r="D270" s="52" t="n"/>
      <c r="E270" s="52" t="n"/>
      <c r="F270" s="52" t="n"/>
      <c r="G270" s="52" t="n"/>
      <c r="H270" s="52" t="n"/>
      <c r="I270" s="52" t="n"/>
      <c r="J270" s="52" t="n"/>
      <c r="K270" s="52" t="n"/>
      <c r="L270" s="52" t="n"/>
      <c r="M270" s="52" t="n"/>
      <c r="N270" s="52" t="n"/>
      <c r="O270" s="52" t="n"/>
      <c r="P270" s="52" t="n"/>
      <c r="Q270" s="52" t="n"/>
      <c r="R270" s="52" t="n"/>
      <c r="S270" s="53" t="n"/>
      <c r="T270" s="46" t="inlineStr">
        <is>
          <t>IF(AQ270="","",AQ270)</t>
        </is>
      </c>
      <c r="U270" s="54" t="n"/>
      <c r="V270" s="55" t="n"/>
      <c r="W270" s="54" t="n"/>
      <c r="X270" s="46" t="inlineStr">
        <is>
          <t>IF(W270&lt;&gt;"",W270,IF(OR(T270="",V270=""),"",EDATE(T270,V270)))</t>
        </is>
      </c>
      <c r="Y270" s="54" t="n"/>
      <c r="Z270" s="55" t="n"/>
      <c r="AA270" s="52" t="n"/>
      <c r="AB270" s="52" t="n"/>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54" t="n"/>
      <c r="AJ270" s="54" t="n"/>
      <c r="AK270" s="54" t="n"/>
      <c r="AL270" s="54" t="n"/>
      <c r="AM270" s="54" t="n"/>
      <c r="AN270" s="54" t="n"/>
      <c r="AO270" s="54" t="n"/>
      <c r="AP270" s="54" t="n"/>
      <c r="AQ270" s="54" t="n"/>
      <c r="AR270" s="54" t="n"/>
      <c r="AS270" s="54"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42" t="inlineStr">
        <is>
          <t>IF(F271="","",ROW()-3)</t>
        </is>
      </c>
      <c r="B271" s="44" t="n"/>
      <c r="C271" s="44" t="n"/>
      <c r="D271" s="44" t="n"/>
      <c r="E271" s="44" t="n"/>
      <c r="F271" s="44" t="n"/>
      <c r="G271" s="44" t="n"/>
      <c r="H271" s="44" t="n"/>
      <c r="I271" s="44" t="n"/>
      <c r="J271" s="44" t="n"/>
      <c r="K271" s="44" t="n"/>
      <c r="L271" s="44" t="n"/>
      <c r="M271" s="44" t="n"/>
      <c r="N271" s="44" t="n"/>
      <c r="O271" s="44" t="n"/>
      <c r="P271" s="44" t="n"/>
      <c r="Q271" s="44" t="n"/>
      <c r="R271" s="44" t="n"/>
      <c r="S271" s="45" t="n"/>
      <c r="T271" s="46" t="inlineStr">
        <is>
          <t>IF(AQ271="","",AQ271)</t>
        </is>
      </c>
      <c r="U271" s="47" t="n"/>
      <c r="V271" s="48" t="n"/>
      <c r="W271" s="47" t="n"/>
      <c r="X271" s="46" t="inlineStr">
        <is>
          <t>IF(W271&lt;&gt;"",W271,IF(OR(T271="",V271=""),"",EDATE(T271,V271)))</t>
        </is>
      </c>
      <c r="Y271" s="47" t="n"/>
      <c r="Z271" s="48" t="n"/>
      <c r="AA271" s="44" t="n"/>
      <c r="AB271" s="44" t="n"/>
      <c r="AC271" s="42" t="inlineStr">
        <is>
          <t>IF(F271="","",IF(COUNT(AI271:AV271)=0,IF(AA271="","Not started",AA271),SUBSTITUTE(LOOKUP(2,1/(AI271:AV271&lt;&gt;""),$AI$3:$AV$3),"Date: ","")))</t>
        </is>
      </c>
      <c r="AD271" s="49" t="inlineStr">
        <is>
          <t>IF(OR(F271="",COUNT(AI271:AV271)=0),"",TODAY()-LOOKUP(2,1/(AI271:AV271&lt;&gt;""),AI271:AV271))</t>
        </is>
      </c>
      <c r="AE271" s="49" t="inlineStr">
        <is>
          <t>IF(OR(F271="",COUNT(AI271:AV271)&lt;2),"",LOOKUP(2,1/(AI271:AV271&lt;&gt;""),AI271:AV271)-MIN(AI271:AV271))</t>
        </is>
      </c>
      <c r="AF271" s="49" t="inlineStr">
        <is>
          <t>IF(OR(AD271="",AC271="Not started",AC271=""),"",IFERROR(AD271-IF(VLOOKUP(AC271,'06_Status_Pipeline'!$B$3:$E$20,4,FALSE)="",0,VLOOKUP(AC271,'06_Status_Pipeline'!$B$3:$E$20,4,FALSE)),""))</t>
        </is>
      </c>
      <c r="AG271" s="4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49" t="inlineStr">
        <is>
          <t>IF(OR(F271="",AC271="Completed / Handover",AC271="Cancelled"),"",IF(O271="Not awarded",IF(U271&lt;&gt;"",U271-TODAY(),IF(X271="","",X271-TODAY())),IF(X271="","",X271-TODAY())))</t>
        </is>
      </c>
      <c r="AI271" s="47" t="n"/>
      <c r="AJ271" s="47" t="n"/>
      <c r="AK271" s="47" t="n"/>
      <c r="AL271" s="47" t="n"/>
      <c r="AM271" s="47" t="n"/>
      <c r="AN271" s="47" t="n"/>
      <c r="AO271" s="47" t="n"/>
      <c r="AP271" s="47" t="n"/>
      <c r="AQ271" s="47" t="n"/>
      <c r="AR271" s="47" t="n"/>
      <c r="AS271" s="47" t="n"/>
      <c r="AT271" s="50" t="n"/>
      <c r="AU271" s="50" t="n"/>
      <c r="AV271" s="50" t="n"/>
      <c r="AW271" s="49" t="inlineStr">
        <is>
          <t>IF(OR(F271="",AJ271=""),"",IF(COUNT(AI271:AI271)=0,"",AJ271-LOOKUP(2,1/(AI271:AI271&lt;&gt;""),AI271:AI271)))</t>
        </is>
      </c>
      <c r="AX271" s="49" t="inlineStr">
        <is>
          <t>IF(OR(F271="",AK271=""),"",IF(COUNT(AI271:AJ271)=0,"",AK271-LOOKUP(2,1/(AI271:AJ271&lt;&gt;""),AI271:AJ271)))</t>
        </is>
      </c>
      <c r="AY271" s="49" t="inlineStr">
        <is>
          <t>IF(OR(F271="",AL271=""),"",IF(COUNT(AI271:AK271)=0,"",AL271-LOOKUP(2,1/(AI271:AK271&lt;&gt;""),AI271:AK271)))</t>
        </is>
      </c>
      <c r="AZ271" s="49" t="inlineStr">
        <is>
          <t>IF(OR(F271="",AM271=""),"",IF(COUNT(AI271:AL271)=0,"",AM271-LOOKUP(2,1/(AI271:AL271&lt;&gt;""),AI271:AL271)))</t>
        </is>
      </c>
      <c r="BA271" s="49" t="inlineStr">
        <is>
          <t>IF(OR(F271="",AN271=""),"",IF(COUNT(AI271:AM271)=0,"",AN271-LOOKUP(2,1/(AI271:AM271&lt;&gt;""),AI271:AM271)))</t>
        </is>
      </c>
      <c r="BB271" s="49" t="inlineStr">
        <is>
          <t>IF(OR(F271="",AO271=""),"",IF(COUNT(AI271:AN271)=0,"",AO271-LOOKUP(2,1/(AI271:AN271&lt;&gt;""),AI271:AN271)))</t>
        </is>
      </c>
      <c r="BC271" s="49" t="inlineStr">
        <is>
          <t>IF(OR(F271="",AP271=""),"",IF(COUNT(AI271:AO271)=0,"",AP271-LOOKUP(2,1/(AI271:AO271&lt;&gt;""),AI271:AO271)))</t>
        </is>
      </c>
      <c r="BD271" s="49" t="inlineStr">
        <is>
          <t>IF(OR(F271="",AQ271=""),"",IF(COUNT(AI271:AP271)=0,"",AQ271-LOOKUP(2,1/(AI271:AP271&lt;&gt;""),AI271:AP271)))</t>
        </is>
      </c>
      <c r="BE271" s="49" t="inlineStr">
        <is>
          <t>IF(OR(F271="",AR271=""),"",IF(COUNT(AI271:AQ271)=0,"",AR271-LOOKUP(2,1/(AI271:AQ271&lt;&gt;""),AI271:AQ271)))</t>
        </is>
      </c>
      <c r="BF271" s="49" t="inlineStr">
        <is>
          <t>IF(OR(F271="",AS271=""),"",IF(COUNT(AI271:AR271)=0,"",AS271-LOOKUP(2,1/(AI271:AR271&lt;&gt;""),AI271:AR271)))</t>
        </is>
      </c>
      <c r="BG271" s="49" t="inlineStr">
        <is>
          <t>IF(OR(F271="",AT271=""),"",IF(COUNT(AI271:AS271)=0,"",AT271-LOOKUP(2,1/(AI271:AS271&lt;&gt;""),AI271:AS271)))</t>
        </is>
      </c>
      <c r="BH271" s="49" t="inlineStr">
        <is>
          <t>IF(OR(F271="",AU271=""),"",IF(COUNT(AI271:AT271)=0,"",AU271-LOOKUP(2,1/(AI271:AT271&lt;&gt;""),AI271:AT271)))</t>
        </is>
      </c>
      <c r="BI271" s="49" t="inlineStr">
        <is>
          <t>IF(OR(F271="",AV271=""),"",IF(COUNT(AI271:AU271)=0,"",AV271-LOOKUP(2,1/(AI271:AU271&lt;&gt;""),AI271:AU271)))</t>
        </is>
      </c>
      <c r="BJ271" s="51" t="inlineStr">
        <is>
          <t>IF(J271="","All_Provinces",IFERROR(VLOOKUP(J271,'09_Lookups'!$A$4:$B$20,2,FALSE),"All_Provinces"))</t>
        </is>
      </c>
      <c r="BK271" s="51" t="inlineStr">
        <is>
          <t>IF(K271="","All_Districts",IFERROR(VLOOKUP(K271,'09_Lookups'!$E$4:$F$42,2,FALSE),"All_Districts"))</t>
        </is>
      </c>
    </row>
    <row r="272" ht="18" customHeight="1">
      <c r="A272" s="42" t="inlineStr">
        <is>
          <t>IF(F272="","",ROW()-3)</t>
        </is>
      </c>
      <c r="B272" s="52" t="n"/>
      <c r="C272" s="52" t="n"/>
      <c r="D272" s="52" t="n"/>
      <c r="E272" s="52" t="n"/>
      <c r="F272" s="52" t="n"/>
      <c r="G272" s="52" t="n"/>
      <c r="H272" s="52" t="n"/>
      <c r="I272" s="52" t="n"/>
      <c r="J272" s="52" t="n"/>
      <c r="K272" s="52" t="n"/>
      <c r="L272" s="52" t="n"/>
      <c r="M272" s="52" t="n"/>
      <c r="N272" s="52" t="n"/>
      <c r="O272" s="52" t="n"/>
      <c r="P272" s="52" t="n"/>
      <c r="Q272" s="52" t="n"/>
      <c r="R272" s="52" t="n"/>
      <c r="S272" s="53" t="n"/>
      <c r="T272" s="46" t="inlineStr">
        <is>
          <t>IF(AQ272="","",AQ272)</t>
        </is>
      </c>
      <c r="U272" s="54" t="n"/>
      <c r="V272" s="55" t="n"/>
      <c r="W272" s="54" t="n"/>
      <c r="X272" s="46" t="inlineStr">
        <is>
          <t>IF(W272&lt;&gt;"",W272,IF(OR(T272="",V272=""),"",EDATE(T272,V272)))</t>
        </is>
      </c>
      <c r="Y272" s="54" t="n"/>
      <c r="Z272" s="55" t="n"/>
      <c r="AA272" s="52" t="n"/>
      <c r="AB272" s="52" t="n"/>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54" t="n"/>
      <c r="AJ272" s="54" t="n"/>
      <c r="AK272" s="54" t="n"/>
      <c r="AL272" s="54" t="n"/>
      <c r="AM272" s="54" t="n"/>
      <c r="AN272" s="54" t="n"/>
      <c r="AO272" s="54" t="n"/>
      <c r="AP272" s="54" t="n"/>
      <c r="AQ272" s="54" t="n"/>
      <c r="AR272" s="54" t="n"/>
      <c r="AS272" s="54" t="n"/>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ht="18" customHeight="1">
      <c r="A273" s="42" t="inlineStr">
        <is>
          <t>IF(F273="","",ROW()-3)</t>
        </is>
      </c>
      <c r="B273" s="44" t="n"/>
      <c r="C273" s="44" t="n"/>
      <c r="D273" s="44" t="n"/>
      <c r="E273" s="44" t="n"/>
      <c r="F273" s="44" t="n"/>
      <c r="G273" s="44" t="n"/>
      <c r="H273" s="44" t="n"/>
      <c r="I273" s="44" t="n"/>
      <c r="J273" s="44" t="n"/>
      <c r="K273" s="44" t="n"/>
      <c r="L273" s="44" t="n"/>
      <c r="M273" s="44" t="n"/>
      <c r="N273" s="44" t="n"/>
      <c r="O273" s="44" t="n"/>
      <c r="P273" s="44" t="n"/>
      <c r="Q273" s="44" t="n"/>
      <c r="R273" s="44" t="n"/>
      <c r="S273" s="45" t="n"/>
      <c r="T273" s="46" t="inlineStr">
        <is>
          <t>IF(AQ273="","",AQ273)</t>
        </is>
      </c>
      <c r="U273" s="47" t="n"/>
      <c r="V273" s="48" t="n"/>
      <c r="W273" s="47" t="n"/>
      <c r="X273" s="46" t="inlineStr">
        <is>
          <t>IF(W273&lt;&gt;"",W273,IF(OR(T273="",V273=""),"",EDATE(T273,V273)))</t>
        </is>
      </c>
      <c r="Y273" s="47" t="n"/>
      <c r="Z273" s="48" t="n"/>
      <c r="AA273" s="44" t="n"/>
      <c r="AB273" s="44" t="n"/>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47" t="n"/>
      <c r="AJ273" s="47" t="n"/>
      <c r="AK273" s="47" t="n"/>
      <c r="AL273" s="47" t="n"/>
      <c r="AM273" s="47" t="n"/>
      <c r="AN273" s="47" t="n"/>
      <c r="AO273" s="47" t="n"/>
      <c r="AP273" s="47" t="n"/>
      <c r="AQ273" s="47" t="n"/>
      <c r="AR273" s="47" t="n"/>
      <c r="AS273" s="47" t="n"/>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42" t="inlineStr">
        <is>
          <t>IF(F274="","",ROW()-3)</t>
        </is>
      </c>
      <c r="B274" s="52" t="n"/>
      <c r="C274" s="52" t="n"/>
      <c r="D274" s="52" t="n"/>
      <c r="E274" s="52" t="n"/>
      <c r="F274" s="52" t="n"/>
      <c r="G274" s="52" t="n"/>
      <c r="H274" s="52" t="n"/>
      <c r="I274" s="52" t="n"/>
      <c r="J274" s="52" t="n"/>
      <c r="K274" s="52" t="n"/>
      <c r="L274" s="52" t="n"/>
      <c r="M274" s="52" t="n"/>
      <c r="N274" s="52" t="n"/>
      <c r="O274" s="52" t="n"/>
      <c r="P274" s="52" t="n"/>
      <c r="Q274" s="52" t="n"/>
      <c r="R274" s="52" t="n"/>
      <c r="S274" s="53" t="n"/>
      <c r="T274" s="46" t="inlineStr">
        <is>
          <t>IF(AQ274="","",AQ274)</t>
        </is>
      </c>
      <c r="U274" s="54" t="n"/>
      <c r="V274" s="55" t="n"/>
      <c r="W274" s="54" t="n"/>
      <c r="X274" s="46" t="inlineStr">
        <is>
          <t>IF(W274&lt;&gt;"",W274,IF(OR(T274="",V274=""),"",EDATE(T274,V274)))</t>
        </is>
      </c>
      <c r="Y274" s="54" t="n"/>
      <c r="Z274" s="55" t="n"/>
      <c r="AA274" s="52" t="n"/>
      <c r="AB274" s="52" t="n"/>
      <c r="AC274" s="42" t="inlineStr">
        <is>
          <t>IF(F274="","",IF(COUNT(AI274:AV274)=0,IF(AA274="","Not started",AA274),SUBSTITUTE(LOOKUP(2,1/(AI274:AV274&lt;&gt;""),$AI$3:$AV$3),"Date: ","")))</t>
        </is>
      </c>
      <c r="AD274" s="49" t="inlineStr">
        <is>
          <t>IF(OR(F274="",COUNT(AI274:AV274)=0),"",TODAY()-LOOKUP(2,1/(AI274:AV274&lt;&gt;""),AI274:AV274))</t>
        </is>
      </c>
      <c r="AE274" s="49" t="inlineStr">
        <is>
          <t>IF(OR(F274="",COUNT(AI274:AV274)&lt;2),"",LOOKUP(2,1/(AI274:AV274&lt;&gt;""),AI274:AV274)-MIN(AI274:AV274))</t>
        </is>
      </c>
      <c r="AF274" s="49" t="inlineStr">
        <is>
          <t>IF(OR(AD274="",AC274="Not started",AC274=""),"",IFERROR(AD274-IF(VLOOKUP(AC274,'06_Status_Pipeline'!$B$3:$E$20,4,FALSE)="",0,VLOOKUP(AC274,'06_Status_Pipeline'!$B$3:$E$20,4,FALSE)),""))</t>
        </is>
      </c>
      <c r="AG274" s="4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49" t="inlineStr">
        <is>
          <t>IF(OR(F274="",AC274="Completed / Handover",AC274="Cancelled"),"",IF(O274="Not awarded",IF(U274&lt;&gt;"",U274-TODAY(),IF(X274="","",X274-TODAY())),IF(X274="","",X274-TODAY())))</t>
        </is>
      </c>
      <c r="AI274" s="54" t="n"/>
      <c r="AJ274" s="54" t="n"/>
      <c r="AK274" s="54" t="n"/>
      <c r="AL274" s="54" t="n"/>
      <c r="AM274" s="54" t="n"/>
      <c r="AN274" s="54" t="n"/>
      <c r="AO274" s="54" t="n"/>
      <c r="AP274" s="54" t="n"/>
      <c r="AQ274" s="54" t="n"/>
      <c r="AR274" s="54" t="n"/>
      <c r="AS274" s="54" t="n"/>
      <c r="AT274" s="50" t="n"/>
      <c r="AU274" s="50" t="n"/>
      <c r="AV274" s="50" t="n"/>
      <c r="AW274" s="49" t="inlineStr">
        <is>
          <t>IF(OR(F274="",AJ274=""),"",IF(COUNT(AI274:AI274)=0,"",AJ274-LOOKUP(2,1/(AI274:AI274&lt;&gt;""),AI274:AI274)))</t>
        </is>
      </c>
      <c r="AX274" s="49" t="inlineStr">
        <is>
          <t>IF(OR(F274="",AK274=""),"",IF(COUNT(AI274:AJ274)=0,"",AK274-LOOKUP(2,1/(AI274:AJ274&lt;&gt;""),AI274:AJ274)))</t>
        </is>
      </c>
      <c r="AY274" s="49" t="inlineStr">
        <is>
          <t>IF(OR(F274="",AL274=""),"",IF(COUNT(AI274:AK274)=0,"",AL274-LOOKUP(2,1/(AI274:AK274&lt;&gt;""),AI274:AK274)))</t>
        </is>
      </c>
      <c r="AZ274" s="49" t="inlineStr">
        <is>
          <t>IF(OR(F274="",AM274=""),"",IF(COUNT(AI274:AL274)=0,"",AM274-LOOKUP(2,1/(AI274:AL274&lt;&gt;""),AI274:AL274)))</t>
        </is>
      </c>
      <c r="BA274" s="49" t="inlineStr">
        <is>
          <t>IF(OR(F274="",AN274=""),"",IF(COUNT(AI274:AM274)=0,"",AN274-LOOKUP(2,1/(AI274:AM274&lt;&gt;""),AI274:AM274)))</t>
        </is>
      </c>
      <c r="BB274" s="49" t="inlineStr">
        <is>
          <t>IF(OR(F274="",AO274=""),"",IF(COUNT(AI274:AN274)=0,"",AO274-LOOKUP(2,1/(AI274:AN274&lt;&gt;""),AI274:AN274)))</t>
        </is>
      </c>
      <c r="BC274" s="49" t="inlineStr">
        <is>
          <t>IF(OR(F274="",AP274=""),"",IF(COUNT(AI274:AO274)=0,"",AP274-LOOKUP(2,1/(AI274:AO274&lt;&gt;""),AI274:AO274)))</t>
        </is>
      </c>
      <c r="BD274" s="49" t="inlineStr">
        <is>
          <t>IF(OR(F274="",AQ274=""),"",IF(COUNT(AI274:AP274)=0,"",AQ274-LOOKUP(2,1/(AI274:AP274&lt;&gt;""),AI274:AP274)))</t>
        </is>
      </c>
      <c r="BE274" s="49" t="inlineStr">
        <is>
          <t>IF(OR(F274="",AR274=""),"",IF(COUNT(AI274:AQ274)=0,"",AR274-LOOKUP(2,1/(AI274:AQ274&lt;&gt;""),AI274:AQ274)))</t>
        </is>
      </c>
      <c r="BF274" s="49" t="inlineStr">
        <is>
          <t>IF(OR(F274="",AS274=""),"",IF(COUNT(AI274:AR274)=0,"",AS274-LOOKUP(2,1/(AI274:AR274&lt;&gt;""),AI274:AR274)))</t>
        </is>
      </c>
      <c r="BG274" s="49" t="inlineStr">
        <is>
          <t>IF(OR(F274="",AT274=""),"",IF(COUNT(AI274:AS274)=0,"",AT274-LOOKUP(2,1/(AI274:AS274&lt;&gt;""),AI274:AS274)))</t>
        </is>
      </c>
      <c r="BH274" s="49" t="inlineStr">
        <is>
          <t>IF(OR(F274="",AU274=""),"",IF(COUNT(AI274:AT274)=0,"",AU274-LOOKUP(2,1/(AI274:AT274&lt;&gt;""),AI274:AT274)))</t>
        </is>
      </c>
      <c r="BI274" s="49" t="inlineStr">
        <is>
          <t>IF(OR(F274="",AV274=""),"",IF(COUNT(AI274:AU274)=0,"",AV274-LOOKUP(2,1/(AI274:AU274&lt;&gt;""),AI274:AU274)))</t>
        </is>
      </c>
      <c r="BJ274" s="51" t="inlineStr">
        <is>
          <t>IF(J274="","All_Provinces",IFERROR(VLOOKUP(J274,'09_Lookups'!$A$4:$B$20,2,FALSE),"All_Provinces"))</t>
        </is>
      </c>
      <c r="BK274" s="51" t="inlineStr">
        <is>
          <t>IF(K274="","All_Districts",IFERROR(VLOOKUP(K274,'09_Lookups'!$E$4:$F$42,2,FALSE),"All_Districts"))</t>
        </is>
      </c>
    </row>
    <row r="275" ht="18" customHeight="1">
      <c r="A275" s="42" t="inlineStr">
        <is>
          <t>IF(F275="","",ROW()-3)</t>
        </is>
      </c>
      <c r="B275" s="44" t="n"/>
      <c r="C275" s="44" t="n"/>
      <c r="D275" s="44" t="n"/>
      <c r="E275" s="44" t="n"/>
      <c r="F275" s="44" t="n"/>
      <c r="G275" s="44" t="n"/>
      <c r="H275" s="44" t="n"/>
      <c r="I275" s="44" t="n"/>
      <c r="J275" s="44" t="n"/>
      <c r="K275" s="44" t="n"/>
      <c r="L275" s="44" t="n"/>
      <c r="M275" s="44" t="n"/>
      <c r="N275" s="44" t="n"/>
      <c r="O275" s="44" t="n"/>
      <c r="P275" s="44" t="n"/>
      <c r="Q275" s="44" t="n"/>
      <c r="R275" s="44" t="n"/>
      <c r="S275" s="45" t="n"/>
      <c r="T275" s="46" t="inlineStr">
        <is>
          <t>IF(AQ275="","",AQ275)</t>
        </is>
      </c>
      <c r="U275" s="47" t="n"/>
      <c r="V275" s="48" t="n"/>
      <c r="W275" s="47" t="n"/>
      <c r="X275" s="46" t="inlineStr">
        <is>
          <t>IF(W275&lt;&gt;"",W275,IF(OR(T275="",V275=""),"",EDATE(T275,V275)))</t>
        </is>
      </c>
      <c r="Y275" s="47" t="n"/>
      <c r="Z275" s="48" t="n"/>
      <c r="AA275" s="44" t="n"/>
      <c r="AB275" s="44" t="n"/>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47" t="n"/>
      <c r="AJ275" s="47" t="n"/>
      <c r="AK275" s="47" t="n"/>
      <c r="AL275" s="47" t="n"/>
      <c r="AM275" s="47" t="n"/>
      <c r="AN275" s="47" t="n"/>
      <c r="AO275" s="47" t="n"/>
      <c r="AP275" s="47" t="n"/>
      <c r="AQ275" s="47" t="n"/>
      <c r="AR275" s="47" t="n"/>
      <c r="AS275" s="4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ht="18" customHeight="1">
      <c r="A276" s="42" t="inlineStr">
        <is>
          <t>IF(F276="","",ROW()-3)</t>
        </is>
      </c>
      <c r="B276" s="52" t="n"/>
      <c r="C276" s="52" t="n"/>
      <c r="D276" s="52" t="n"/>
      <c r="E276" s="52" t="n"/>
      <c r="F276" s="52" t="n"/>
      <c r="G276" s="52" t="n"/>
      <c r="H276" s="52" t="n"/>
      <c r="I276" s="52" t="n"/>
      <c r="J276" s="52" t="n"/>
      <c r="K276" s="52" t="n"/>
      <c r="L276" s="52" t="n"/>
      <c r="M276" s="52" t="n"/>
      <c r="N276" s="52" t="n"/>
      <c r="O276" s="52" t="n"/>
      <c r="P276" s="52" t="n"/>
      <c r="Q276" s="52" t="n"/>
      <c r="R276" s="52" t="n"/>
      <c r="S276" s="53" t="n"/>
      <c r="T276" s="46" t="inlineStr">
        <is>
          <t>IF(AQ276="","",AQ276)</t>
        </is>
      </c>
      <c r="U276" s="54" t="n"/>
      <c r="V276" s="55" t="n"/>
      <c r="W276" s="54" t="n"/>
      <c r="X276" s="46" t="inlineStr">
        <is>
          <t>IF(W276&lt;&gt;"",W276,IF(OR(T276="",V276=""),"",EDATE(T276,V276)))</t>
        </is>
      </c>
      <c r="Y276" s="54" t="n"/>
      <c r="Z276" s="55" t="n"/>
      <c r="AA276" s="52" t="n"/>
      <c r="AB276" s="52" t="n"/>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54" t="n"/>
      <c r="AJ276" s="54" t="n"/>
      <c r="AK276" s="54" t="n"/>
      <c r="AL276" s="54" t="n"/>
      <c r="AM276" s="54" t="n"/>
      <c r="AN276" s="54" t="n"/>
      <c r="AO276" s="54" t="n"/>
      <c r="AP276" s="54" t="n"/>
      <c r="AQ276" s="54" t="n"/>
      <c r="AR276" s="54" t="n"/>
      <c r="AS276" s="54"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42" t="inlineStr">
        <is>
          <t>IF(F277="","",ROW()-3)</t>
        </is>
      </c>
      <c r="B277" s="44" t="n"/>
      <c r="C277" s="44" t="n"/>
      <c r="D277" s="44" t="n"/>
      <c r="E277" s="44" t="n"/>
      <c r="F277" s="44" t="n"/>
      <c r="G277" s="44" t="n"/>
      <c r="H277" s="44" t="n"/>
      <c r="I277" s="44" t="n"/>
      <c r="J277" s="44" t="n"/>
      <c r="K277" s="44" t="n"/>
      <c r="L277" s="44" t="n"/>
      <c r="M277" s="44" t="n"/>
      <c r="N277" s="44" t="n"/>
      <c r="O277" s="44" t="n"/>
      <c r="P277" s="44" t="n"/>
      <c r="Q277" s="44" t="n"/>
      <c r="R277" s="44" t="n"/>
      <c r="S277" s="45" t="n"/>
      <c r="T277" s="46" t="inlineStr">
        <is>
          <t>IF(AQ277="","",AQ277)</t>
        </is>
      </c>
      <c r="U277" s="47" t="n"/>
      <c r="V277" s="48" t="n"/>
      <c r="W277" s="47" t="n"/>
      <c r="X277" s="46" t="inlineStr">
        <is>
          <t>IF(W277&lt;&gt;"",W277,IF(OR(T277="",V277=""),"",EDATE(T277,V277)))</t>
        </is>
      </c>
      <c r="Y277" s="47" t="n"/>
      <c r="Z277" s="48" t="n"/>
      <c r="AA277" s="44" t="n"/>
      <c r="AB277" s="44" t="n"/>
      <c r="AC277" s="42" t="inlineStr">
        <is>
          <t>IF(F277="","",IF(COUNT(AI277:AV277)=0,IF(AA277="","Not started",AA277),SUBSTITUTE(LOOKUP(2,1/(AI277:AV277&lt;&gt;""),$AI$3:$AV$3),"Date: ","")))</t>
        </is>
      </c>
      <c r="AD277" s="49" t="inlineStr">
        <is>
          <t>IF(OR(F277="",COUNT(AI277:AV277)=0),"",TODAY()-LOOKUP(2,1/(AI277:AV277&lt;&gt;""),AI277:AV277))</t>
        </is>
      </c>
      <c r="AE277" s="49" t="inlineStr">
        <is>
          <t>IF(OR(F277="",COUNT(AI277:AV277)&lt;2),"",LOOKUP(2,1/(AI277:AV277&lt;&gt;""),AI277:AV277)-MIN(AI277:AV277))</t>
        </is>
      </c>
      <c r="AF277" s="49" t="inlineStr">
        <is>
          <t>IF(OR(AD277="",AC277="Not started",AC277=""),"",IFERROR(AD277-IF(VLOOKUP(AC277,'06_Status_Pipeline'!$B$3:$E$20,4,FALSE)="",0,VLOOKUP(AC277,'06_Status_Pipeline'!$B$3:$E$20,4,FALSE)),""))</t>
        </is>
      </c>
      <c r="AG277" s="4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49" t="inlineStr">
        <is>
          <t>IF(OR(F277="",AC277="Completed / Handover",AC277="Cancelled"),"",IF(O277="Not awarded",IF(U277&lt;&gt;"",U277-TODAY(),IF(X277="","",X277-TODAY())),IF(X277="","",X277-TODAY())))</t>
        </is>
      </c>
      <c r="AI277" s="47" t="n"/>
      <c r="AJ277" s="47" t="n"/>
      <c r="AK277" s="47" t="n"/>
      <c r="AL277" s="47" t="n"/>
      <c r="AM277" s="47" t="n"/>
      <c r="AN277" s="47" t="n"/>
      <c r="AO277" s="47" t="n"/>
      <c r="AP277" s="47" t="n"/>
      <c r="AQ277" s="47" t="n"/>
      <c r="AR277" s="47" t="n"/>
      <c r="AS277" s="47" t="n"/>
      <c r="AT277" s="50" t="n"/>
      <c r="AU277" s="50" t="n"/>
      <c r="AV277" s="50" t="n"/>
      <c r="AW277" s="49" t="inlineStr">
        <is>
          <t>IF(OR(F277="",AJ277=""),"",IF(COUNT(AI277:AI277)=0,"",AJ277-LOOKUP(2,1/(AI277:AI277&lt;&gt;""),AI277:AI277)))</t>
        </is>
      </c>
      <c r="AX277" s="49" t="inlineStr">
        <is>
          <t>IF(OR(F277="",AK277=""),"",IF(COUNT(AI277:AJ277)=0,"",AK277-LOOKUP(2,1/(AI277:AJ277&lt;&gt;""),AI277:AJ277)))</t>
        </is>
      </c>
      <c r="AY277" s="49" t="inlineStr">
        <is>
          <t>IF(OR(F277="",AL277=""),"",IF(COUNT(AI277:AK277)=0,"",AL277-LOOKUP(2,1/(AI277:AK277&lt;&gt;""),AI277:AK277)))</t>
        </is>
      </c>
      <c r="AZ277" s="49" t="inlineStr">
        <is>
          <t>IF(OR(F277="",AM277=""),"",IF(COUNT(AI277:AL277)=0,"",AM277-LOOKUP(2,1/(AI277:AL277&lt;&gt;""),AI277:AL277)))</t>
        </is>
      </c>
      <c r="BA277" s="49" t="inlineStr">
        <is>
          <t>IF(OR(F277="",AN277=""),"",IF(COUNT(AI277:AM277)=0,"",AN277-LOOKUP(2,1/(AI277:AM277&lt;&gt;""),AI277:AM277)))</t>
        </is>
      </c>
      <c r="BB277" s="49" t="inlineStr">
        <is>
          <t>IF(OR(F277="",AO277=""),"",IF(COUNT(AI277:AN277)=0,"",AO277-LOOKUP(2,1/(AI277:AN277&lt;&gt;""),AI277:AN277)))</t>
        </is>
      </c>
      <c r="BC277" s="49" t="inlineStr">
        <is>
          <t>IF(OR(F277="",AP277=""),"",IF(COUNT(AI277:AO277)=0,"",AP277-LOOKUP(2,1/(AI277:AO277&lt;&gt;""),AI277:AO277)))</t>
        </is>
      </c>
      <c r="BD277" s="49" t="inlineStr">
        <is>
          <t>IF(OR(F277="",AQ277=""),"",IF(COUNT(AI277:AP277)=0,"",AQ277-LOOKUP(2,1/(AI277:AP277&lt;&gt;""),AI277:AP277)))</t>
        </is>
      </c>
      <c r="BE277" s="49" t="inlineStr">
        <is>
          <t>IF(OR(F277="",AR277=""),"",IF(COUNT(AI277:AQ277)=0,"",AR277-LOOKUP(2,1/(AI277:AQ277&lt;&gt;""),AI277:AQ277)))</t>
        </is>
      </c>
      <c r="BF277" s="49" t="inlineStr">
        <is>
          <t>IF(OR(F277="",AS277=""),"",IF(COUNT(AI277:AR277)=0,"",AS277-LOOKUP(2,1/(AI277:AR277&lt;&gt;""),AI277:AR277)))</t>
        </is>
      </c>
      <c r="BG277" s="49" t="inlineStr">
        <is>
          <t>IF(OR(F277="",AT277=""),"",IF(COUNT(AI277:AS277)=0,"",AT277-LOOKUP(2,1/(AI277:AS277&lt;&gt;""),AI277:AS277)))</t>
        </is>
      </c>
      <c r="BH277" s="49" t="inlineStr">
        <is>
          <t>IF(OR(F277="",AU277=""),"",IF(COUNT(AI277:AT277)=0,"",AU277-LOOKUP(2,1/(AI277:AT277&lt;&gt;""),AI277:AT277)))</t>
        </is>
      </c>
      <c r="BI277" s="49" t="inlineStr">
        <is>
          <t>IF(OR(F277="",AV277=""),"",IF(COUNT(AI277:AU277)=0,"",AV277-LOOKUP(2,1/(AI277:AU277&lt;&gt;""),AI277:AU277)))</t>
        </is>
      </c>
      <c r="BJ277" s="51" t="inlineStr">
        <is>
          <t>IF(J277="","All_Provinces",IFERROR(VLOOKUP(J277,'09_Lookups'!$A$4:$B$20,2,FALSE),"All_Provinces"))</t>
        </is>
      </c>
      <c r="BK277" s="51" t="inlineStr">
        <is>
          <t>IF(K277="","All_Districts",IFERROR(VLOOKUP(K277,'09_Lookups'!$E$4:$F$42,2,FALSE),"All_Districts"))</t>
        </is>
      </c>
    </row>
    <row r="278" ht="18" customHeight="1">
      <c r="A278" s="42" t="inlineStr">
        <is>
          <t>IF(F278="","",ROW()-3)</t>
        </is>
      </c>
      <c r="B278" s="52" t="n"/>
      <c r="C278" s="52" t="n"/>
      <c r="D278" s="52" t="n"/>
      <c r="E278" s="52" t="n"/>
      <c r="F278" s="52" t="n"/>
      <c r="G278" s="52" t="n"/>
      <c r="H278" s="52" t="n"/>
      <c r="I278" s="52" t="n"/>
      <c r="J278" s="52" t="n"/>
      <c r="K278" s="52" t="n"/>
      <c r="L278" s="52" t="n"/>
      <c r="M278" s="52" t="n"/>
      <c r="N278" s="52" t="n"/>
      <c r="O278" s="52" t="n"/>
      <c r="P278" s="52" t="n"/>
      <c r="Q278" s="52" t="n"/>
      <c r="R278" s="52" t="n"/>
      <c r="S278" s="53" t="n"/>
      <c r="T278" s="46" t="inlineStr">
        <is>
          <t>IF(AQ278="","",AQ278)</t>
        </is>
      </c>
      <c r="U278" s="54" t="n"/>
      <c r="V278" s="55" t="n"/>
      <c r="W278" s="54" t="n"/>
      <c r="X278" s="46" t="inlineStr">
        <is>
          <t>IF(W278&lt;&gt;"",W278,IF(OR(T278="",V278=""),"",EDATE(T278,V278)))</t>
        </is>
      </c>
      <c r="Y278" s="54" t="n"/>
      <c r="Z278" s="55" t="n"/>
      <c r="AA278" s="52" t="n"/>
      <c r="AB278" s="52" t="n"/>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54" t="n"/>
      <c r="AJ278" s="54" t="n"/>
      <c r="AK278" s="54" t="n"/>
      <c r="AL278" s="54" t="n"/>
      <c r="AM278" s="54" t="n"/>
      <c r="AN278" s="54" t="n"/>
      <c r="AO278" s="54" t="n"/>
      <c r="AP278" s="54" t="n"/>
      <c r="AQ278" s="54" t="n"/>
      <c r="AR278" s="54" t="n"/>
      <c r="AS278" s="54" t="n"/>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ht="18" customHeight="1">
      <c r="A279" s="42" t="inlineStr">
        <is>
          <t>IF(F279="","",ROW()-3)</t>
        </is>
      </c>
      <c r="B279" s="44" t="n"/>
      <c r="C279" s="44" t="n"/>
      <c r="D279" s="44" t="n"/>
      <c r="E279" s="44" t="n"/>
      <c r="F279" s="44" t="n"/>
      <c r="G279" s="44" t="n"/>
      <c r="H279" s="44" t="n"/>
      <c r="I279" s="44" t="n"/>
      <c r="J279" s="44" t="n"/>
      <c r="K279" s="44" t="n"/>
      <c r="L279" s="44" t="n"/>
      <c r="M279" s="44" t="n"/>
      <c r="N279" s="44" t="n"/>
      <c r="O279" s="44" t="n"/>
      <c r="P279" s="44" t="n"/>
      <c r="Q279" s="44" t="n"/>
      <c r="R279" s="44" t="n"/>
      <c r="S279" s="45" t="n"/>
      <c r="T279" s="46" t="inlineStr">
        <is>
          <t>IF(AQ279="","",AQ279)</t>
        </is>
      </c>
      <c r="U279" s="47" t="n"/>
      <c r="V279" s="48" t="n"/>
      <c r="W279" s="47" t="n"/>
      <c r="X279" s="46" t="inlineStr">
        <is>
          <t>IF(W279&lt;&gt;"",W279,IF(OR(T279="",V279=""),"",EDATE(T279,V279)))</t>
        </is>
      </c>
      <c r="Y279" s="47" t="n"/>
      <c r="Z279" s="48" t="n"/>
      <c r="AA279" s="44" t="n"/>
      <c r="AB279" s="44" t="n"/>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47" t="n"/>
      <c r="AJ279" s="47" t="n"/>
      <c r="AK279" s="47" t="n"/>
      <c r="AL279" s="47" t="n"/>
      <c r="AM279" s="47" t="n"/>
      <c r="AN279" s="47" t="n"/>
      <c r="AO279" s="47" t="n"/>
      <c r="AP279" s="47" t="n"/>
      <c r="AQ279" s="47" t="n"/>
      <c r="AR279" s="47" t="n"/>
      <c r="AS279" s="47" t="n"/>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42" t="inlineStr">
        <is>
          <t>IF(F280="","",ROW()-3)</t>
        </is>
      </c>
      <c r="B280" s="52" t="n"/>
      <c r="C280" s="52" t="n"/>
      <c r="D280" s="52" t="n"/>
      <c r="E280" s="52" t="n"/>
      <c r="F280" s="52" t="n"/>
      <c r="G280" s="52" t="n"/>
      <c r="H280" s="52" t="n"/>
      <c r="I280" s="52" t="n"/>
      <c r="J280" s="52" t="n"/>
      <c r="K280" s="52" t="n"/>
      <c r="L280" s="52" t="n"/>
      <c r="M280" s="52" t="n"/>
      <c r="N280" s="52" t="n"/>
      <c r="O280" s="52" t="n"/>
      <c r="P280" s="52" t="n"/>
      <c r="Q280" s="52" t="n"/>
      <c r="R280" s="52" t="n"/>
      <c r="S280" s="53" t="n"/>
      <c r="T280" s="46" t="inlineStr">
        <is>
          <t>IF(AQ280="","",AQ280)</t>
        </is>
      </c>
      <c r="U280" s="54" t="n"/>
      <c r="V280" s="55" t="n"/>
      <c r="W280" s="54" t="n"/>
      <c r="X280" s="46" t="inlineStr">
        <is>
          <t>IF(W280&lt;&gt;"",W280,IF(OR(T280="",V280=""),"",EDATE(T280,V280)))</t>
        </is>
      </c>
      <c r="Y280" s="54" t="n"/>
      <c r="Z280" s="55" t="n"/>
      <c r="AA280" s="52" t="n"/>
      <c r="AB280" s="52" t="n"/>
      <c r="AC280" s="42" t="inlineStr">
        <is>
          <t>IF(F280="","",IF(COUNT(AI280:AV280)=0,IF(AA280="","Not started",AA280),SUBSTITUTE(LOOKUP(2,1/(AI280:AV280&lt;&gt;""),$AI$3:$AV$3),"Date: ","")))</t>
        </is>
      </c>
      <c r="AD280" s="49" t="inlineStr">
        <is>
          <t>IF(OR(F280="",COUNT(AI280:AV280)=0),"",TODAY()-LOOKUP(2,1/(AI280:AV280&lt;&gt;""),AI280:AV280))</t>
        </is>
      </c>
      <c r="AE280" s="49" t="inlineStr">
        <is>
          <t>IF(OR(F280="",COUNT(AI280:AV280)&lt;2),"",LOOKUP(2,1/(AI280:AV280&lt;&gt;""),AI280:AV280)-MIN(AI280:AV280))</t>
        </is>
      </c>
      <c r="AF280" s="49" t="inlineStr">
        <is>
          <t>IF(OR(AD280="",AC280="Not started",AC280=""),"",IFERROR(AD280-IF(VLOOKUP(AC280,'06_Status_Pipeline'!$B$3:$E$20,4,FALSE)="",0,VLOOKUP(AC280,'06_Status_Pipeline'!$B$3:$E$20,4,FALSE)),""))</t>
        </is>
      </c>
      <c r="AG280" s="4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49" t="inlineStr">
        <is>
          <t>IF(OR(F280="",AC280="Completed / Handover",AC280="Cancelled"),"",IF(O280="Not awarded",IF(U280&lt;&gt;"",U280-TODAY(),IF(X280="","",X280-TODAY())),IF(X280="","",X280-TODAY())))</t>
        </is>
      </c>
      <c r="AI280" s="54" t="n"/>
      <c r="AJ280" s="54" t="n"/>
      <c r="AK280" s="54" t="n"/>
      <c r="AL280" s="54" t="n"/>
      <c r="AM280" s="54" t="n"/>
      <c r="AN280" s="54" t="n"/>
      <c r="AO280" s="54" t="n"/>
      <c r="AP280" s="54" t="n"/>
      <c r="AQ280" s="54" t="n"/>
      <c r="AR280" s="54" t="n"/>
      <c r="AS280" s="54" t="n"/>
      <c r="AT280" s="50" t="n"/>
      <c r="AU280" s="50" t="n"/>
      <c r="AV280" s="50" t="n"/>
      <c r="AW280" s="49" t="inlineStr">
        <is>
          <t>IF(OR(F280="",AJ280=""),"",IF(COUNT(AI280:AI280)=0,"",AJ280-LOOKUP(2,1/(AI280:AI280&lt;&gt;""),AI280:AI280)))</t>
        </is>
      </c>
      <c r="AX280" s="49" t="inlineStr">
        <is>
          <t>IF(OR(F280="",AK280=""),"",IF(COUNT(AI280:AJ280)=0,"",AK280-LOOKUP(2,1/(AI280:AJ280&lt;&gt;""),AI280:AJ280)))</t>
        </is>
      </c>
      <c r="AY280" s="49" t="inlineStr">
        <is>
          <t>IF(OR(F280="",AL280=""),"",IF(COUNT(AI280:AK280)=0,"",AL280-LOOKUP(2,1/(AI280:AK280&lt;&gt;""),AI280:AK280)))</t>
        </is>
      </c>
      <c r="AZ280" s="49" t="inlineStr">
        <is>
          <t>IF(OR(F280="",AM280=""),"",IF(COUNT(AI280:AL280)=0,"",AM280-LOOKUP(2,1/(AI280:AL280&lt;&gt;""),AI280:AL280)))</t>
        </is>
      </c>
      <c r="BA280" s="49" t="inlineStr">
        <is>
          <t>IF(OR(F280="",AN280=""),"",IF(COUNT(AI280:AM280)=0,"",AN280-LOOKUP(2,1/(AI280:AM280&lt;&gt;""),AI280:AM280)))</t>
        </is>
      </c>
      <c r="BB280" s="49" t="inlineStr">
        <is>
          <t>IF(OR(F280="",AO280=""),"",IF(COUNT(AI280:AN280)=0,"",AO280-LOOKUP(2,1/(AI280:AN280&lt;&gt;""),AI280:AN280)))</t>
        </is>
      </c>
      <c r="BC280" s="49" t="inlineStr">
        <is>
          <t>IF(OR(F280="",AP280=""),"",IF(COUNT(AI280:AO280)=0,"",AP280-LOOKUP(2,1/(AI280:AO280&lt;&gt;""),AI280:AO280)))</t>
        </is>
      </c>
      <c r="BD280" s="49" t="inlineStr">
        <is>
          <t>IF(OR(F280="",AQ280=""),"",IF(COUNT(AI280:AP280)=0,"",AQ280-LOOKUP(2,1/(AI280:AP280&lt;&gt;""),AI280:AP280)))</t>
        </is>
      </c>
      <c r="BE280" s="49" t="inlineStr">
        <is>
          <t>IF(OR(F280="",AR280=""),"",IF(COUNT(AI280:AQ280)=0,"",AR280-LOOKUP(2,1/(AI280:AQ280&lt;&gt;""),AI280:AQ280)))</t>
        </is>
      </c>
      <c r="BF280" s="49" t="inlineStr">
        <is>
          <t>IF(OR(F280="",AS280=""),"",IF(COUNT(AI280:AR280)=0,"",AS280-LOOKUP(2,1/(AI280:AR280&lt;&gt;""),AI280:AR280)))</t>
        </is>
      </c>
      <c r="BG280" s="49" t="inlineStr">
        <is>
          <t>IF(OR(F280="",AT280=""),"",IF(COUNT(AI280:AS280)=0,"",AT280-LOOKUP(2,1/(AI280:AS280&lt;&gt;""),AI280:AS280)))</t>
        </is>
      </c>
      <c r="BH280" s="49" t="inlineStr">
        <is>
          <t>IF(OR(F280="",AU280=""),"",IF(COUNT(AI280:AT280)=0,"",AU280-LOOKUP(2,1/(AI280:AT280&lt;&gt;""),AI280:AT280)))</t>
        </is>
      </c>
      <c r="BI280" s="49" t="inlineStr">
        <is>
          <t>IF(OR(F280="",AV280=""),"",IF(COUNT(AI280:AU280)=0,"",AV280-LOOKUP(2,1/(AI280:AU280&lt;&gt;""),AI280:AU280)))</t>
        </is>
      </c>
      <c r="BJ280" s="51" t="inlineStr">
        <is>
          <t>IF(J280="","All_Provinces",IFERROR(VLOOKUP(J280,'09_Lookups'!$A$4:$B$20,2,FALSE),"All_Provinces"))</t>
        </is>
      </c>
      <c r="BK280" s="51" t="inlineStr">
        <is>
          <t>IF(K280="","All_Districts",IFERROR(VLOOKUP(K280,'09_Lookups'!$E$4:$F$42,2,FALSE),"All_Districts"))</t>
        </is>
      </c>
    </row>
    <row r="281" ht="18" customHeight="1">
      <c r="A281" s="42" t="inlineStr">
        <is>
          <t>IF(F281="","",ROW()-3)</t>
        </is>
      </c>
      <c r="B281" s="44" t="n"/>
      <c r="C281" s="44" t="n"/>
      <c r="D281" s="44" t="n"/>
      <c r="E281" s="44" t="n"/>
      <c r="F281" s="44" t="n"/>
      <c r="G281" s="44" t="n"/>
      <c r="H281" s="44" t="n"/>
      <c r="I281" s="44" t="n"/>
      <c r="J281" s="44" t="n"/>
      <c r="K281" s="44" t="n"/>
      <c r="L281" s="44" t="n"/>
      <c r="M281" s="44" t="n"/>
      <c r="N281" s="44" t="n"/>
      <c r="O281" s="44" t="n"/>
      <c r="P281" s="44" t="n"/>
      <c r="Q281" s="44" t="n"/>
      <c r="R281" s="44" t="n"/>
      <c r="S281" s="45" t="n"/>
      <c r="T281" s="46" t="inlineStr">
        <is>
          <t>IF(AQ281="","",AQ281)</t>
        </is>
      </c>
      <c r="U281" s="47" t="n"/>
      <c r="V281" s="48" t="n"/>
      <c r="W281" s="47" t="n"/>
      <c r="X281" s="46" t="inlineStr">
        <is>
          <t>IF(W281&lt;&gt;"",W281,IF(OR(T281="",V281=""),"",EDATE(T281,V281)))</t>
        </is>
      </c>
      <c r="Y281" s="47" t="n"/>
      <c r="Z281" s="48" t="n"/>
      <c r="AA281" s="44" t="n"/>
      <c r="AB281" s="44" t="n"/>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47" t="n"/>
      <c r="AJ281" s="47" t="n"/>
      <c r="AK281" s="47" t="n"/>
      <c r="AL281" s="47" t="n"/>
      <c r="AM281" s="47" t="n"/>
      <c r="AN281" s="47" t="n"/>
      <c r="AO281" s="47" t="n"/>
      <c r="AP281" s="47" t="n"/>
      <c r="AQ281" s="47" t="n"/>
      <c r="AR281" s="47" t="n"/>
      <c r="AS281" s="47" t="n"/>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ht="18" customHeight="1">
      <c r="A282" s="42" t="inlineStr">
        <is>
          <t>IF(F282="","",ROW()-3)</t>
        </is>
      </c>
      <c r="B282" s="52" t="n"/>
      <c r="C282" s="52" t="n"/>
      <c r="D282" s="52" t="n"/>
      <c r="E282" s="52" t="n"/>
      <c r="F282" s="52" t="n"/>
      <c r="G282" s="52" t="n"/>
      <c r="H282" s="52" t="n"/>
      <c r="I282" s="52" t="n"/>
      <c r="J282" s="52" t="n"/>
      <c r="K282" s="52" t="n"/>
      <c r="L282" s="52" t="n"/>
      <c r="M282" s="52" t="n"/>
      <c r="N282" s="52" t="n"/>
      <c r="O282" s="52" t="n"/>
      <c r="P282" s="52" t="n"/>
      <c r="Q282" s="52" t="n"/>
      <c r="R282" s="52" t="n"/>
      <c r="S282" s="53" t="n"/>
      <c r="T282" s="46" t="inlineStr">
        <is>
          <t>IF(AQ282="","",AQ282)</t>
        </is>
      </c>
      <c r="U282" s="54" t="n"/>
      <c r="V282" s="55" t="n"/>
      <c r="W282" s="54" t="n"/>
      <c r="X282" s="46" t="inlineStr">
        <is>
          <t>IF(W282&lt;&gt;"",W282,IF(OR(T282="",V282=""),"",EDATE(T282,V282)))</t>
        </is>
      </c>
      <c r="Y282" s="54" t="n"/>
      <c r="Z282" s="55" t="n"/>
      <c r="AA282" s="52" t="n"/>
      <c r="AB282" s="52" t="n"/>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54" t="n"/>
      <c r="AJ282" s="54" t="n"/>
      <c r="AK282" s="54" t="n"/>
      <c r="AL282" s="54" t="n"/>
      <c r="AM282" s="54" t="n"/>
      <c r="AN282" s="54" t="n"/>
      <c r="AO282" s="54" t="n"/>
      <c r="AP282" s="54" t="n"/>
      <c r="AQ282" s="54" t="n"/>
      <c r="AR282" s="54" t="n"/>
      <c r="AS282" s="54" t="n"/>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ht="18" customHeight="1">
      <c r="A283" s="42" t="inlineStr">
        <is>
          <t>IF(F283="","",ROW()-3)</t>
        </is>
      </c>
      <c r="B283" s="44" t="n"/>
      <c r="C283" s="44" t="n"/>
      <c r="D283" s="44" t="n"/>
      <c r="E283" s="44" t="n"/>
      <c r="F283" s="44" t="n"/>
      <c r="G283" s="44" t="n"/>
      <c r="H283" s="44" t="n"/>
      <c r="I283" s="44" t="n"/>
      <c r="J283" s="44" t="n"/>
      <c r="K283" s="44" t="n"/>
      <c r="L283" s="44" t="n"/>
      <c r="M283" s="44" t="n"/>
      <c r="N283" s="44" t="n"/>
      <c r="O283" s="44" t="n"/>
      <c r="P283" s="44" t="n"/>
      <c r="Q283" s="44" t="n"/>
      <c r="R283" s="44" t="n"/>
      <c r="S283" s="45" t="n"/>
      <c r="T283" s="46" t="inlineStr">
        <is>
          <t>IF(AQ283="","",AQ283)</t>
        </is>
      </c>
      <c r="U283" s="47" t="n"/>
      <c r="V283" s="48" t="n"/>
      <c r="W283" s="47" t="n"/>
      <c r="X283" s="46" t="inlineStr">
        <is>
          <t>IF(W283&lt;&gt;"",W283,IF(OR(T283="",V283=""),"",EDATE(T283,V283)))</t>
        </is>
      </c>
      <c r="Y283" s="47" t="n"/>
      <c r="Z283" s="48" t="n"/>
      <c r="AA283" s="44" t="n"/>
      <c r="AB283" s="44" t="n"/>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47" t="n"/>
      <c r="AJ283" s="47" t="n"/>
      <c r="AK283" s="47" t="n"/>
      <c r="AL283" s="47" t="n"/>
      <c r="AM283" s="47" t="n"/>
      <c r="AN283" s="47" t="n"/>
      <c r="AO283" s="47" t="n"/>
      <c r="AP283" s="47" t="n"/>
      <c r="AQ283" s="47" t="n"/>
      <c r="AR283" s="47" t="n"/>
      <c r="AS283" s="47" t="n"/>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42" t="inlineStr">
        <is>
          <t>IF(F284="","",ROW()-3)</t>
        </is>
      </c>
      <c r="B284" s="52" t="n"/>
      <c r="C284" s="52" t="n"/>
      <c r="D284" s="52" t="n"/>
      <c r="E284" s="52" t="n"/>
      <c r="F284" s="52" t="n"/>
      <c r="G284" s="52" t="n"/>
      <c r="H284" s="52" t="n"/>
      <c r="I284" s="52" t="n"/>
      <c r="J284" s="52" t="n"/>
      <c r="K284" s="52" t="n"/>
      <c r="L284" s="52" t="n"/>
      <c r="M284" s="52" t="n"/>
      <c r="N284" s="52" t="n"/>
      <c r="O284" s="52" t="n"/>
      <c r="P284" s="52" t="n"/>
      <c r="Q284" s="52" t="n"/>
      <c r="R284" s="52" t="n"/>
      <c r="S284" s="53" t="n"/>
      <c r="T284" s="46" t="inlineStr">
        <is>
          <t>IF(AQ284="","",AQ284)</t>
        </is>
      </c>
      <c r="U284" s="54" t="n"/>
      <c r="V284" s="55" t="n"/>
      <c r="W284" s="54" t="n"/>
      <c r="X284" s="46" t="inlineStr">
        <is>
          <t>IF(W284&lt;&gt;"",W284,IF(OR(T284="",V284=""),"",EDATE(T284,V284)))</t>
        </is>
      </c>
      <c r="Y284" s="54" t="n"/>
      <c r="Z284" s="55" t="n"/>
      <c r="AA284" s="52" t="n"/>
      <c r="AB284" s="52" t="n"/>
      <c r="AC284" s="42" t="inlineStr">
        <is>
          <t>IF(F284="","",IF(COUNT(AI284:AV284)=0,IF(AA284="","Not started",AA284),SUBSTITUTE(LOOKUP(2,1/(AI284:AV284&lt;&gt;""),$AI$3:$AV$3),"Date: ","")))</t>
        </is>
      </c>
      <c r="AD284" s="49" t="inlineStr">
        <is>
          <t>IF(OR(F284="",COUNT(AI284:AV284)=0),"",TODAY()-LOOKUP(2,1/(AI284:AV284&lt;&gt;""),AI284:AV284))</t>
        </is>
      </c>
      <c r="AE284" s="49" t="inlineStr">
        <is>
          <t>IF(OR(F284="",COUNT(AI284:AV284)&lt;2),"",LOOKUP(2,1/(AI284:AV284&lt;&gt;""),AI284:AV284)-MIN(AI284:AV284))</t>
        </is>
      </c>
      <c r="AF284" s="49" t="inlineStr">
        <is>
          <t>IF(OR(AD284="",AC284="Not started",AC284=""),"",IFERROR(AD284-IF(VLOOKUP(AC284,'06_Status_Pipeline'!$B$3:$E$20,4,FALSE)="",0,VLOOKUP(AC284,'06_Status_Pipeline'!$B$3:$E$20,4,FALSE)),""))</t>
        </is>
      </c>
      <c r="AG284" s="4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49" t="inlineStr">
        <is>
          <t>IF(OR(F284="",AC284="Completed / Handover",AC284="Cancelled"),"",IF(O284="Not awarded",IF(U284&lt;&gt;"",U284-TODAY(),IF(X284="","",X284-TODAY())),IF(X284="","",X284-TODAY())))</t>
        </is>
      </c>
      <c r="AI284" s="54" t="n"/>
      <c r="AJ284" s="54" t="n"/>
      <c r="AK284" s="54" t="n"/>
      <c r="AL284" s="54" t="n"/>
      <c r="AM284" s="54" t="n"/>
      <c r="AN284" s="54" t="n"/>
      <c r="AO284" s="54" t="n"/>
      <c r="AP284" s="54" t="n"/>
      <c r="AQ284" s="54" t="n"/>
      <c r="AR284" s="54" t="n"/>
      <c r="AS284" s="54" t="n"/>
      <c r="AT284" s="50" t="n"/>
      <c r="AU284" s="50" t="n"/>
      <c r="AV284" s="50" t="n"/>
      <c r="AW284" s="49" t="inlineStr">
        <is>
          <t>IF(OR(F284="",AJ284=""),"",IF(COUNT(AI284:AI284)=0,"",AJ284-LOOKUP(2,1/(AI284:AI284&lt;&gt;""),AI284:AI284)))</t>
        </is>
      </c>
      <c r="AX284" s="49" t="inlineStr">
        <is>
          <t>IF(OR(F284="",AK284=""),"",IF(COUNT(AI284:AJ284)=0,"",AK284-LOOKUP(2,1/(AI284:AJ284&lt;&gt;""),AI284:AJ284)))</t>
        </is>
      </c>
      <c r="AY284" s="49" t="inlineStr">
        <is>
          <t>IF(OR(F284="",AL284=""),"",IF(COUNT(AI284:AK284)=0,"",AL284-LOOKUP(2,1/(AI284:AK284&lt;&gt;""),AI284:AK284)))</t>
        </is>
      </c>
      <c r="AZ284" s="49" t="inlineStr">
        <is>
          <t>IF(OR(F284="",AM284=""),"",IF(COUNT(AI284:AL284)=0,"",AM284-LOOKUP(2,1/(AI284:AL284&lt;&gt;""),AI284:AL284)))</t>
        </is>
      </c>
      <c r="BA284" s="49" t="inlineStr">
        <is>
          <t>IF(OR(F284="",AN284=""),"",IF(COUNT(AI284:AM284)=0,"",AN284-LOOKUP(2,1/(AI284:AM284&lt;&gt;""),AI284:AM284)))</t>
        </is>
      </c>
      <c r="BB284" s="49" t="inlineStr">
        <is>
          <t>IF(OR(F284="",AO284=""),"",IF(COUNT(AI284:AN284)=0,"",AO284-LOOKUP(2,1/(AI284:AN284&lt;&gt;""),AI284:AN284)))</t>
        </is>
      </c>
      <c r="BC284" s="49" t="inlineStr">
        <is>
          <t>IF(OR(F284="",AP284=""),"",IF(COUNT(AI284:AO284)=0,"",AP284-LOOKUP(2,1/(AI284:AO284&lt;&gt;""),AI284:AO284)))</t>
        </is>
      </c>
      <c r="BD284" s="49" t="inlineStr">
        <is>
          <t>IF(OR(F284="",AQ284=""),"",IF(COUNT(AI284:AP284)=0,"",AQ284-LOOKUP(2,1/(AI284:AP284&lt;&gt;""),AI284:AP284)))</t>
        </is>
      </c>
      <c r="BE284" s="49" t="inlineStr">
        <is>
          <t>IF(OR(F284="",AR284=""),"",IF(COUNT(AI284:AQ284)=0,"",AR284-LOOKUP(2,1/(AI284:AQ284&lt;&gt;""),AI284:AQ284)))</t>
        </is>
      </c>
      <c r="BF284" s="49" t="inlineStr">
        <is>
          <t>IF(OR(F284="",AS284=""),"",IF(COUNT(AI284:AR284)=0,"",AS284-LOOKUP(2,1/(AI284:AR284&lt;&gt;""),AI284:AR284)))</t>
        </is>
      </c>
      <c r="BG284" s="49" t="inlineStr">
        <is>
          <t>IF(OR(F284="",AT284=""),"",IF(COUNT(AI284:AS284)=0,"",AT284-LOOKUP(2,1/(AI284:AS284&lt;&gt;""),AI284:AS284)))</t>
        </is>
      </c>
      <c r="BH284" s="49" t="inlineStr">
        <is>
          <t>IF(OR(F284="",AU284=""),"",IF(COUNT(AI284:AT284)=0,"",AU284-LOOKUP(2,1/(AI284:AT284&lt;&gt;""),AI284:AT284)))</t>
        </is>
      </c>
      <c r="BI284" s="49" t="inlineStr">
        <is>
          <t>IF(OR(F284="",AV284=""),"",IF(COUNT(AI284:AU284)=0,"",AV284-LOOKUP(2,1/(AI284:AU284&lt;&gt;""),AI284:AU284)))</t>
        </is>
      </c>
      <c r="BJ284" s="51" t="inlineStr">
        <is>
          <t>IF(J284="","All_Provinces",IFERROR(VLOOKUP(J284,'09_Lookups'!$A$4:$B$20,2,FALSE),"All_Provinces"))</t>
        </is>
      </c>
      <c r="BK284" s="51" t="inlineStr">
        <is>
          <t>IF(K284="","All_Districts",IFERROR(VLOOKUP(K284,'09_Lookups'!$E$4:$F$42,2,FALSE),"All_Districts"))</t>
        </is>
      </c>
    </row>
    <row r="285" ht="18" customHeight="1">
      <c r="A285" s="42" t="inlineStr">
        <is>
          <t>IF(F285="","",ROW()-3)</t>
        </is>
      </c>
      <c r="B285" s="44" t="n"/>
      <c r="C285" s="44" t="n"/>
      <c r="D285" s="44" t="n"/>
      <c r="E285" s="44" t="n"/>
      <c r="F285" s="44" t="n"/>
      <c r="G285" s="44" t="n"/>
      <c r="H285" s="44" t="n"/>
      <c r="I285" s="44" t="n"/>
      <c r="J285" s="44" t="n"/>
      <c r="K285" s="44" t="n"/>
      <c r="L285" s="44" t="n"/>
      <c r="M285" s="44" t="n"/>
      <c r="N285" s="44" t="n"/>
      <c r="O285" s="44" t="n"/>
      <c r="P285" s="44" t="n"/>
      <c r="Q285" s="44" t="n"/>
      <c r="R285" s="44" t="n"/>
      <c r="S285" s="45" t="n"/>
      <c r="T285" s="46" t="inlineStr">
        <is>
          <t>IF(AQ285="","",AQ285)</t>
        </is>
      </c>
      <c r="U285" s="47" t="n"/>
      <c r="V285" s="48" t="n"/>
      <c r="W285" s="47" t="n"/>
      <c r="X285" s="46" t="inlineStr">
        <is>
          <t>IF(W285&lt;&gt;"",W285,IF(OR(T285="",V285=""),"",EDATE(T285,V285)))</t>
        </is>
      </c>
      <c r="Y285" s="47" t="n"/>
      <c r="Z285" s="48" t="n"/>
      <c r="AA285" s="44" t="n"/>
      <c r="AB285" s="44" t="n"/>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47" t="n"/>
      <c r="AJ285" s="47" t="n"/>
      <c r="AK285" s="47" t="n"/>
      <c r="AL285" s="47" t="n"/>
      <c r="AM285" s="47" t="n"/>
      <c r="AN285" s="47" t="n"/>
      <c r="AO285" s="47" t="n"/>
      <c r="AP285" s="47" t="n"/>
      <c r="AQ285" s="47" t="n"/>
      <c r="AR285" s="47" t="n"/>
      <c r="AS285" s="47" t="n"/>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ht="18" customHeight="1">
      <c r="A286" s="42" t="inlineStr">
        <is>
          <t>IF(F286="","",ROW()-3)</t>
        </is>
      </c>
      <c r="B286" s="52" t="n"/>
      <c r="C286" s="52" t="n"/>
      <c r="D286" s="52" t="n"/>
      <c r="E286" s="52" t="n"/>
      <c r="F286" s="52" t="n"/>
      <c r="G286" s="52" t="n"/>
      <c r="H286" s="52" t="n"/>
      <c r="I286" s="52" t="n"/>
      <c r="J286" s="52" t="n"/>
      <c r="K286" s="52" t="n"/>
      <c r="L286" s="52" t="n"/>
      <c r="M286" s="52" t="n"/>
      <c r="N286" s="52" t="n"/>
      <c r="O286" s="52" t="n"/>
      <c r="P286" s="52" t="n"/>
      <c r="Q286" s="52" t="n"/>
      <c r="R286" s="52" t="n"/>
      <c r="S286" s="53" t="n"/>
      <c r="T286" s="46" t="inlineStr">
        <is>
          <t>IF(AQ286="","",AQ286)</t>
        </is>
      </c>
      <c r="U286" s="54" t="n"/>
      <c r="V286" s="55" t="n"/>
      <c r="W286" s="54" t="n"/>
      <c r="X286" s="46" t="inlineStr">
        <is>
          <t>IF(W286&lt;&gt;"",W286,IF(OR(T286="",V286=""),"",EDATE(T286,V286)))</t>
        </is>
      </c>
      <c r="Y286" s="54" t="n"/>
      <c r="Z286" s="55" t="n"/>
      <c r="AA286" s="52" t="n"/>
      <c r="AB286" s="52" t="n"/>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54" t="n"/>
      <c r="AJ286" s="54" t="n"/>
      <c r="AK286" s="54" t="n"/>
      <c r="AL286" s="54" t="n"/>
      <c r="AM286" s="54" t="n"/>
      <c r="AN286" s="54" t="n"/>
      <c r="AO286" s="54" t="n"/>
      <c r="AP286" s="54" t="n"/>
      <c r="AQ286" s="54" t="n"/>
      <c r="AR286" s="54" t="n"/>
      <c r="AS286" s="54" t="n"/>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42" t="inlineStr">
        <is>
          <t>IF(F287="","",ROW()-3)</t>
        </is>
      </c>
      <c r="B287" s="44" t="n"/>
      <c r="C287" s="44" t="n"/>
      <c r="D287" s="44" t="n"/>
      <c r="E287" s="44" t="n"/>
      <c r="F287" s="44" t="n"/>
      <c r="G287" s="44" t="n"/>
      <c r="H287" s="44" t="n"/>
      <c r="I287" s="44" t="n"/>
      <c r="J287" s="44" t="n"/>
      <c r="K287" s="44" t="n"/>
      <c r="L287" s="44" t="n"/>
      <c r="M287" s="44" t="n"/>
      <c r="N287" s="44" t="n"/>
      <c r="O287" s="44" t="n"/>
      <c r="P287" s="44" t="n"/>
      <c r="Q287" s="44" t="n"/>
      <c r="R287" s="44" t="n"/>
      <c r="S287" s="45" t="n"/>
      <c r="T287" s="46" t="inlineStr">
        <is>
          <t>IF(AQ287="","",AQ287)</t>
        </is>
      </c>
      <c r="U287" s="47" t="n"/>
      <c r="V287" s="48" t="n"/>
      <c r="W287" s="47" t="n"/>
      <c r="X287" s="46" t="inlineStr">
        <is>
          <t>IF(W287&lt;&gt;"",W287,IF(OR(T287="",V287=""),"",EDATE(T287,V287)))</t>
        </is>
      </c>
      <c r="Y287" s="47" t="n"/>
      <c r="Z287" s="48" t="n"/>
      <c r="AA287" s="44" t="n"/>
      <c r="AB287" s="44" t="n"/>
      <c r="AC287" s="42" t="inlineStr">
        <is>
          <t>IF(F287="","",IF(COUNT(AI287:AV287)=0,IF(AA287="","Not started",AA287),SUBSTITUTE(LOOKUP(2,1/(AI287:AV287&lt;&gt;""),$AI$3:$AV$3),"Date: ","")))</t>
        </is>
      </c>
      <c r="AD287" s="49" t="inlineStr">
        <is>
          <t>IF(OR(F287="",COUNT(AI287:AV287)=0),"",TODAY()-LOOKUP(2,1/(AI287:AV287&lt;&gt;""),AI287:AV287))</t>
        </is>
      </c>
      <c r="AE287" s="49" t="inlineStr">
        <is>
          <t>IF(OR(F287="",COUNT(AI287:AV287)&lt;2),"",LOOKUP(2,1/(AI287:AV287&lt;&gt;""),AI287:AV287)-MIN(AI287:AV287))</t>
        </is>
      </c>
      <c r="AF287" s="49" t="inlineStr">
        <is>
          <t>IF(OR(AD287="",AC287="Not started",AC287=""),"",IFERROR(AD287-IF(VLOOKUP(AC287,'06_Status_Pipeline'!$B$3:$E$20,4,FALSE)="",0,VLOOKUP(AC287,'06_Status_Pipeline'!$B$3:$E$20,4,FALSE)),""))</t>
        </is>
      </c>
      <c r="AG287" s="4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49" t="inlineStr">
        <is>
          <t>IF(OR(F287="",AC287="Completed / Handover",AC287="Cancelled"),"",IF(O287="Not awarded",IF(U287&lt;&gt;"",U287-TODAY(),IF(X287="","",X287-TODAY())),IF(X287="","",X287-TODAY())))</t>
        </is>
      </c>
      <c r="AI287" s="47" t="n"/>
      <c r="AJ287" s="47" t="n"/>
      <c r="AK287" s="47" t="n"/>
      <c r="AL287" s="47" t="n"/>
      <c r="AM287" s="47" t="n"/>
      <c r="AN287" s="47" t="n"/>
      <c r="AO287" s="47" t="n"/>
      <c r="AP287" s="47" t="n"/>
      <c r="AQ287" s="47" t="n"/>
      <c r="AR287" s="47" t="n"/>
      <c r="AS287" s="47" t="n"/>
      <c r="AT287" s="50" t="n"/>
      <c r="AU287" s="50" t="n"/>
      <c r="AV287" s="50" t="n"/>
      <c r="AW287" s="49" t="inlineStr">
        <is>
          <t>IF(OR(F287="",AJ287=""),"",IF(COUNT(AI287:AI287)=0,"",AJ287-LOOKUP(2,1/(AI287:AI287&lt;&gt;""),AI287:AI287)))</t>
        </is>
      </c>
      <c r="AX287" s="49" t="inlineStr">
        <is>
          <t>IF(OR(F287="",AK287=""),"",IF(COUNT(AI287:AJ287)=0,"",AK287-LOOKUP(2,1/(AI287:AJ287&lt;&gt;""),AI287:AJ287)))</t>
        </is>
      </c>
      <c r="AY287" s="49" t="inlineStr">
        <is>
          <t>IF(OR(F287="",AL287=""),"",IF(COUNT(AI287:AK287)=0,"",AL287-LOOKUP(2,1/(AI287:AK287&lt;&gt;""),AI287:AK287)))</t>
        </is>
      </c>
      <c r="AZ287" s="49" t="inlineStr">
        <is>
          <t>IF(OR(F287="",AM287=""),"",IF(COUNT(AI287:AL287)=0,"",AM287-LOOKUP(2,1/(AI287:AL287&lt;&gt;""),AI287:AL287)))</t>
        </is>
      </c>
      <c r="BA287" s="49" t="inlineStr">
        <is>
          <t>IF(OR(F287="",AN287=""),"",IF(COUNT(AI287:AM287)=0,"",AN287-LOOKUP(2,1/(AI287:AM287&lt;&gt;""),AI287:AM287)))</t>
        </is>
      </c>
      <c r="BB287" s="49" t="inlineStr">
        <is>
          <t>IF(OR(F287="",AO287=""),"",IF(COUNT(AI287:AN287)=0,"",AO287-LOOKUP(2,1/(AI287:AN287&lt;&gt;""),AI287:AN287)))</t>
        </is>
      </c>
      <c r="BC287" s="49" t="inlineStr">
        <is>
          <t>IF(OR(F287="",AP287=""),"",IF(COUNT(AI287:AO287)=0,"",AP287-LOOKUP(2,1/(AI287:AO287&lt;&gt;""),AI287:AO287)))</t>
        </is>
      </c>
      <c r="BD287" s="49" t="inlineStr">
        <is>
          <t>IF(OR(F287="",AQ287=""),"",IF(COUNT(AI287:AP287)=0,"",AQ287-LOOKUP(2,1/(AI287:AP287&lt;&gt;""),AI287:AP287)))</t>
        </is>
      </c>
      <c r="BE287" s="49" t="inlineStr">
        <is>
          <t>IF(OR(F287="",AR287=""),"",IF(COUNT(AI287:AQ287)=0,"",AR287-LOOKUP(2,1/(AI287:AQ287&lt;&gt;""),AI287:AQ287)))</t>
        </is>
      </c>
      <c r="BF287" s="49" t="inlineStr">
        <is>
          <t>IF(OR(F287="",AS287=""),"",IF(COUNT(AI287:AR287)=0,"",AS287-LOOKUP(2,1/(AI287:AR287&lt;&gt;""),AI287:AR287)))</t>
        </is>
      </c>
      <c r="BG287" s="49" t="inlineStr">
        <is>
          <t>IF(OR(F287="",AT287=""),"",IF(COUNT(AI287:AS287)=0,"",AT287-LOOKUP(2,1/(AI287:AS287&lt;&gt;""),AI287:AS287)))</t>
        </is>
      </c>
      <c r="BH287" s="49" t="inlineStr">
        <is>
          <t>IF(OR(F287="",AU287=""),"",IF(COUNT(AI287:AT287)=0,"",AU287-LOOKUP(2,1/(AI287:AT287&lt;&gt;""),AI287:AT287)))</t>
        </is>
      </c>
      <c r="BI287" s="49" t="inlineStr">
        <is>
          <t>IF(OR(F287="",AV287=""),"",IF(COUNT(AI287:AU287)=0,"",AV287-LOOKUP(2,1/(AI287:AU287&lt;&gt;""),AI287:AU287)))</t>
        </is>
      </c>
      <c r="BJ287" s="51" t="inlineStr">
        <is>
          <t>IF(J287="","All_Provinces",IFERROR(VLOOKUP(J287,'09_Lookups'!$A$4:$B$20,2,FALSE),"All_Provinces"))</t>
        </is>
      </c>
      <c r="BK287" s="51" t="inlineStr">
        <is>
          <t>IF(K287="","All_Districts",IFERROR(VLOOKUP(K287,'09_Lookups'!$E$4:$F$42,2,FALSE),"All_Districts"))</t>
        </is>
      </c>
    </row>
    <row r="288" ht="18" customHeight="1">
      <c r="A288" s="42" t="inlineStr">
        <is>
          <t>IF(F288="","",ROW()-3)</t>
        </is>
      </c>
      <c r="B288" s="52" t="n"/>
      <c r="C288" s="52" t="n"/>
      <c r="D288" s="52" t="n"/>
      <c r="E288" s="52" t="n"/>
      <c r="F288" s="52" t="n"/>
      <c r="G288" s="52" t="n"/>
      <c r="H288" s="52" t="n"/>
      <c r="I288" s="52" t="n"/>
      <c r="J288" s="52" t="n"/>
      <c r="K288" s="52" t="n"/>
      <c r="L288" s="52" t="n"/>
      <c r="M288" s="52" t="n"/>
      <c r="N288" s="52" t="n"/>
      <c r="O288" s="52" t="n"/>
      <c r="P288" s="52" t="n"/>
      <c r="Q288" s="52" t="n"/>
      <c r="R288" s="52" t="n"/>
      <c r="S288" s="53" t="n"/>
      <c r="T288" s="46" t="inlineStr">
        <is>
          <t>IF(AQ288="","",AQ288)</t>
        </is>
      </c>
      <c r="U288" s="54" t="n"/>
      <c r="V288" s="55" t="n"/>
      <c r="W288" s="54" t="n"/>
      <c r="X288" s="46" t="inlineStr">
        <is>
          <t>IF(W288&lt;&gt;"",W288,IF(OR(T288="",V288=""),"",EDATE(T288,V288)))</t>
        </is>
      </c>
      <c r="Y288" s="54" t="n"/>
      <c r="Z288" s="55" t="n"/>
      <c r="AA288" s="52" t="n"/>
      <c r="AB288" s="52" t="n"/>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54" t="n"/>
      <c r="AJ288" s="54" t="n"/>
      <c r="AK288" s="54" t="n"/>
      <c r="AL288" s="54" t="n"/>
      <c r="AM288" s="54" t="n"/>
      <c r="AN288" s="54" t="n"/>
      <c r="AO288" s="54" t="n"/>
      <c r="AP288" s="54" t="n"/>
      <c r="AQ288" s="54" t="n"/>
      <c r="AR288" s="54" t="n"/>
      <c r="AS288" s="54"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ht="18" customHeight="1">
      <c r="A289" s="42" t="inlineStr">
        <is>
          <t>IF(F289="","",ROW()-3)</t>
        </is>
      </c>
      <c r="B289" s="44" t="n"/>
      <c r="C289" s="44" t="n"/>
      <c r="D289" s="44" t="n"/>
      <c r="E289" s="44" t="n"/>
      <c r="F289" s="44" t="n"/>
      <c r="G289" s="44" t="n"/>
      <c r="H289" s="44" t="n"/>
      <c r="I289" s="44" t="n"/>
      <c r="J289" s="44" t="n"/>
      <c r="K289" s="44" t="n"/>
      <c r="L289" s="44" t="n"/>
      <c r="M289" s="44" t="n"/>
      <c r="N289" s="44" t="n"/>
      <c r="O289" s="44" t="n"/>
      <c r="P289" s="44" t="n"/>
      <c r="Q289" s="44" t="n"/>
      <c r="R289" s="44" t="n"/>
      <c r="S289" s="45" t="n"/>
      <c r="T289" s="46" t="inlineStr">
        <is>
          <t>IF(AQ289="","",AQ289)</t>
        </is>
      </c>
      <c r="U289" s="47" t="n"/>
      <c r="V289" s="48" t="n"/>
      <c r="W289" s="47" t="n"/>
      <c r="X289" s="46" t="inlineStr">
        <is>
          <t>IF(W289&lt;&gt;"",W289,IF(OR(T289="",V289=""),"",EDATE(T289,V289)))</t>
        </is>
      </c>
      <c r="Y289" s="47" t="n"/>
      <c r="Z289" s="48" t="n"/>
      <c r="AA289" s="44" t="n"/>
      <c r="AB289" s="44" t="n"/>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47" t="n"/>
      <c r="AJ289" s="47" t="n"/>
      <c r="AK289" s="47" t="n"/>
      <c r="AL289" s="47" t="n"/>
      <c r="AM289" s="47" t="n"/>
      <c r="AN289" s="47" t="n"/>
      <c r="AO289" s="47" t="n"/>
      <c r="AP289" s="47" t="n"/>
      <c r="AQ289" s="47" t="n"/>
      <c r="AR289" s="47" t="n"/>
      <c r="AS289" s="4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42" t="inlineStr">
        <is>
          <t>IF(F290="","",ROW()-3)</t>
        </is>
      </c>
      <c r="B290" s="52" t="n"/>
      <c r="C290" s="52" t="n"/>
      <c r="D290" s="52" t="n"/>
      <c r="E290" s="52" t="n"/>
      <c r="F290" s="52" t="n"/>
      <c r="G290" s="52" t="n"/>
      <c r="H290" s="52" t="n"/>
      <c r="I290" s="52" t="n"/>
      <c r="J290" s="52" t="n"/>
      <c r="K290" s="52" t="n"/>
      <c r="L290" s="52" t="n"/>
      <c r="M290" s="52" t="n"/>
      <c r="N290" s="52" t="n"/>
      <c r="O290" s="52" t="n"/>
      <c r="P290" s="52" t="n"/>
      <c r="Q290" s="52" t="n"/>
      <c r="R290" s="52" t="n"/>
      <c r="S290" s="53" t="n"/>
      <c r="T290" s="46" t="inlineStr">
        <is>
          <t>IF(AQ290="","",AQ290)</t>
        </is>
      </c>
      <c r="U290" s="54" t="n"/>
      <c r="V290" s="55" t="n"/>
      <c r="W290" s="54" t="n"/>
      <c r="X290" s="46" t="inlineStr">
        <is>
          <t>IF(W290&lt;&gt;"",W290,IF(OR(T290="",V290=""),"",EDATE(T290,V290)))</t>
        </is>
      </c>
      <c r="Y290" s="54" t="n"/>
      <c r="Z290" s="55" t="n"/>
      <c r="AA290" s="52" t="n"/>
      <c r="AB290" s="52" t="n"/>
      <c r="AC290" s="42" t="inlineStr">
        <is>
          <t>IF(F290="","",IF(COUNT(AI290:AV290)=0,IF(AA290="","Not started",AA290),SUBSTITUTE(LOOKUP(2,1/(AI290:AV290&lt;&gt;""),$AI$3:$AV$3),"Date: ","")))</t>
        </is>
      </c>
      <c r="AD290" s="49" t="inlineStr">
        <is>
          <t>IF(OR(F290="",COUNT(AI290:AV290)=0),"",TODAY()-LOOKUP(2,1/(AI290:AV290&lt;&gt;""),AI290:AV290))</t>
        </is>
      </c>
      <c r="AE290" s="49" t="inlineStr">
        <is>
          <t>IF(OR(F290="",COUNT(AI290:AV290)&lt;2),"",LOOKUP(2,1/(AI290:AV290&lt;&gt;""),AI290:AV290)-MIN(AI290:AV290))</t>
        </is>
      </c>
      <c r="AF290" s="49" t="inlineStr">
        <is>
          <t>IF(OR(AD290="",AC290="Not started",AC290=""),"",IFERROR(AD290-IF(VLOOKUP(AC290,'06_Status_Pipeline'!$B$3:$E$20,4,FALSE)="",0,VLOOKUP(AC290,'06_Status_Pipeline'!$B$3:$E$20,4,FALSE)),""))</t>
        </is>
      </c>
      <c r="AG290" s="4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49" t="inlineStr">
        <is>
          <t>IF(OR(F290="",AC290="Completed / Handover",AC290="Cancelled"),"",IF(O290="Not awarded",IF(U290&lt;&gt;"",U290-TODAY(),IF(X290="","",X290-TODAY())),IF(X290="","",X290-TODAY())))</t>
        </is>
      </c>
      <c r="AI290" s="54" t="n"/>
      <c r="AJ290" s="54" t="n"/>
      <c r="AK290" s="54" t="n"/>
      <c r="AL290" s="54" t="n"/>
      <c r="AM290" s="54" t="n"/>
      <c r="AN290" s="54" t="n"/>
      <c r="AO290" s="54" t="n"/>
      <c r="AP290" s="54" t="n"/>
      <c r="AQ290" s="54" t="n"/>
      <c r="AR290" s="54" t="n"/>
      <c r="AS290" s="54" t="n"/>
      <c r="AT290" s="50" t="n"/>
      <c r="AU290" s="50" t="n"/>
      <c r="AV290" s="50" t="n"/>
      <c r="AW290" s="49" t="inlineStr">
        <is>
          <t>IF(OR(F290="",AJ290=""),"",IF(COUNT(AI290:AI290)=0,"",AJ290-LOOKUP(2,1/(AI290:AI290&lt;&gt;""),AI290:AI290)))</t>
        </is>
      </c>
      <c r="AX290" s="49" t="inlineStr">
        <is>
          <t>IF(OR(F290="",AK290=""),"",IF(COUNT(AI290:AJ290)=0,"",AK290-LOOKUP(2,1/(AI290:AJ290&lt;&gt;""),AI290:AJ290)))</t>
        </is>
      </c>
      <c r="AY290" s="49" t="inlineStr">
        <is>
          <t>IF(OR(F290="",AL290=""),"",IF(COUNT(AI290:AK290)=0,"",AL290-LOOKUP(2,1/(AI290:AK290&lt;&gt;""),AI290:AK290)))</t>
        </is>
      </c>
      <c r="AZ290" s="49" t="inlineStr">
        <is>
          <t>IF(OR(F290="",AM290=""),"",IF(COUNT(AI290:AL290)=0,"",AM290-LOOKUP(2,1/(AI290:AL290&lt;&gt;""),AI290:AL290)))</t>
        </is>
      </c>
      <c r="BA290" s="49" t="inlineStr">
        <is>
          <t>IF(OR(F290="",AN290=""),"",IF(COUNT(AI290:AM290)=0,"",AN290-LOOKUP(2,1/(AI290:AM290&lt;&gt;""),AI290:AM290)))</t>
        </is>
      </c>
      <c r="BB290" s="49" t="inlineStr">
        <is>
          <t>IF(OR(F290="",AO290=""),"",IF(COUNT(AI290:AN290)=0,"",AO290-LOOKUP(2,1/(AI290:AN290&lt;&gt;""),AI290:AN290)))</t>
        </is>
      </c>
      <c r="BC290" s="49" t="inlineStr">
        <is>
          <t>IF(OR(F290="",AP290=""),"",IF(COUNT(AI290:AO290)=0,"",AP290-LOOKUP(2,1/(AI290:AO290&lt;&gt;""),AI290:AO290)))</t>
        </is>
      </c>
      <c r="BD290" s="49" t="inlineStr">
        <is>
          <t>IF(OR(F290="",AQ290=""),"",IF(COUNT(AI290:AP290)=0,"",AQ290-LOOKUP(2,1/(AI290:AP290&lt;&gt;""),AI290:AP290)))</t>
        </is>
      </c>
      <c r="BE290" s="49" t="inlineStr">
        <is>
          <t>IF(OR(F290="",AR290=""),"",IF(COUNT(AI290:AQ290)=0,"",AR290-LOOKUP(2,1/(AI290:AQ290&lt;&gt;""),AI290:AQ290)))</t>
        </is>
      </c>
      <c r="BF290" s="49" t="inlineStr">
        <is>
          <t>IF(OR(F290="",AS290=""),"",IF(COUNT(AI290:AR290)=0,"",AS290-LOOKUP(2,1/(AI290:AR290&lt;&gt;""),AI290:AR290)))</t>
        </is>
      </c>
      <c r="BG290" s="49" t="inlineStr">
        <is>
          <t>IF(OR(F290="",AT290=""),"",IF(COUNT(AI290:AS290)=0,"",AT290-LOOKUP(2,1/(AI290:AS290&lt;&gt;""),AI290:AS290)))</t>
        </is>
      </c>
      <c r="BH290" s="49" t="inlineStr">
        <is>
          <t>IF(OR(F290="",AU290=""),"",IF(COUNT(AI290:AT290)=0,"",AU290-LOOKUP(2,1/(AI290:AT290&lt;&gt;""),AI290:AT290)))</t>
        </is>
      </c>
      <c r="BI290" s="49" t="inlineStr">
        <is>
          <t>IF(OR(F290="",AV290=""),"",IF(COUNT(AI290:AU290)=0,"",AV290-LOOKUP(2,1/(AI290:AU290&lt;&gt;""),AI290:AU290)))</t>
        </is>
      </c>
      <c r="BJ290" s="51" t="inlineStr">
        <is>
          <t>IF(J290="","All_Provinces",IFERROR(VLOOKUP(J290,'09_Lookups'!$A$4:$B$20,2,FALSE),"All_Provinces"))</t>
        </is>
      </c>
      <c r="BK290" s="51" t="inlineStr">
        <is>
          <t>IF(K290="","All_Districts",IFERROR(VLOOKUP(K290,'09_Lookups'!$E$4:$F$42,2,FALSE),"All_Districts"))</t>
        </is>
      </c>
    </row>
    <row r="291" ht="18" customHeight="1">
      <c r="A291" s="42" t="inlineStr">
        <is>
          <t>IF(F291="","",ROW()-3)</t>
        </is>
      </c>
      <c r="B291" s="44" t="n"/>
      <c r="C291" s="44" t="n"/>
      <c r="D291" s="44" t="n"/>
      <c r="E291" s="44" t="n"/>
      <c r="F291" s="44" t="n"/>
      <c r="G291" s="44" t="n"/>
      <c r="H291" s="44" t="n"/>
      <c r="I291" s="44" t="n"/>
      <c r="J291" s="44" t="n"/>
      <c r="K291" s="44" t="n"/>
      <c r="L291" s="44" t="n"/>
      <c r="M291" s="44" t="n"/>
      <c r="N291" s="44" t="n"/>
      <c r="O291" s="44" t="n"/>
      <c r="P291" s="44" t="n"/>
      <c r="Q291" s="44" t="n"/>
      <c r="R291" s="44" t="n"/>
      <c r="S291" s="45" t="n"/>
      <c r="T291" s="46" t="inlineStr">
        <is>
          <t>IF(AQ291="","",AQ291)</t>
        </is>
      </c>
      <c r="U291" s="47" t="n"/>
      <c r="V291" s="48" t="n"/>
      <c r="W291" s="47" t="n"/>
      <c r="X291" s="46" t="inlineStr">
        <is>
          <t>IF(W291&lt;&gt;"",W291,IF(OR(T291="",V291=""),"",EDATE(T291,V291)))</t>
        </is>
      </c>
      <c r="Y291" s="47" t="n"/>
      <c r="Z291" s="48" t="n"/>
      <c r="AA291" s="44" t="n"/>
      <c r="AB291" s="44" t="n"/>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42" t="inlineStr">
        <is>
          <t>IF(F292="","",ROW()-3)</t>
        </is>
      </c>
      <c r="B292" s="52" t="n"/>
      <c r="C292" s="52" t="n"/>
      <c r="D292" s="52" t="n"/>
      <c r="E292" s="52" t="n"/>
      <c r="F292" s="52" t="n"/>
      <c r="G292" s="52" t="n"/>
      <c r="H292" s="52" t="n"/>
      <c r="I292" s="52" t="n"/>
      <c r="J292" s="52" t="n"/>
      <c r="K292" s="52" t="n"/>
      <c r="L292" s="52" t="n"/>
      <c r="M292" s="52" t="n"/>
      <c r="N292" s="52" t="n"/>
      <c r="O292" s="52" t="n"/>
      <c r="P292" s="52" t="n"/>
      <c r="Q292" s="52" t="n"/>
      <c r="R292" s="52" t="n"/>
      <c r="S292" s="53" t="n"/>
      <c r="T292" s="46" t="inlineStr">
        <is>
          <t>IF(AQ292="","",AQ292)</t>
        </is>
      </c>
      <c r="U292" s="54" t="n"/>
      <c r="V292" s="55" t="n"/>
      <c r="W292" s="54" t="n"/>
      <c r="X292" s="46" t="inlineStr">
        <is>
          <t>IF(W292&lt;&gt;"",W292,IF(OR(T292="",V292=""),"",EDATE(T292,V292)))</t>
        </is>
      </c>
      <c r="Y292" s="54" t="n"/>
      <c r="Z292" s="55" t="n"/>
      <c r="AA292" s="52" t="n"/>
      <c r="AB292" s="52" t="n"/>
      <c r="AC292" s="42" t="inlineStr">
        <is>
          <t>IF(F292="","",IF(COUNT(AI292:AV292)=0,IF(AA292="","Not started",AA292),SUBSTITUTE(LOOKUP(2,1/(AI292:AV292&lt;&gt;""),$AI$3:$AV$3),"Date: ","")))</t>
        </is>
      </c>
      <c r="AD292" s="49" t="inlineStr">
        <is>
          <t>IF(OR(F292="",COUNT(AI292:AV292)=0),"",TODAY()-LOOKUP(2,1/(AI292:AV292&lt;&gt;""),AI292:AV292))</t>
        </is>
      </c>
      <c r="AE292" s="49" t="inlineStr">
        <is>
          <t>IF(OR(F292="",COUNT(AI292:AV292)&lt;2),"",LOOKUP(2,1/(AI292:AV292&lt;&gt;""),AI292:AV292)-MIN(AI292:AV292))</t>
        </is>
      </c>
      <c r="AF292" s="49" t="inlineStr">
        <is>
          <t>IF(OR(AD292="",AC292="Not started",AC292=""),"",IFERROR(AD292-IF(VLOOKUP(AC292,'06_Status_Pipeline'!$B$3:$E$20,4,FALSE)="",0,VLOOKUP(AC292,'06_Status_Pipeline'!$B$3:$E$20,4,FALSE)),""))</t>
        </is>
      </c>
      <c r="AG292" s="4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49" t="inlineStr">
        <is>
          <t>IF(OR(F292="",AC292="Completed / Handover",AC292="Cancelled"),"",IF(O292="Not awarded",IF(U292&lt;&gt;"",U292-TODAY(),IF(X292="","",X292-TODAY())),IF(X292="","",X292-TODAY())))</t>
        </is>
      </c>
      <c r="AI292" s="54" t="n"/>
      <c r="AJ292" s="54" t="n"/>
      <c r="AK292" s="54" t="n"/>
      <c r="AL292" s="54" t="n"/>
      <c r="AM292" s="54" t="n"/>
      <c r="AN292" s="54" t="n"/>
      <c r="AO292" s="54" t="n"/>
      <c r="AP292" s="54" t="n"/>
      <c r="AQ292" s="54" t="n"/>
      <c r="AR292" s="54" t="n"/>
      <c r="AS292" s="54" t="n"/>
      <c r="AT292" s="50" t="n"/>
      <c r="AU292" s="50" t="n"/>
      <c r="AV292" s="50" t="n"/>
      <c r="AW292" s="49" t="inlineStr">
        <is>
          <t>IF(OR(F292="",AJ292=""),"",IF(COUNT(AI292:AI292)=0,"",AJ292-LOOKUP(2,1/(AI292:AI292&lt;&gt;""),AI292:AI292)))</t>
        </is>
      </c>
      <c r="AX292" s="49" t="inlineStr">
        <is>
          <t>IF(OR(F292="",AK292=""),"",IF(COUNT(AI292:AJ292)=0,"",AK292-LOOKUP(2,1/(AI292:AJ292&lt;&gt;""),AI292:AJ292)))</t>
        </is>
      </c>
      <c r="AY292" s="49" t="inlineStr">
        <is>
          <t>IF(OR(F292="",AL292=""),"",IF(COUNT(AI292:AK292)=0,"",AL292-LOOKUP(2,1/(AI292:AK292&lt;&gt;""),AI292:AK292)))</t>
        </is>
      </c>
      <c r="AZ292" s="49" t="inlineStr">
        <is>
          <t>IF(OR(F292="",AM292=""),"",IF(COUNT(AI292:AL292)=0,"",AM292-LOOKUP(2,1/(AI292:AL292&lt;&gt;""),AI292:AL292)))</t>
        </is>
      </c>
      <c r="BA292" s="49" t="inlineStr">
        <is>
          <t>IF(OR(F292="",AN292=""),"",IF(COUNT(AI292:AM292)=0,"",AN292-LOOKUP(2,1/(AI292:AM292&lt;&gt;""),AI292:AM292)))</t>
        </is>
      </c>
      <c r="BB292" s="49" t="inlineStr">
        <is>
          <t>IF(OR(F292="",AO292=""),"",IF(COUNT(AI292:AN292)=0,"",AO292-LOOKUP(2,1/(AI292:AN292&lt;&gt;""),AI292:AN292)))</t>
        </is>
      </c>
      <c r="BC292" s="49" t="inlineStr">
        <is>
          <t>IF(OR(F292="",AP292=""),"",IF(COUNT(AI292:AO292)=0,"",AP292-LOOKUP(2,1/(AI292:AO292&lt;&gt;""),AI292:AO292)))</t>
        </is>
      </c>
      <c r="BD292" s="49" t="inlineStr">
        <is>
          <t>IF(OR(F292="",AQ292=""),"",IF(COUNT(AI292:AP292)=0,"",AQ292-LOOKUP(2,1/(AI292:AP292&lt;&gt;""),AI292:AP292)))</t>
        </is>
      </c>
      <c r="BE292" s="49" t="inlineStr">
        <is>
          <t>IF(OR(F292="",AR292=""),"",IF(COUNT(AI292:AQ292)=0,"",AR292-LOOKUP(2,1/(AI292:AQ292&lt;&gt;""),AI292:AQ292)))</t>
        </is>
      </c>
      <c r="BF292" s="49" t="inlineStr">
        <is>
          <t>IF(OR(F292="",AS292=""),"",IF(COUNT(AI292:AR292)=0,"",AS292-LOOKUP(2,1/(AI292:AR292&lt;&gt;""),AI292:AR292)))</t>
        </is>
      </c>
      <c r="BG292" s="49" t="inlineStr">
        <is>
          <t>IF(OR(F292="",AT292=""),"",IF(COUNT(AI292:AS292)=0,"",AT292-LOOKUP(2,1/(AI292:AS292&lt;&gt;""),AI292:AS292)))</t>
        </is>
      </c>
      <c r="BH292" s="49" t="inlineStr">
        <is>
          <t>IF(OR(F292="",AU292=""),"",IF(COUNT(AI292:AT292)=0,"",AU292-LOOKUP(2,1/(AI292:AT292&lt;&gt;""),AI292:AT292)))</t>
        </is>
      </c>
      <c r="BI292" s="49" t="inlineStr">
        <is>
          <t>IF(OR(F292="",AV292=""),"",IF(COUNT(AI292:AU292)=0,"",AV292-LOOKUP(2,1/(AI292:AU292&lt;&gt;""),AI292:AU292)))</t>
        </is>
      </c>
      <c r="BJ292" s="51" t="inlineStr">
        <is>
          <t>IF(J292="","All_Provinces",IFERROR(VLOOKUP(J292,'09_Lookups'!$A$4:$B$20,2,FALSE),"All_Provinces"))</t>
        </is>
      </c>
      <c r="BK292" s="51" t="inlineStr">
        <is>
          <t>IF(K292="","All_Districts",IFERROR(VLOOKUP(K292,'09_Lookups'!$E$4:$F$42,2,FALSE),"All_Districts"))</t>
        </is>
      </c>
    </row>
    <row r="293" ht="18" customHeight="1">
      <c r="A293" s="42" t="inlineStr">
        <is>
          <t>IF(F293="","",ROW()-3)</t>
        </is>
      </c>
      <c r="B293" s="44" t="n"/>
      <c r="C293" s="44" t="n"/>
      <c r="D293" s="44" t="n"/>
      <c r="E293" s="44" t="n"/>
      <c r="F293" s="44" t="n"/>
      <c r="G293" s="44" t="n"/>
      <c r="H293" s="44" t="n"/>
      <c r="I293" s="44" t="n"/>
      <c r="J293" s="44" t="n"/>
      <c r="K293" s="44" t="n"/>
      <c r="L293" s="44" t="n"/>
      <c r="M293" s="44" t="n"/>
      <c r="N293" s="44" t="n"/>
      <c r="O293" s="44" t="n"/>
      <c r="P293" s="44" t="n"/>
      <c r="Q293" s="44" t="n"/>
      <c r="R293" s="44" t="n"/>
      <c r="S293" s="45" t="n"/>
      <c r="T293" s="46" t="inlineStr">
        <is>
          <t>IF(AQ293="","",AQ293)</t>
        </is>
      </c>
      <c r="U293" s="47" t="n"/>
      <c r="V293" s="48" t="n"/>
      <c r="W293" s="47" t="n"/>
      <c r="X293" s="46" t="inlineStr">
        <is>
          <t>IF(W293&lt;&gt;"",W293,IF(OR(T293="",V293=""),"",EDATE(T293,V293)))</t>
        </is>
      </c>
      <c r="Y293" s="47" t="n"/>
      <c r="Z293" s="48" t="n"/>
      <c r="AA293" s="44" t="n"/>
      <c r="AB293" s="44" t="n"/>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47" t="n"/>
      <c r="AJ293" s="47" t="n"/>
      <c r="AK293" s="47" t="n"/>
      <c r="AL293" s="47" t="n"/>
      <c r="AM293" s="47" t="n"/>
      <c r="AN293" s="47" t="n"/>
      <c r="AO293" s="47" t="n"/>
      <c r="AP293" s="47" t="n"/>
      <c r="AQ293" s="47" t="n"/>
      <c r="AR293" s="47" t="n"/>
      <c r="AS293" s="4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ht="18" customHeight="1">
      <c r="A294" s="42" t="inlineStr">
        <is>
          <t>IF(F294="","",ROW()-3)</t>
        </is>
      </c>
      <c r="B294" s="52" t="n"/>
      <c r="C294" s="52" t="n"/>
      <c r="D294" s="52" t="n"/>
      <c r="E294" s="52" t="n"/>
      <c r="F294" s="52" t="n"/>
      <c r="G294" s="52" t="n"/>
      <c r="H294" s="52" t="n"/>
      <c r="I294" s="52" t="n"/>
      <c r="J294" s="52" t="n"/>
      <c r="K294" s="52" t="n"/>
      <c r="L294" s="52" t="n"/>
      <c r="M294" s="52" t="n"/>
      <c r="N294" s="52" t="n"/>
      <c r="O294" s="52" t="n"/>
      <c r="P294" s="52" t="n"/>
      <c r="Q294" s="52" t="n"/>
      <c r="R294" s="52" t="n"/>
      <c r="S294" s="53" t="n"/>
      <c r="T294" s="46" t="inlineStr">
        <is>
          <t>IF(AQ294="","",AQ294)</t>
        </is>
      </c>
      <c r="U294" s="54" t="n"/>
      <c r="V294" s="55" t="n"/>
      <c r="W294" s="54" t="n"/>
      <c r="X294" s="46" t="inlineStr">
        <is>
          <t>IF(W294&lt;&gt;"",W294,IF(OR(T294="",V294=""),"",EDATE(T294,V294)))</t>
        </is>
      </c>
      <c r="Y294" s="54" t="n"/>
      <c r="Z294" s="55" t="n"/>
      <c r="AA294" s="52" t="n"/>
      <c r="AB294" s="52" t="n"/>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54" t="n"/>
      <c r="AJ294" s="54" t="n"/>
      <c r="AK294" s="54" t="n"/>
      <c r="AL294" s="54" t="n"/>
      <c r="AM294" s="54" t="n"/>
      <c r="AN294" s="54" t="n"/>
      <c r="AO294" s="54" t="n"/>
      <c r="AP294" s="54" t="n"/>
      <c r="AQ294" s="54" t="n"/>
      <c r="AR294" s="54" t="n"/>
      <c r="AS294" s="54"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ht="18" customHeight="1">
      <c r="A295" s="42" t="inlineStr">
        <is>
          <t>IF(F295="","",ROW()-3)</t>
        </is>
      </c>
      <c r="B295" s="44" t="n"/>
      <c r="C295" s="44" t="n"/>
      <c r="D295" s="44" t="n"/>
      <c r="E295" s="44" t="n"/>
      <c r="F295" s="44" t="n"/>
      <c r="G295" s="44" t="n"/>
      <c r="H295" s="44" t="n"/>
      <c r="I295" s="44" t="n"/>
      <c r="J295" s="44" t="n"/>
      <c r="K295" s="44" t="n"/>
      <c r="L295" s="44" t="n"/>
      <c r="M295" s="44" t="n"/>
      <c r="N295" s="44" t="n"/>
      <c r="O295" s="44" t="n"/>
      <c r="P295" s="44" t="n"/>
      <c r="Q295" s="44" t="n"/>
      <c r="R295" s="44" t="n"/>
      <c r="S295" s="45" t="n"/>
      <c r="T295" s="46" t="inlineStr">
        <is>
          <t>IF(AQ295="","",AQ295)</t>
        </is>
      </c>
      <c r="U295" s="47" t="n"/>
      <c r="V295" s="48" t="n"/>
      <c r="W295" s="47" t="n"/>
      <c r="X295" s="46" t="inlineStr">
        <is>
          <t>IF(W295&lt;&gt;"",W295,IF(OR(T295="",V295=""),"",EDATE(T295,V295)))</t>
        </is>
      </c>
      <c r="Y295" s="47" t="n"/>
      <c r="Z295" s="48" t="n"/>
      <c r="AA295" s="44" t="n"/>
      <c r="AB295" s="44" t="n"/>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47" t="n"/>
      <c r="AJ295" s="47" t="n"/>
      <c r="AK295" s="47" t="n"/>
      <c r="AL295" s="47" t="n"/>
      <c r="AM295" s="47" t="n"/>
      <c r="AN295" s="47" t="n"/>
      <c r="AO295" s="47" t="n"/>
      <c r="AP295" s="47" t="n"/>
      <c r="AQ295" s="47" t="n"/>
      <c r="AR295" s="47" t="n"/>
      <c r="AS295" s="4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42" t="inlineStr">
        <is>
          <t>IF(F296="","",ROW()-3)</t>
        </is>
      </c>
      <c r="B296" s="52" t="n"/>
      <c r="C296" s="52" t="n"/>
      <c r="D296" s="52" t="n"/>
      <c r="E296" s="52" t="n"/>
      <c r="F296" s="52" t="n"/>
      <c r="G296" s="52" t="n"/>
      <c r="H296" s="52" t="n"/>
      <c r="I296" s="52" t="n"/>
      <c r="J296" s="52" t="n"/>
      <c r="K296" s="52" t="n"/>
      <c r="L296" s="52" t="n"/>
      <c r="M296" s="52" t="n"/>
      <c r="N296" s="52" t="n"/>
      <c r="O296" s="52" t="n"/>
      <c r="P296" s="52" t="n"/>
      <c r="Q296" s="52" t="n"/>
      <c r="R296" s="52" t="n"/>
      <c r="S296" s="53" t="n"/>
      <c r="T296" s="46" t="inlineStr">
        <is>
          <t>IF(AQ296="","",AQ296)</t>
        </is>
      </c>
      <c r="U296" s="54" t="n"/>
      <c r="V296" s="55" t="n"/>
      <c r="W296" s="54" t="n"/>
      <c r="X296" s="46" t="inlineStr">
        <is>
          <t>IF(W296&lt;&gt;"",W296,IF(OR(T296="",V296=""),"",EDATE(T296,V296)))</t>
        </is>
      </c>
      <c r="Y296" s="54" t="n"/>
      <c r="Z296" s="55" t="n"/>
      <c r="AA296" s="52" t="n"/>
      <c r="AB296" s="52" t="n"/>
      <c r="AC296" s="42" t="inlineStr">
        <is>
          <t>IF(F296="","",IF(COUNT(AI296:AV296)=0,IF(AA296="","Not started",AA296),SUBSTITUTE(LOOKUP(2,1/(AI296:AV296&lt;&gt;""),$AI$3:$AV$3),"Date: ","")))</t>
        </is>
      </c>
      <c r="AD296" s="49" t="inlineStr">
        <is>
          <t>IF(OR(F296="",COUNT(AI296:AV296)=0),"",TODAY()-LOOKUP(2,1/(AI296:AV296&lt;&gt;""),AI296:AV296))</t>
        </is>
      </c>
      <c r="AE296" s="49" t="inlineStr">
        <is>
          <t>IF(OR(F296="",COUNT(AI296:AV296)&lt;2),"",LOOKUP(2,1/(AI296:AV296&lt;&gt;""),AI296:AV296)-MIN(AI296:AV296))</t>
        </is>
      </c>
      <c r="AF296" s="49" t="inlineStr">
        <is>
          <t>IF(OR(AD296="",AC296="Not started",AC296=""),"",IFERROR(AD296-IF(VLOOKUP(AC296,'06_Status_Pipeline'!$B$3:$E$20,4,FALSE)="",0,VLOOKUP(AC296,'06_Status_Pipeline'!$B$3:$E$20,4,FALSE)),""))</t>
        </is>
      </c>
      <c r="AG296" s="4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49" t="inlineStr">
        <is>
          <t>IF(OR(F296="",AC296="Completed / Handover",AC296="Cancelled"),"",IF(O296="Not awarded",IF(U296&lt;&gt;"",U296-TODAY(),IF(X296="","",X296-TODAY())),IF(X296="","",X296-TODAY())))</t>
        </is>
      </c>
      <c r="AI296" s="54" t="n"/>
      <c r="AJ296" s="54" t="n"/>
      <c r="AK296" s="54" t="n"/>
      <c r="AL296" s="54" t="n"/>
      <c r="AM296" s="54" t="n"/>
      <c r="AN296" s="54" t="n"/>
      <c r="AO296" s="54" t="n"/>
      <c r="AP296" s="54" t="n"/>
      <c r="AQ296" s="54" t="n"/>
      <c r="AR296" s="54" t="n"/>
      <c r="AS296" s="54" t="n"/>
      <c r="AT296" s="50" t="n"/>
      <c r="AU296" s="50" t="n"/>
      <c r="AV296" s="50" t="n"/>
      <c r="AW296" s="49" t="inlineStr">
        <is>
          <t>IF(OR(F296="",AJ296=""),"",IF(COUNT(AI296:AI296)=0,"",AJ296-LOOKUP(2,1/(AI296:AI296&lt;&gt;""),AI296:AI296)))</t>
        </is>
      </c>
      <c r="AX296" s="49" t="inlineStr">
        <is>
          <t>IF(OR(F296="",AK296=""),"",IF(COUNT(AI296:AJ296)=0,"",AK296-LOOKUP(2,1/(AI296:AJ296&lt;&gt;""),AI296:AJ296)))</t>
        </is>
      </c>
      <c r="AY296" s="49" t="inlineStr">
        <is>
          <t>IF(OR(F296="",AL296=""),"",IF(COUNT(AI296:AK296)=0,"",AL296-LOOKUP(2,1/(AI296:AK296&lt;&gt;""),AI296:AK296)))</t>
        </is>
      </c>
      <c r="AZ296" s="49" t="inlineStr">
        <is>
          <t>IF(OR(F296="",AM296=""),"",IF(COUNT(AI296:AL296)=0,"",AM296-LOOKUP(2,1/(AI296:AL296&lt;&gt;""),AI296:AL296)))</t>
        </is>
      </c>
      <c r="BA296" s="49" t="inlineStr">
        <is>
          <t>IF(OR(F296="",AN296=""),"",IF(COUNT(AI296:AM296)=0,"",AN296-LOOKUP(2,1/(AI296:AM296&lt;&gt;""),AI296:AM296)))</t>
        </is>
      </c>
      <c r="BB296" s="49" t="inlineStr">
        <is>
          <t>IF(OR(F296="",AO296=""),"",IF(COUNT(AI296:AN296)=0,"",AO296-LOOKUP(2,1/(AI296:AN296&lt;&gt;""),AI296:AN296)))</t>
        </is>
      </c>
      <c r="BC296" s="49" t="inlineStr">
        <is>
          <t>IF(OR(F296="",AP296=""),"",IF(COUNT(AI296:AO296)=0,"",AP296-LOOKUP(2,1/(AI296:AO296&lt;&gt;""),AI296:AO296)))</t>
        </is>
      </c>
      <c r="BD296" s="49" t="inlineStr">
        <is>
          <t>IF(OR(F296="",AQ296=""),"",IF(COUNT(AI296:AP296)=0,"",AQ296-LOOKUP(2,1/(AI296:AP296&lt;&gt;""),AI296:AP296)))</t>
        </is>
      </c>
      <c r="BE296" s="49" t="inlineStr">
        <is>
          <t>IF(OR(F296="",AR296=""),"",IF(COUNT(AI296:AQ296)=0,"",AR296-LOOKUP(2,1/(AI296:AQ296&lt;&gt;""),AI296:AQ296)))</t>
        </is>
      </c>
      <c r="BF296" s="49" t="inlineStr">
        <is>
          <t>IF(OR(F296="",AS296=""),"",IF(COUNT(AI296:AR296)=0,"",AS296-LOOKUP(2,1/(AI296:AR296&lt;&gt;""),AI296:AR296)))</t>
        </is>
      </c>
      <c r="BG296" s="49" t="inlineStr">
        <is>
          <t>IF(OR(F296="",AT296=""),"",IF(COUNT(AI296:AS296)=0,"",AT296-LOOKUP(2,1/(AI296:AS296&lt;&gt;""),AI296:AS296)))</t>
        </is>
      </c>
      <c r="BH296" s="49" t="inlineStr">
        <is>
          <t>IF(OR(F296="",AU296=""),"",IF(COUNT(AI296:AT296)=0,"",AU296-LOOKUP(2,1/(AI296:AT296&lt;&gt;""),AI296:AT296)))</t>
        </is>
      </c>
      <c r="BI296" s="49" t="inlineStr">
        <is>
          <t>IF(OR(F296="",AV296=""),"",IF(COUNT(AI296:AU296)=0,"",AV296-LOOKUP(2,1/(AI296:AU296&lt;&gt;""),AI296:AU296)))</t>
        </is>
      </c>
      <c r="BJ296" s="51" t="inlineStr">
        <is>
          <t>IF(J296="","All_Provinces",IFERROR(VLOOKUP(J296,'09_Lookups'!$A$4:$B$20,2,FALSE),"All_Provinces"))</t>
        </is>
      </c>
      <c r="BK296" s="51" t="inlineStr">
        <is>
          <t>IF(K296="","All_Districts",IFERROR(VLOOKUP(K296,'09_Lookups'!$E$4:$F$42,2,FALSE),"All_Districts"))</t>
        </is>
      </c>
    </row>
    <row r="297" ht="18" customHeight="1">
      <c r="A297" s="42" t="inlineStr">
        <is>
          <t>IF(F297="","",ROW()-3)</t>
        </is>
      </c>
      <c r="B297" s="44" t="n"/>
      <c r="C297" s="44" t="n"/>
      <c r="D297" s="44" t="n"/>
      <c r="E297" s="44" t="n"/>
      <c r="F297" s="44" t="n"/>
      <c r="G297" s="44" t="n"/>
      <c r="H297" s="44" t="n"/>
      <c r="I297" s="44" t="n"/>
      <c r="J297" s="44" t="n"/>
      <c r="K297" s="44" t="n"/>
      <c r="L297" s="44" t="n"/>
      <c r="M297" s="44" t="n"/>
      <c r="N297" s="44" t="n"/>
      <c r="O297" s="44" t="n"/>
      <c r="P297" s="44" t="n"/>
      <c r="Q297" s="44" t="n"/>
      <c r="R297" s="44" t="n"/>
      <c r="S297" s="45" t="n"/>
      <c r="T297" s="46" t="inlineStr">
        <is>
          <t>IF(AQ297="","",AQ297)</t>
        </is>
      </c>
      <c r="U297" s="47" t="n"/>
      <c r="V297" s="48" t="n"/>
      <c r="W297" s="47" t="n"/>
      <c r="X297" s="46" t="inlineStr">
        <is>
          <t>IF(W297&lt;&gt;"",W297,IF(OR(T297="",V297=""),"",EDATE(T297,V297)))</t>
        </is>
      </c>
      <c r="Y297" s="47" t="n"/>
      <c r="Z297" s="48" t="n"/>
      <c r="AA297" s="44" t="n"/>
      <c r="AB297" s="44" t="n"/>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47" t="n"/>
      <c r="AJ297" s="47" t="n"/>
      <c r="AK297" s="47" t="n"/>
      <c r="AL297" s="47" t="n"/>
      <c r="AM297" s="47" t="n"/>
      <c r="AN297" s="47" t="n"/>
      <c r="AO297" s="47" t="n"/>
      <c r="AP297" s="47" t="n"/>
      <c r="AQ297" s="47" t="n"/>
      <c r="AR297" s="47" t="n"/>
      <c r="AS297" s="47" t="n"/>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ht="18" customHeight="1">
      <c r="A298" s="42" t="inlineStr">
        <is>
          <t>IF(F298="","",ROW()-3)</t>
        </is>
      </c>
      <c r="B298" s="52" t="n"/>
      <c r="C298" s="52" t="n"/>
      <c r="D298" s="52" t="n"/>
      <c r="E298" s="52" t="n"/>
      <c r="F298" s="52" t="n"/>
      <c r="G298" s="52" t="n"/>
      <c r="H298" s="52" t="n"/>
      <c r="I298" s="52" t="n"/>
      <c r="J298" s="52" t="n"/>
      <c r="K298" s="52" t="n"/>
      <c r="L298" s="52" t="n"/>
      <c r="M298" s="52" t="n"/>
      <c r="N298" s="52" t="n"/>
      <c r="O298" s="52" t="n"/>
      <c r="P298" s="52" t="n"/>
      <c r="Q298" s="52" t="n"/>
      <c r="R298" s="52" t="n"/>
      <c r="S298" s="53" t="n"/>
      <c r="T298" s="46" t="inlineStr">
        <is>
          <t>IF(AQ298="","",AQ298)</t>
        </is>
      </c>
      <c r="U298" s="54" t="n"/>
      <c r="V298" s="55" t="n"/>
      <c r="W298" s="54" t="n"/>
      <c r="X298" s="46" t="inlineStr">
        <is>
          <t>IF(W298&lt;&gt;"",W298,IF(OR(T298="",V298=""),"",EDATE(T298,V298)))</t>
        </is>
      </c>
      <c r="Y298" s="54" t="n"/>
      <c r="Z298" s="55" t="n"/>
      <c r="AA298" s="52" t="n"/>
      <c r="AB298" s="52" t="n"/>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54" t="n"/>
      <c r="AJ298" s="54" t="n"/>
      <c r="AK298" s="54" t="n"/>
      <c r="AL298" s="54" t="n"/>
      <c r="AM298" s="54" t="n"/>
      <c r="AN298" s="54" t="n"/>
      <c r="AO298" s="54" t="n"/>
      <c r="AP298" s="54" t="n"/>
      <c r="AQ298" s="54" t="n"/>
      <c r="AR298" s="54" t="n"/>
      <c r="AS298" s="54" t="n"/>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42" t="inlineStr">
        <is>
          <t>IF(F299="","",ROW()-3)</t>
        </is>
      </c>
      <c r="B299" s="44" t="n"/>
      <c r="C299" s="44" t="n"/>
      <c r="D299" s="44" t="n"/>
      <c r="E299" s="44" t="n"/>
      <c r="F299" s="44" t="n"/>
      <c r="G299" s="44" t="n"/>
      <c r="H299" s="44" t="n"/>
      <c r="I299" s="44" t="n"/>
      <c r="J299" s="44" t="n"/>
      <c r="K299" s="44" t="n"/>
      <c r="L299" s="44" t="n"/>
      <c r="M299" s="44" t="n"/>
      <c r="N299" s="44" t="n"/>
      <c r="O299" s="44" t="n"/>
      <c r="P299" s="44" t="n"/>
      <c r="Q299" s="44" t="n"/>
      <c r="R299" s="44" t="n"/>
      <c r="S299" s="45" t="n"/>
      <c r="T299" s="46" t="inlineStr">
        <is>
          <t>IF(AQ299="","",AQ299)</t>
        </is>
      </c>
      <c r="U299" s="47" t="n"/>
      <c r="V299" s="48" t="n"/>
      <c r="W299" s="47" t="n"/>
      <c r="X299" s="46" t="inlineStr">
        <is>
          <t>IF(W299&lt;&gt;"",W299,IF(OR(T299="",V299=""),"",EDATE(T299,V299)))</t>
        </is>
      </c>
      <c r="Y299" s="47" t="n"/>
      <c r="Z299" s="48" t="n"/>
      <c r="AA299" s="44" t="n"/>
      <c r="AB299" s="44" t="n"/>
      <c r="AC299" s="42" t="inlineStr">
        <is>
          <t>IF(F299="","",IF(COUNT(AI299:AV299)=0,IF(AA299="","Not started",AA299),SUBSTITUTE(LOOKUP(2,1/(AI299:AV299&lt;&gt;""),$AI$3:$AV$3),"Date: ","")))</t>
        </is>
      </c>
      <c r="AD299" s="49" t="inlineStr">
        <is>
          <t>IF(OR(F299="",COUNT(AI299:AV299)=0),"",TODAY()-LOOKUP(2,1/(AI299:AV299&lt;&gt;""),AI299:AV299))</t>
        </is>
      </c>
      <c r="AE299" s="49" t="inlineStr">
        <is>
          <t>IF(OR(F299="",COUNT(AI299:AV299)&lt;2),"",LOOKUP(2,1/(AI299:AV299&lt;&gt;""),AI299:AV299)-MIN(AI299:AV299))</t>
        </is>
      </c>
      <c r="AF299" s="49" t="inlineStr">
        <is>
          <t>IF(OR(AD299="",AC299="Not started",AC299=""),"",IFERROR(AD299-IF(VLOOKUP(AC299,'06_Status_Pipeline'!$B$3:$E$20,4,FALSE)="",0,VLOOKUP(AC299,'06_Status_Pipeline'!$B$3:$E$20,4,FALSE)),""))</t>
        </is>
      </c>
      <c r="AG299" s="4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49" t="inlineStr">
        <is>
          <t>IF(OR(F299="",AC299="Completed / Handover",AC299="Cancelled"),"",IF(O299="Not awarded",IF(U299&lt;&gt;"",U299-TODAY(),IF(X299="","",X299-TODAY())),IF(X299="","",X299-TODAY())))</t>
        </is>
      </c>
      <c r="AI299" s="47" t="n"/>
      <c r="AJ299" s="47" t="n"/>
      <c r="AK299" s="47" t="n"/>
      <c r="AL299" s="47" t="n"/>
      <c r="AM299" s="47" t="n"/>
      <c r="AN299" s="47" t="n"/>
      <c r="AO299" s="47" t="n"/>
      <c r="AP299" s="47" t="n"/>
      <c r="AQ299" s="47" t="n"/>
      <c r="AR299" s="47" t="n"/>
      <c r="AS299" s="47" t="n"/>
      <c r="AT299" s="50" t="n"/>
      <c r="AU299" s="50" t="n"/>
      <c r="AV299" s="50" t="n"/>
      <c r="AW299" s="49" t="inlineStr">
        <is>
          <t>IF(OR(F299="",AJ299=""),"",IF(COUNT(AI299:AI299)=0,"",AJ299-LOOKUP(2,1/(AI299:AI299&lt;&gt;""),AI299:AI299)))</t>
        </is>
      </c>
      <c r="AX299" s="49" t="inlineStr">
        <is>
          <t>IF(OR(F299="",AK299=""),"",IF(COUNT(AI299:AJ299)=0,"",AK299-LOOKUP(2,1/(AI299:AJ299&lt;&gt;""),AI299:AJ299)))</t>
        </is>
      </c>
      <c r="AY299" s="49" t="inlineStr">
        <is>
          <t>IF(OR(F299="",AL299=""),"",IF(COUNT(AI299:AK299)=0,"",AL299-LOOKUP(2,1/(AI299:AK299&lt;&gt;""),AI299:AK299)))</t>
        </is>
      </c>
      <c r="AZ299" s="49" t="inlineStr">
        <is>
          <t>IF(OR(F299="",AM299=""),"",IF(COUNT(AI299:AL299)=0,"",AM299-LOOKUP(2,1/(AI299:AL299&lt;&gt;""),AI299:AL299)))</t>
        </is>
      </c>
      <c r="BA299" s="49" t="inlineStr">
        <is>
          <t>IF(OR(F299="",AN299=""),"",IF(COUNT(AI299:AM299)=0,"",AN299-LOOKUP(2,1/(AI299:AM299&lt;&gt;""),AI299:AM299)))</t>
        </is>
      </c>
      <c r="BB299" s="49" t="inlineStr">
        <is>
          <t>IF(OR(F299="",AO299=""),"",IF(COUNT(AI299:AN299)=0,"",AO299-LOOKUP(2,1/(AI299:AN299&lt;&gt;""),AI299:AN299)))</t>
        </is>
      </c>
      <c r="BC299" s="49" t="inlineStr">
        <is>
          <t>IF(OR(F299="",AP299=""),"",IF(COUNT(AI299:AO299)=0,"",AP299-LOOKUP(2,1/(AI299:AO299&lt;&gt;""),AI299:AO299)))</t>
        </is>
      </c>
      <c r="BD299" s="49" t="inlineStr">
        <is>
          <t>IF(OR(F299="",AQ299=""),"",IF(COUNT(AI299:AP299)=0,"",AQ299-LOOKUP(2,1/(AI299:AP299&lt;&gt;""),AI299:AP299)))</t>
        </is>
      </c>
      <c r="BE299" s="49" t="inlineStr">
        <is>
          <t>IF(OR(F299="",AR299=""),"",IF(COUNT(AI299:AQ299)=0,"",AR299-LOOKUP(2,1/(AI299:AQ299&lt;&gt;""),AI299:AQ299)))</t>
        </is>
      </c>
      <c r="BF299" s="49" t="inlineStr">
        <is>
          <t>IF(OR(F299="",AS299=""),"",IF(COUNT(AI299:AR299)=0,"",AS299-LOOKUP(2,1/(AI299:AR299&lt;&gt;""),AI299:AR299)))</t>
        </is>
      </c>
      <c r="BG299" s="49" t="inlineStr">
        <is>
          <t>IF(OR(F299="",AT299=""),"",IF(COUNT(AI299:AS299)=0,"",AT299-LOOKUP(2,1/(AI299:AS299&lt;&gt;""),AI299:AS299)))</t>
        </is>
      </c>
      <c r="BH299" s="49" t="inlineStr">
        <is>
          <t>IF(OR(F299="",AU299=""),"",IF(COUNT(AI299:AT299)=0,"",AU299-LOOKUP(2,1/(AI299:AT299&lt;&gt;""),AI299:AT299)))</t>
        </is>
      </c>
      <c r="BI299" s="49" t="inlineStr">
        <is>
          <t>IF(OR(F299="",AV299=""),"",IF(COUNT(AI299:AU299)=0,"",AV299-LOOKUP(2,1/(AI299:AU299&lt;&gt;""),AI299:AU299)))</t>
        </is>
      </c>
      <c r="BJ299" s="51" t="inlineStr">
        <is>
          <t>IF(J299="","All_Provinces",IFERROR(VLOOKUP(J299,'09_Lookups'!$A$4:$B$20,2,FALSE),"All_Provinces"))</t>
        </is>
      </c>
      <c r="BK299" s="51" t="inlineStr">
        <is>
          <t>IF(K299="","All_Districts",IFERROR(VLOOKUP(K299,'09_Lookups'!$E$4:$F$42,2,FALSE),"All_Districts"))</t>
        </is>
      </c>
    </row>
    <row r="300" ht="18" customHeight="1">
      <c r="A300" s="42" t="inlineStr">
        <is>
          <t>IF(F300="","",ROW()-3)</t>
        </is>
      </c>
      <c r="B300" s="52" t="n"/>
      <c r="C300" s="52" t="n"/>
      <c r="D300" s="52" t="n"/>
      <c r="E300" s="52" t="n"/>
      <c r="F300" s="52" t="n"/>
      <c r="G300" s="52" t="n"/>
      <c r="H300" s="52" t="n"/>
      <c r="I300" s="52" t="n"/>
      <c r="J300" s="52" t="n"/>
      <c r="K300" s="52" t="n"/>
      <c r="L300" s="52" t="n"/>
      <c r="M300" s="52" t="n"/>
      <c r="N300" s="52" t="n"/>
      <c r="O300" s="52" t="n"/>
      <c r="P300" s="52" t="n"/>
      <c r="Q300" s="52" t="n"/>
      <c r="R300" s="52" t="n"/>
      <c r="S300" s="53" t="n"/>
      <c r="T300" s="46" t="inlineStr">
        <is>
          <t>IF(AQ300="","",AQ300)</t>
        </is>
      </c>
      <c r="U300" s="54" t="n"/>
      <c r="V300" s="55" t="n"/>
      <c r="W300" s="54" t="n"/>
      <c r="X300" s="46" t="inlineStr">
        <is>
          <t>IF(W300&lt;&gt;"",W300,IF(OR(T300="",V300=""),"",EDATE(T300,V300)))</t>
        </is>
      </c>
      <c r="Y300" s="54" t="n"/>
      <c r="Z300" s="55" t="n"/>
      <c r="AA300" s="52" t="n"/>
      <c r="AB300" s="52" t="n"/>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54" t="n"/>
      <c r="AJ300" s="54" t="n"/>
      <c r="AK300" s="54" t="n"/>
      <c r="AL300" s="54" t="n"/>
      <c r="AM300" s="54" t="n"/>
      <c r="AN300" s="54" t="n"/>
      <c r="AO300" s="54" t="n"/>
      <c r="AP300" s="54" t="n"/>
      <c r="AQ300" s="54" t="n"/>
      <c r="AR300" s="54" t="n"/>
      <c r="AS300" s="54"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ht="18" customHeight="1">
      <c r="A301" s="42" t="inlineStr">
        <is>
          <t>IF(F301="","",ROW()-3)</t>
        </is>
      </c>
      <c r="B301" s="44" t="n"/>
      <c r="C301" s="44" t="n"/>
      <c r="D301" s="44" t="n"/>
      <c r="E301" s="44" t="n"/>
      <c r="F301" s="44" t="n"/>
      <c r="G301" s="44" t="n"/>
      <c r="H301" s="44" t="n"/>
      <c r="I301" s="44" t="n"/>
      <c r="J301" s="44" t="n"/>
      <c r="K301" s="44" t="n"/>
      <c r="L301" s="44" t="n"/>
      <c r="M301" s="44" t="n"/>
      <c r="N301" s="44" t="n"/>
      <c r="O301" s="44" t="n"/>
      <c r="P301" s="44" t="n"/>
      <c r="Q301" s="44" t="n"/>
      <c r="R301" s="44" t="n"/>
      <c r="S301" s="45" t="n"/>
      <c r="T301" s="46" t="inlineStr">
        <is>
          <t>IF(AQ301="","",AQ301)</t>
        </is>
      </c>
      <c r="U301" s="47" t="n"/>
      <c r="V301" s="48" t="n"/>
      <c r="W301" s="47" t="n"/>
      <c r="X301" s="46" t="inlineStr">
        <is>
          <t>IF(W301&lt;&gt;"",W301,IF(OR(T301="",V301=""),"",EDATE(T301,V301)))</t>
        </is>
      </c>
      <c r="Y301" s="47" t="n"/>
      <c r="Z301" s="48" t="n"/>
      <c r="AA301" s="44" t="n"/>
      <c r="AB301" s="44" t="n"/>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47" t="n"/>
      <c r="AJ301" s="47" t="n"/>
      <c r="AK301" s="47" t="n"/>
      <c r="AL301" s="47" t="n"/>
      <c r="AM301" s="47" t="n"/>
      <c r="AN301" s="47" t="n"/>
      <c r="AO301" s="47" t="n"/>
      <c r="AP301" s="47" t="n"/>
      <c r="AQ301" s="47" t="n"/>
      <c r="AR301" s="47" t="n"/>
      <c r="AS301" s="4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42" t="inlineStr">
        <is>
          <t>IF(F302="","",ROW()-3)</t>
        </is>
      </c>
      <c r="B302" s="52" t="n"/>
      <c r="C302" s="52" t="n"/>
      <c r="D302" s="52" t="n"/>
      <c r="E302" s="52" t="n"/>
      <c r="F302" s="52" t="n"/>
      <c r="G302" s="52" t="n"/>
      <c r="H302" s="52" t="n"/>
      <c r="I302" s="52" t="n"/>
      <c r="J302" s="52" t="n"/>
      <c r="K302" s="52" t="n"/>
      <c r="L302" s="52" t="n"/>
      <c r="M302" s="52" t="n"/>
      <c r="N302" s="52" t="n"/>
      <c r="O302" s="52" t="n"/>
      <c r="P302" s="52" t="n"/>
      <c r="Q302" s="52" t="n"/>
      <c r="R302" s="52" t="n"/>
      <c r="S302" s="53" t="n"/>
      <c r="T302" s="46" t="inlineStr">
        <is>
          <t>IF(AQ302="","",AQ302)</t>
        </is>
      </c>
      <c r="U302" s="54" t="n"/>
      <c r="V302" s="55" t="n"/>
      <c r="W302" s="54" t="n"/>
      <c r="X302" s="46" t="inlineStr">
        <is>
          <t>IF(W302&lt;&gt;"",W302,IF(OR(T302="",V302=""),"",EDATE(T302,V302)))</t>
        </is>
      </c>
      <c r="Y302" s="54" t="n"/>
      <c r="Z302" s="55" t="n"/>
      <c r="AA302" s="52" t="n"/>
      <c r="AB302" s="52" t="n"/>
      <c r="AC302" s="42" t="inlineStr">
        <is>
          <t>IF(F302="","",IF(COUNT(AI302:AV302)=0,IF(AA302="","Not started",AA302),SUBSTITUTE(LOOKUP(2,1/(AI302:AV302&lt;&gt;""),$AI$3:$AV$3),"Date: ","")))</t>
        </is>
      </c>
      <c r="AD302" s="49" t="inlineStr">
        <is>
          <t>IF(OR(F302="",COUNT(AI302:AV302)=0),"",TODAY()-LOOKUP(2,1/(AI302:AV302&lt;&gt;""),AI302:AV302))</t>
        </is>
      </c>
      <c r="AE302" s="49" t="inlineStr">
        <is>
          <t>IF(OR(F302="",COUNT(AI302:AV302)&lt;2),"",LOOKUP(2,1/(AI302:AV302&lt;&gt;""),AI302:AV302)-MIN(AI302:AV302))</t>
        </is>
      </c>
      <c r="AF302" s="49" t="inlineStr">
        <is>
          <t>IF(OR(AD302="",AC302="Not started",AC302=""),"",IFERROR(AD302-IF(VLOOKUP(AC302,'06_Status_Pipeline'!$B$3:$E$20,4,FALSE)="",0,VLOOKUP(AC302,'06_Status_Pipeline'!$B$3:$E$20,4,FALSE)),""))</t>
        </is>
      </c>
      <c r="AG302" s="4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49" t="inlineStr">
        <is>
          <t>IF(OR(F302="",AC302="Completed / Handover",AC302="Cancelled"),"",IF(O302="Not awarded",IF(U302&lt;&gt;"",U302-TODAY(),IF(X302="","",X302-TODAY())),IF(X302="","",X302-TODAY())))</t>
        </is>
      </c>
      <c r="AI302" s="54" t="n"/>
      <c r="AJ302" s="54" t="n"/>
      <c r="AK302" s="54" t="n"/>
      <c r="AL302" s="54" t="n"/>
      <c r="AM302" s="54" t="n"/>
      <c r="AN302" s="54" t="n"/>
      <c r="AO302" s="54" t="n"/>
      <c r="AP302" s="54" t="n"/>
      <c r="AQ302" s="54" t="n"/>
      <c r="AR302" s="54" t="n"/>
      <c r="AS302" s="54" t="n"/>
      <c r="AT302" s="50" t="n"/>
      <c r="AU302" s="50" t="n"/>
      <c r="AV302" s="50" t="n"/>
      <c r="AW302" s="49" t="inlineStr">
        <is>
          <t>IF(OR(F302="",AJ302=""),"",IF(COUNT(AI302:AI302)=0,"",AJ302-LOOKUP(2,1/(AI302:AI302&lt;&gt;""),AI302:AI302)))</t>
        </is>
      </c>
      <c r="AX302" s="49" t="inlineStr">
        <is>
          <t>IF(OR(F302="",AK302=""),"",IF(COUNT(AI302:AJ302)=0,"",AK302-LOOKUP(2,1/(AI302:AJ302&lt;&gt;""),AI302:AJ302)))</t>
        </is>
      </c>
      <c r="AY302" s="49" t="inlineStr">
        <is>
          <t>IF(OR(F302="",AL302=""),"",IF(COUNT(AI302:AK302)=0,"",AL302-LOOKUP(2,1/(AI302:AK302&lt;&gt;""),AI302:AK302)))</t>
        </is>
      </c>
      <c r="AZ302" s="49" t="inlineStr">
        <is>
          <t>IF(OR(F302="",AM302=""),"",IF(COUNT(AI302:AL302)=0,"",AM302-LOOKUP(2,1/(AI302:AL302&lt;&gt;""),AI302:AL302)))</t>
        </is>
      </c>
      <c r="BA302" s="49" t="inlineStr">
        <is>
          <t>IF(OR(F302="",AN302=""),"",IF(COUNT(AI302:AM302)=0,"",AN302-LOOKUP(2,1/(AI302:AM302&lt;&gt;""),AI302:AM302)))</t>
        </is>
      </c>
      <c r="BB302" s="49" t="inlineStr">
        <is>
          <t>IF(OR(F302="",AO302=""),"",IF(COUNT(AI302:AN302)=0,"",AO302-LOOKUP(2,1/(AI302:AN302&lt;&gt;""),AI302:AN302)))</t>
        </is>
      </c>
      <c r="BC302" s="49" t="inlineStr">
        <is>
          <t>IF(OR(F302="",AP302=""),"",IF(COUNT(AI302:AO302)=0,"",AP302-LOOKUP(2,1/(AI302:AO302&lt;&gt;""),AI302:AO302)))</t>
        </is>
      </c>
      <c r="BD302" s="49" t="inlineStr">
        <is>
          <t>IF(OR(F302="",AQ302=""),"",IF(COUNT(AI302:AP302)=0,"",AQ302-LOOKUP(2,1/(AI302:AP302&lt;&gt;""),AI302:AP302)))</t>
        </is>
      </c>
      <c r="BE302" s="49" t="inlineStr">
        <is>
          <t>IF(OR(F302="",AR302=""),"",IF(COUNT(AI302:AQ302)=0,"",AR302-LOOKUP(2,1/(AI302:AQ302&lt;&gt;""),AI302:AQ302)))</t>
        </is>
      </c>
      <c r="BF302" s="49" t="inlineStr">
        <is>
          <t>IF(OR(F302="",AS302=""),"",IF(COUNT(AI302:AR302)=0,"",AS302-LOOKUP(2,1/(AI302:AR302&lt;&gt;""),AI302:AR302)))</t>
        </is>
      </c>
      <c r="BG302" s="49" t="inlineStr">
        <is>
          <t>IF(OR(F302="",AT302=""),"",IF(COUNT(AI302:AS302)=0,"",AT302-LOOKUP(2,1/(AI302:AS302&lt;&gt;""),AI302:AS302)))</t>
        </is>
      </c>
      <c r="BH302" s="49" t="inlineStr">
        <is>
          <t>IF(OR(F302="",AU302=""),"",IF(COUNT(AI302:AT302)=0,"",AU302-LOOKUP(2,1/(AI302:AT302&lt;&gt;""),AI302:AT302)))</t>
        </is>
      </c>
      <c r="BI302" s="49" t="inlineStr">
        <is>
          <t>IF(OR(F302="",AV302=""),"",IF(COUNT(AI302:AU302)=0,"",AV302-LOOKUP(2,1/(AI302:AU302&lt;&gt;""),AI302:AU302)))</t>
        </is>
      </c>
      <c r="BJ302" s="51" t="inlineStr">
        <is>
          <t>IF(J302="","All_Provinces",IFERROR(VLOOKUP(J302,'09_Lookups'!$A$4:$B$20,2,FALSE),"All_Provinces"))</t>
        </is>
      </c>
      <c r="BK302" s="51" t="inlineStr">
        <is>
          <t>IF(K302="","All_Districts",IFERROR(VLOOKUP(K302,'09_Lookups'!$E$4:$F$42,2,FALSE),"All_Districts"))</t>
        </is>
      </c>
    </row>
    <row r="303" ht="18" customHeight="1">
      <c r="A303" s="42" t="inlineStr">
        <is>
          <t>IF(F303="","",ROW()-3)</t>
        </is>
      </c>
      <c r="B303" s="44" t="n"/>
      <c r="C303" s="44" t="n"/>
      <c r="D303" s="44" t="n"/>
      <c r="E303" s="44" t="n"/>
      <c r="F303" s="44" t="n"/>
      <c r="G303" s="44" t="n"/>
      <c r="H303" s="44" t="n"/>
      <c r="I303" s="44" t="n"/>
      <c r="J303" s="44" t="n"/>
      <c r="K303" s="44" t="n"/>
      <c r="L303" s="44" t="n"/>
      <c r="M303" s="44" t="n"/>
      <c r="N303" s="44" t="n"/>
      <c r="O303" s="44" t="n"/>
      <c r="P303" s="44" t="n"/>
      <c r="Q303" s="44" t="n"/>
      <c r="R303" s="44" t="n"/>
      <c r="S303" s="45" t="n"/>
      <c r="T303" s="46" t="inlineStr">
        <is>
          <t>IF(AQ303="","",AQ303)</t>
        </is>
      </c>
      <c r="U303" s="47" t="n"/>
      <c r="V303" s="48" t="n"/>
      <c r="W303" s="47" t="n"/>
      <c r="X303" s="46" t="inlineStr">
        <is>
          <t>IF(W303&lt;&gt;"",W303,IF(OR(T303="",V303=""),"",EDATE(T303,V303)))</t>
        </is>
      </c>
      <c r="Y303" s="47" t="n"/>
      <c r="Z303" s="48" t="n"/>
      <c r="AA303" s="44" t="n"/>
      <c r="AB303" s="44" t="n"/>
      <c r="AC303" s="42" t="inlineStr">
        <is>
          <t>IF(F303="","",IF(COUNT(AI303:AV303)=0,IF(AA303="","Not started",AA303),SUBSTITUTE(LOOKUP(2,1/(AI303:AV303&lt;&gt;""),$AI$3:$AV$3),"Date: ","")))</t>
        </is>
      </c>
      <c r="AD303" s="49" t="inlineStr">
        <is>
          <t>IF(OR(F303="",COUNT(AI303:AV303)=0),"",TODAY()-LOOKUP(2,1/(AI303:AV303&lt;&gt;""),AI303:AV303))</t>
        </is>
      </c>
      <c r="AE303" s="49" t="inlineStr">
        <is>
          <t>IF(OR(F303="",COUNT(AI303:AV303)&lt;2),"",LOOKUP(2,1/(AI303:AV303&lt;&gt;""),AI303:AV303)-MIN(AI303:AV303))</t>
        </is>
      </c>
      <c r="AF303" s="49" t="inlineStr">
        <is>
          <t>IF(OR(AD303="",AC303="Not started",AC303=""),"",IFERROR(AD303-IF(VLOOKUP(AC303,'06_Status_Pipeline'!$B$3:$E$20,4,FALSE)="",0,VLOOKUP(AC303,'06_Status_Pipeline'!$B$3:$E$20,4,FALSE)),""))</t>
        </is>
      </c>
      <c r="AG303" s="4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49" t="inlineStr">
        <is>
          <t>IF(OR(F303="",AC303="Completed / Handover",AC303="Cancelled"),"",IF(O303="Not awarded",IF(U303&lt;&gt;"",U303-TODAY(),IF(X303="","",X303-TODAY())),IF(X303="","",X303-TODAY())))</t>
        </is>
      </c>
      <c r="AI303" s="47" t="n"/>
      <c r="AJ303" s="47" t="n"/>
      <c r="AK303" s="47" t="n"/>
      <c r="AL303" s="47" t="n"/>
      <c r="AM303" s="47" t="n"/>
      <c r="AN303" s="47" t="n"/>
      <c r="AO303" s="47" t="n"/>
      <c r="AP303" s="47" t="n"/>
      <c r="AQ303" s="47" t="n"/>
      <c r="AR303" s="47" t="n"/>
      <c r="AS303" s="47" t="n"/>
      <c r="AT303" s="50" t="n"/>
      <c r="AU303" s="50" t="n"/>
      <c r="AV303" s="50" t="n"/>
      <c r="AW303" s="49" t="inlineStr">
        <is>
          <t>IF(OR(F303="",AJ303=""),"",IF(COUNT(AI303:AI303)=0,"",AJ303-LOOKUP(2,1/(AI303:AI303&lt;&gt;""),AI303:AI303)))</t>
        </is>
      </c>
      <c r="AX303" s="49" t="inlineStr">
        <is>
          <t>IF(OR(F303="",AK303=""),"",IF(COUNT(AI303:AJ303)=0,"",AK303-LOOKUP(2,1/(AI303:AJ303&lt;&gt;""),AI303:AJ303)))</t>
        </is>
      </c>
      <c r="AY303" s="49" t="inlineStr">
        <is>
          <t>IF(OR(F303="",AL303=""),"",IF(COUNT(AI303:AK303)=0,"",AL303-LOOKUP(2,1/(AI303:AK303&lt;&gt;""),AI303:AK303)))</t>
        </is>
      </c>
      <c r="AZ303" s="49" t="inlineStr">
        <is>
          <t>IF(OR(F303="",AM303=""),"",IF(COUNT(AI303:AL303)=0,"",AM303-LOOKUP(2,1/(AI303:AL303&lt;&gt;""),AI303:AL303)))</t>
        </is>
      </c>
      <c r="BA303" s="49" t="inlineStr">
        <is>
          <t>IF(OR(F303="",AN303=""),"",IF(COUNT(AI303:AM303)=0,"",AN303-LOOKUP(2,1/(AI303:AM303&lt;&gt;""),AI303:AM303)))</t>
        </is>
      </c>
      <c r="BB303" s="49" t="inlineStr">
        <is>
          <t>IF(OR(F303="",AO303=""),"",IF(COUNT(AI303:AN303)=0,"",AO303-LOOKUP(2,1/(AI303:AN303&lt;&gt;""),AI303:AN303)))</t>
        </is>
      </c>
      <c r="BC303" s="49" t="inlineStr">
        <is>
          <t>IF(OR(F303="",AP303=""),"",IF(COUNT(AI303:AO303)=0,"",AP303-LOOKUP(2,1/(AI303:AO303&lt;&gt;""),AI303:AO303)))</t>
        </is>
      </c>
      <c r="BD303" s="49" t="inlineStr">
        <is>
          <t>IF(OR(F303="",AQ303=""),"",IF(COUNT(AI303:AP303)=0,"",AQ303-LOOKUP(2,1/(AI303:AP303&lt;&gt;""),AI303:AP303)))</t>
        </is>
      </c>
      <c r="BE303" s="49" t="inlineStr">
        <is>
          <t>IF(OR(F303="",AR303=""),"",IF(COUNT(AI303:AQ303)=0,"",AR303-LOOKUP(2,1/(AI303:AQ303&lt;&gt;""),AI303:AQ303)))</t>
        </is>
      </c>
      <c r="BF303" s="49" t="inlineStr">
        <is>
          <t>IF(OR(F303="",AS303=""),"",IF(COUNT(AI303:AR303)=0,"",AS303-LOOKUP(2,1/(AI303:AR303&lt;&gt;""),AI303:AR303)))</t>
        </is>
      </c>
      <c r="BG303" s="49" t="inlineStr">
        <is>
          <t>IF(OR(F303="",AT303=""),"",IF(COUNT(AI303:AS303)=0,"",AT303-LOOKUP(2,1/(AI303:AS303&lt;&gt;""),AI303:AS303)))</t>
        </is>
      </c>
      <c r="BH303" s="49" t="inlineStr">
        <is>
          <t>IF(OR(F303="",AU303=""),"",IF(COUNT(AI303:AT303)=0,"",AU303-LOOKUP(2,1/(AI303:AT303&lt;&gt;""),AI303:AT303)))</t>
        </is>
      </c>
      <c r="BI303" s="49" t="inlineStr">
        <is>
          <t>IF(OR(F303="",AV303=""),"",IF(COUNT(AI303:AU303)=0,"",AV303-LOOKUP(2,1/(AI303:AU303&lt;&gt;""),AI303:AU303)))</t>
        </is>
      </c>
      <c r="BJ303" s="51" t="inlineStr">
        <is>
          <t>IF(J303="","All_Provinces",IFERROR(VLOOKUP(J303,'09_Lookups'!$A$4:$B$20,2,FALSE),"All_Provinces"))</t>
        </is>
      </c>
      <c r="BK303" s="51" t="inlineStr">
        <is>
          <t>IF(K303="","All_Districts",IFERROR(VLOOKUP(K303,'09_Lookups'!$E$4:$F$42,2,FALSE),"All_Districts"))</t>
        </is>
      </c>
    </row>
    <row r="304" ht="18" customHeight="1">
      <c r="A304" s="42" t="inlineStr">
        <is>
          <t>IF(F304="","",ROW()-3)</t>
        </is>
      </c>
      <c r="B304" s="52" t="n"/>
      <c r="C304" s="52" t="n"/>
      <c r="D304" s="52" t="n"/>
      <c r="E304" s="52" t="n"/>
      <c r="F304" s="52" t="n"/>
      <c r="G304" s="52" t="n"/>
      <c r="H304" s="52" t="n"/>
      <c r="I304" s="52" t="n"/>
      <c r="J304" s="52" t="n"/>
      <c r="K304" s="52" t="n"/>
      <c r="L304" s="52" t="n"/>
      <c r="M304" s="52" t="n"/>
      <c r="N304" s="52" t="n"/>
      <c r="O304" s="52" t="n"/>
      <c r="P304" s="52" t="n"/>
      <c r="Q304" s="52" t="n"/>
      <c r="R304" s="52" t="n"/>
      <c r="S304" s="53" t="n"/>
      <c r="T304" s="46" t="inlineStr">
        <is>
          <t>IF(AQ304="","",AQ304)</t>
        </is>
      </c>
      <c r="U304" s="54" t="n"/>
      <c r="V304" s="55" t="n"/>
      <c r="W304" s="54" t="n"/>
      <c r="X304" s="46" t="inlineStr">
        <is>
          <t>IF(W304&lt;&gt;"",W304,IF(OR(T304="",V304=""),"",EDATE(T304,V304)))</t>
        </is>
      </c>
      <c r="Y304" s="54" t="n"/>
      <c r="Z304" s="55" t="n"/>
      <c r="AA304" s="52" t="n"/>
      <c r="AB304" s="52" t="n"/>
      <c r="AC304" s="42" t="inlineStr">
        <is>
          <t>IF(F304="","",IF(COUNT(AI304:AV304)=0,IF(AA304="","Not started",AA304),SUBSTITUTE(LOOKUP(2,1/(AI304:AV304&lt;&gt;""),$AI$3:$AV$3),"Date: ","")))</t>
        </is>
      </c>
      <c r="AD304" s="49" t="inlineStr">
        <is>
          <t>IF(OR(F304="",COUNT(AI304:AV304)=0),"",TODAY()-LOOKUP(2,1/(AI304:AV304&lt;&gt;""),AI304:AV304))</t>
        </is>
      </c>
      <c r="AE304" s="49" t="inlineStr">
        <is>
          <t>IF(OR(F304="",COUNT(AI304:AV304)&lt;2),"",LOOKUP(2,1/(AI304:AV304&lt;&gt;""),AI304:AV304)-MIN(AI304:AV304))</t>
        </is>
      </c>
      <c r="AF304" s="49" t="inlineStr">
        <is>
          <t>IF(OR(AD304="",AC304="Not started",AC304=""),"",IFERROR(AD304-IF(VLOOKUP(AC304,'06_Status_Pipeline'!$B$3:$E$20,4,FALSE)="",0,VLOOKUP(AC304,'06_Status_Pipeline'!$B$3:$E$20,4,FALSE)),""))</t>
        </is>
      </c>
      <c r="AG304" s="4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49" t="inlineStr">
        <is>
          <t>IF(OR(F304="",AC304="Completed / Handover",AC304="Cancelled"),"",IF(O304="Not awarded",IF(U304&lt;&gt;"",U304-TODAY(),IF(X304="","",X304-TODAY())),IF(X304="","",X304-TODAY())))</t>
        </is>
      </c>
      <c r="AI304" s="54" t="n"/>
      <c r="AJ304" s="54" t="n"/>
      <c r="AK304" s="54" t="n"/>
      <c r="AL304" s="54" t="n"/>
      <c r="AM304" s="54" t="n"/>
      <c r="AN304" s="54" t="n"/>
      <c r="AO304" s="54" t="n"/>
      <c r="AP304" s="54" t="n"/>
      <c r="AQ304" s="54" t="n"/>
      <c r="AR304" s="54" t="n"/>
      <c r="AS304" s="54" t="n"/>
      <c r="AT304" s="50" t="n"/>
      <c r="AU304" s="50" t="n"/>
      <c r="AV304" s="50" t="n"/>
      <c r="AW304" s="49" t="inlineStr">
        <is>
          <t>IF(OR(F304="",AJ304=""),"",IF(COUNT(AI304:AI304)=0,"",AJ304-LOOKUP(2,1/(AI304:AI304&lt;&gt;""),AI304:AI304)))</t>
        </is>
      </c>
      <c r="AX304" s="49" t="inlineStr">
        <is>
          <t>IF(OR(F304="",AK304=""),"",IF(COUNT(AI304:AJ304)=0,"",AK304-LOOKUP(2,1/(AI304:AJ304&lt;&gt;""),AI304:AJ304)))</t>
        </is>
      </c>
      <c r="AY304" s="49" t="inlineStr">
        <is>
          <t>IF(OR(F304="",AL304=""),"",IF(COUNT(AI304:AK304)=0,"",AL304-LOOKUP(2,1/(AI304:AK304&lt;&gt;""),AI304:AK304)))</t>
        </is>
      </c>
      <c r="AZ304" s="49" t="inlineStr">
        <is>
          <t>IF(OR(F304="",AM304=""),"",IF(COUNT(AI304:AL304)=0,"",AM304-LOOKUP(2,1/(AI304:AL304&lt;&gt;""),AI304:AL304)))</t>
        </is>
      </c>
      <c r="BA304" s="49" t="inlineStr">
        <is>
          <t>IF(OR(F304="",AN304=""),"",IF(COUNT(AI304:AM304)=0,"",AN304-LOOKUP(2,1/(AI304:AM304&lt;&gt;""),AI304:AM304)))</t>
        </is>
      </c>
      <c r="BB304" s="49" t="inlineStr">
        <is>
          <t>IF(OR(F304="",AO304=""),"",IF(COUNT(AI304:AN304)=0,"",AO304-LOOKUP(2,1/(AI304:AN304&lt;&gt;""),AI304:AN304)))</t>
        </is>
      </c>
      <c r="BC304" s="49" t="inlineStr">
        <is>
          <t>IF(OR(F304="",AP304=""),"",IF(COUNT(AI304:AO304)=0,"",AP304-LOOKUP(2,1/(AI304:AO304&lt;&gt;""),AI304:AO304)))</t>
        </is>
      </c>
      <c r="BD304" s="49" t="inlineStr">
        <is>
          <t>IF(OR(F304="",AQ304=""),"",IF(COUNT(AI304:AP304)=0,"",AQ304-LOOKUP(2,1/(AI304:AP304&lt;&gt;""),AI304:AP304)))</t>
        </is>
      </c>
      <c r="BE304" s="49" t="inlineStr">
        <is>
          <t>IF(OR(F304="",AR304=""),"",IF(COUNT(AI304:AQ304)=0,"",AR304-LOOKUP(2,1/(AI304:AQ304&lt;&gt;""),AI304:AQ304)))</t>
        </is>
      </c>
      <c r="BF304" s="49" t="inlineStr">
        <is>
          <t>IF(OR(F304="",AS304=""),"",IF(COUNT(AI304:AR304)=0,"",AS304-LOOKUP(2,1/(AI304:AR304&lt;&gt;""),AI304:AR304)))</t>
        </is>
      </c>
      <c r="BG304" s="49" t="inlineStr">
        <is>
          <t>IF(OR(F304="",AT304=""),"",IF(COUNT(AI304:AS304)=0,"",AT304-LOOKUP(2,1/(AI304:AS304&lt;&gt;""),AI304:AS304)))</t>
        </is>
      </c>
      <c r="BH304" s="49" t="inlineStr">
        <is>
          <t>IF(OR(F304="",AU304=""),"",IF(COUNT(AI304:AT304)=0,"",AU304-LOOKUP(2,1/(AI304:AT304&lt;&gt;""),AI304:AT304)))</t>
        </is>
      </c>
      <c r="BI304" s="49" t="inlineStr">
        <is>
          <t>IF(OR(F304="",AV304=""),"",IF(COUNT(AI304:AU304)=0,"",AV304-LOOKUP(2,1/(AI304:AU304&lt;&gt;""),AI304:AU304)))</t>
        </is>
      </c>
      <c r="BJ304" s="51" t="inlineStr">
        <is>
          <t>IF(J304="","All_Provinces",IFERROR(VLOOKUP(J304,'09_Lookups'!$A$4:$B$20,2,FALSE),"All_Provinces"))</t>
        </is>
      </c>
      <c r="BK304" s="51" t="inlineStr">
        <is>
          <t>IF(K304="","All_Districts",IFERROR(VLOOKUP(K304,'09_Lookups'!$E$4:$F$42,2,FALSE),"All_Districts"))</t>
        </is>
      </c>
    </row>
    <row r="305" ht="18" customHeight="1">
      <c r="A305" s="42" t="inlineStr">
        <is>
          <t>IF(F305="","",ROW()-3)</t>
        </is>
      </c>
      <c r="B305" s="44" t="n"/>
      <c r="C305" s="44" t="n"/>
      <c r="D305" s="44" t="n"/>
      <c r="E305" s="44" t="n"/>
      <c r="F305" s="44" t="n"/>
      <c r="G305" s="44" t="n"/>
      <c r="H305" s="44" t="n"/>
      <c r="I305" s="44" t="n"/>
      <c r="J305" s="44" t="n"/>
      <c r="K305" s="44" t="n"/>
      <c r="L305" s="44" t="n"/>
      <c r="M305" s="44" t="n"/>
      <c r="N305" s="44" t="n"/>
      <c r="O305" s="44" t="n"/>
      <c r="P305" s="44" t="n"/>
      <c r="Q305" s="44" t="n"/>
      <c r="R305" s="44" t="n"/>
      <c r="S305" s="45" t="n"/>
      <c r="T305" s="46" t="inlineStr">
        <is>
          <t>IF(AQ305="","",AQ305)</t>
        </is>
      </c>
      <c r="U305" s="47" t="n"/>
      <c r="V305" s="48" t="n"/>
      <c r="W305" s="47" t="n"/>
      <c r="X305" s="46" t="inlineStr">
        <is>
          <t>IF(W305&lt;&gt;"",W305,IF(OR(T305="",V305=""),"",EDATE(T305,V305)))</t>
        </is>
      </c>
      <c r="Y305" s="47" t="n"/>
      <c r="Z305" s="48" t="n"/>
      <c r="AA305" s="44" t="n"/>
      <c r="AB305" s="44" t="n"/>
      <c r="AC305" s="42" t="inlineStr">
        <is>
          <t>IF(F305="","",IF(COUNT(AI305:AV305)=0,IF(AA305="","Not started",AA305),SUBSTITUTE(LOOKUP(2,1/(AI305:AV305&lt;&gt;""),$AI$3:$AV$3),"Date: ","")))</t>
        </is>
      </c>
      <c r="AD305" s="49" t="inlineStr">
        <is>
          <t>IF(OR(F305="",COUNT(AI305:AV305)=0),"",TODAY()-LOOKUP(2,1/(AI305:AV305&lt;&gt;""),AI305:AV305))</t>
        </is>
      </c>
      <c r="AE305" s="49" t="inlineStr">
        <is>
          <t>IF(OR(F305="",COUNT(AI305:AV305)&lt;2),"",LOOKUP(2,1/(AI305:AV305&lt;&gt;""),AI305:AV305)-MIN(AI305:AV305))</t>
        </is>
      </c>
      <c r="AF305" s="49" t="inlineStr">
        <is>
          <t>IF(OR(AD305="",AC305="Not started",AC305=""),"",IFERROR(AD305-IF(VLOOKUP(AC305,'06_Status_Pipeline'!$B$3:$E$20,4,FALSE)="",0,VLOOKUP(AC305,'06_Status_Pipeline'!$B$3:$E$20,4,FALSE)),""))</t>
        </is>
      </c>
      <c r="AG305" s="4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49" t="inlineStr">
        <is>
          <t>IF(OR(F305="",AC305="Completed / Handover",AC305="Cancelled"),"",IF(O305="Not awarded",IF(U305&lt;&gt;"",U305-TODAY(),IF(X305="","",X305-TODAY())),IF(X305="","",X305-TODAY())))</t>
        </is>
      </c>
      <c r="AI305" s="47" t="n"/>
      <c r="AJ305" s="47" t="n"/>
      <c r="AK305" s="47" t="n"/>
      <c r="AL305" s="47" t="n"/>
      <c r="AM305" s="47" t="n"/>
      <c r="AN305" s="47" t="n"/>
      <c r="AO305" s="47" t="n"/>
      <c r="AP305" s="47" t="n"/>
      <c r="AQ305" s="47" t="n"/>
      <c r="AR305" s="47" t="n"/>
      <c r="AS305" s="47" t="n"/>
      <c r="AT305" s="50" t="n"/>
      <c r="AU305" s="50" t="n"/>
      <c r="AV305" s="50" t="n"/>
      <c r="AW305" s="49" t="inlineStr">
        <is>
          <t>IF(OR(F305="",AJ305=""),"",IF(COUNT(AI305:AI305)=0,"",AJ305-LOOKUP(2,1/(AI305:AI305&lt;&gt;""),AI305:AI305)))</t>
        </is>
      </c>
      <c r="AX305" s="49" t="inlineStr">
        <is>
          <t>IF(OR(F305="",AK305=""),"",IF(COUNT(AI305:AJ305)=0,"",AK305-LOOKUP(2,1/(AI305:AJ305&lt;&gt;""),AI305:AJ305)))</t>
        </is>
      </c>
      <c r="AY305" s="49" t="inlineStr">
        <is>
          <t>IF(OR(F305="",AL305=""),"",IF(COUNT(AI305:AK305)=0,"",AL305-LOOKUP(2,1/(AI305:AK305&lt;&gt;""),AI305:AK305)))</t>
        </is>
      </c>
      <c r="AZ305" s="49" t="inlineStr">
        <is>
          <t>IF(OR(F305="",AM305=""),"",IF(COUNT(AI305:AL305)=0,"",AM305-LOOKUP(2,1/(AI305:AL305&lt;&gt;""),AI305:AL305)))</t>
        </is>
      </c>
      <c r="BA305" s="49" t="inlineStr">
        <is>
          <t>IF(OR(F305="",AN305=""),"",IF(COUNT(AI305:AM305)=0,"",AN305-LOOKUP(2,1/(AI305:AM305&lt;&gt;""),AI305:AM305)))</t>
        </is>
      </c>
      <c r="BB305" s="49" t="inlineStr">
        <is>
          <t>IF(OR(F305="",AO305=""),"",IF(COUNT(AI305:AN305)=0,"",AO305-LOOKUP(2,1/(AI305:AN305&lt;&gt;""),AI305:AN305)))</t>
        </is>
      </c>
      <c r="BC305" s="49" t="inlineStr">
        <is>
          <t>IF(OR(F305="",AP305=""),"",IF(COUNT(AI305:AO305)=0,"",AP305-LOOKUP(2,1/(AI305:AO305&lt;&gt;""),AI305:AO305)))</t>
        </is>
      </c>
      <c r="BD305" s="49" t="inlineStr">
        <is>
          <t>IF(OR(F305="",AQ305=""),"",IF(COUNT(AI305:AP305)=0,"",AQ305-LOOKUP(2,1/(AI305:AP305&lt;&gt;""),AI305:AP305)))</t>
        </is>
      </c>
      <c r="BE305" s="49" t="inlineStr">
        <is>
          <t>IF(OR(F305="",AR305=""),"",IF(COUNT(AI305:AQ305)=0,"",AR305-LOOKUP(2,1/(AI305:AQ305&lt;&gt;""),AI305:AQ305)))</t>
        </is>
      </c>
      <c r="BF305" s="49" t="inlineStr">
        <is>
          <t>IF(OR(F305="",AS305=""),"",IF(COUNT(AI305:AR305)=0,"",AS305-LOOKUP(2,1/(AI305:AR305&lt;&gt;""),AI305:AR305)))</t>
        </is>
      </c>
      <c r="BG305" s="49" t="inlineStr">
        <is>
          <t>IF(OR(F305="",AT305=""),"",IF(COUNT(AI305:AS305)=0,"",AT305-LOOKUP(2,1/(AI305:AS305&lt;&gt;""),AI305:AS305)))</t>
        </is>
      </c>
      <c r="BH305" s="49" t="inlineStr">
        <is>
          <t>IF(OR(F305="",AU305=""),"",IF(COUNT(AI305:AT305)=0,"",AU305-LOOKUP(2,1/(AI305:AT305&lt;&gt;""),AI305:AT305)))</t>
        </is>
      </c>
      <c r="BI305" s="49" t="inlineStr">
        <is>
          <t>IF(OR(F305="",AV305=""),"",IF(COUNT(AI305:AU305)=0,"",AV305-LOOKUP(2,1/(AI305:AU305&lt;&gt;""),AI305:AU305)))</t>
        </is>
      </c>
      <c r="BJ305" s="51" t="inlineStr">
        <is>
          <t>IF(J305="","All_Provinces",IFERROR(VLOOKUP(J305,'09_Lookups'!$A$4:$B$20,2,FALSE),"All_Provinces"))</t>
        </is>
      </c>
      <c r="BK305" s="51" t="inlineStr">
        <is>
          <t>IF(K305="","All_Districts",IFERROR(VLOOKUP(K305,'09_Lookups'!$E$4:$F$42,2,FALSE),"All_Districts"))</t>
        </is>
      </c>
    </row>
    <row r="306" ht="18" customHeight="1">
      <c r="A306" s="42" t="inlineStr">
        <is>
          <t>IF(F306="","",ROW()-3)</t>
        </is>
      </c>
      <c r="B306" s="52" t="n"/>
      <c r="C306" s="52" t="n"/>
      <c r="D306" s="52" t="n"/>
      <c r="E306" s="52" t="n"/>
      <c r="F306" s="52" t="n"/>
      <c r="G306" s="52" t="n"/>
      <c r="H306" s="52" t="n"/>
      <c r="I306" s="52" t="n"/>
      <c r="J306" s="52" t="n"/>
      <c r="K306" s="52" t="n"/>
      <c r="L306" s="52" t="n"/>
      <c r="M306" s="52" t="n"/>
      <c r="N306" s="52" t="n"/>
      <c r="O306" s="52" t="n"/>
      <c r="P306" s="52" t="n"/>
      <c r="Q306" s="52" t="n"/>
      <c r="R306" s="52" t="n"/>
      <c r="S306" s="53" t="n"/>
      <c r="T306" s="46" t="inlineStr">
        <is>
          <t>IF(AQ306="","",AQ306)</t>
        </is>
      </c>
      <c r="U306" s="54" t="n"/>
      <c r="V306" s="55" t="n"/>
      <c r="W306" s="54" t="n"/>
      <c r="X306" s="46" t="inlineStr">
        <is>
          <t>IF(W306&lt;&gt;"",W306,IF(OR(T306="",V306=""),"",EDATE(T306,V306)))</t>
        </is>
      </c>
      <c r="Y306" s="54" t="n"/>
      <c r="Z306" s="55" t="n"/>
      <c r="AA306" s="52" t="n"/>
      <c r="AB306" s="52" t="n"/>
      <c r="AC306" s="42" t="inlineStr">
        <is>
          <t>IF(F306="","",IF(COUNT(AI306:AV306)=0,IF(AA306="","Not started",AA306),SUBSTITUTE(LOOKUP(2,1/(AI306:AV306&lt;&gt;""),$AI$3:$AV$3),"Date: ","")))</t>
        </is>
      </c>
      <c r="AD306" s="49" t="inlineStr">
        <is>
          <t>IF(OR(F306="",COUNT(AI306:AV306)=0),"",TODAY()-LOOKUP(2,1/(AI306:AV306&lt;&gt;""),AI306:AV306))</t>
        </is>
      </c>
      <c r="AE306" s="49" t="inlineStr">
        <is>
          <t>IF(OR(F306="",COUNT(AI306:AV306)&lt;2),"",LOOKUP(2,1/(AI306:AV306&lt;&gt;""),AI306:AV306)-MIN(AI306:AV306))</t>
        </is>
      </c>
      <c r="AF306" s="49" t="inlineStr">
        <is>
          <t>IF(OR(AD306="",AC306="Not started",AC306=""),"",IFERROR(AD306-IF(VLOOKUP(AC306,'06_Status_Pipeline'!$B$3:$E$20,4,FALSE)="",0,VLOOKUP(AC306,'06_Status_Pipeline'!$B$3:$E$20,4,FALSE)),""))</t>
        </is>
      </c>
      <c r="AG306" s="4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49" t="inlineStr">
        <is>
          <t>IF(OR(F306="",AC306="Completed / Handover",AC306="Cancelled"),"",IF(O306="Not awarded",IF(U306&lt;&gt;"",U306-TODAY(),IF(X306="","",X306-TODAY())),IF(X306="","",X306-TODAY())))</t>
        </is>
      </c>
      <c r="AI306" s="54" t="n"/>
      <c r="AJ306" s="54" t="n"/>
      <c r="AK306" s="54" t="n"/>
      <c r="AL306" s="54" t="n"/>
      <c r="AM306" s="54" t="n"/>
      <c r="AN306" s="54" t="n"/>
      <c r="AO306" s="54" t="n"/>
      <c r="AP306" s="54" t="n"/>
      <c r="AQ306" s="54" t="n"/>
      <c r="AR306" s="54" t="n"/>
      <c r="AS306" s="54" t="n"/>
      <c r="AT306" s="50" t="n"/>
      <c r="AU306" s="50" t="n"/>
      <c r="AV306" s="50" t="n"/>
      <c r="AW306" s="49" t="inlineStr">
        <is>
          <t>IF(OR(F306="",AJ306=""),"",IF(COUNT(AI306:AI306)=0,"",AJ306-LOOKUP(2,1/(AI306:AI306&lt;&gt;""),AI306:AI306)))</t>
        </is>
      </c>
      <c r="AX306" s="49" t="inlineStr">
        <is>
          <t>IF(OR(F306="",AK306=""),"",IF(COUNT(AI306:AJ306)=0,"",AK306-LOOKUP(2,1/(AI306:AJ306&lt;&gt;""),AI306:AJ306)))</t>
        </is>
      </c>
      <c r="AY306" s="49" t="inlineStr">
        <is>
          <t>IF(OR(F306="",AL306=""),"",IF(COUNT(AI306:AK306)=0,"",AL306-LOOKUP(2,1/(AI306:AK306&lt;&gt;""),AI306:AK306)))</t>
        </is>
      </c>
      <c r="AZ306" s="49" t="inlineStr">
        <is>
          <t>IF(OR(F306="",AM306=""),"",IF(COUNT(AI306:AL306)=0,"",AM306-LOOKUP(2,1/(AI306:AL306&lt;&gt;""),AI306:AL306)))</t>
        </is>
      </c>
      <c r="BA306" s="49" t="inlineStr">
        <is>
          <t>IF(OR(F306="",AN306=""),"",IF(COUNT(AI306:AM306)=0,"",AN306-LOOKUP(2,1/(AI306:AM306&lt;&gt;""),AI306:AM306)))</t>
        </is>
      </c>
      <c r="BB306" s="49" t="inlineStr">
        <is>
          <t>IF(OR(F306="",AO306=""),"",IF(COUNT(AI306:AN306)=0,"",AO306-LOOKUP(2,1/(AI306:AN306&lt;&gt;""),AI306:AN306)))</t>
        </is>
      </c>
      <c r="BC306" s="49" t="inlineStr">
        <is>
          <t>IF(OR(F306="",AP306=""),"",IF(COUNT(AI306:AO306)=0,"",AP306-LOOKUP(2,1/(AI306:AO306&lt;&gt;""),AI306:AO306)))</t>
        </is>
      </c>
      <c r="BD306" s="49" t="inlineStr">
        <is>
          <t>IF(OR(F306="",AQ306=""),"",IF(COUNT(AI306:AP306)=0,"",AQ306-LOOKUP(2,1/(AI306:AP306&lt;&gt;""),AI306:AP306)))</t>
        </is>
      </c>
      <c r="BE306" s="49" t="inlineStr">
        <is>
          <t>IF(OR(F306="",AR306=""),"",IF(COUNT(AI306:AQ306)=0,"",AR306-LOOKUP(2,1/(AI306:AQ306&lt;&gt;""),AI306:AQ306)))</t>
        </is>
      </c>
      <c r="BF306" s="49" t="inlineStr">
        <is>
          <t>IF(OR(F306="",AS306=""),"",IF(COUNT(AI306:AR306)=0,"",AS306-LOOKUP(2,1/(AI306:AR306&lt;&gt;""),AI306:AR306)))</t>
        </is>
      </c>
      <c r="BG306" s="49" t="inlineStr">
        <is>
          <t>IF(OR(F306="",AT306=""),"",IF(COUNT(AI306:AS306)=0,"",AT306-LOOKUP(2,1/(AI306:AS306&lt;&gt;""),AI306:AS306)))</t>
        </is>
      </c>
      <c r="BH306" s="49" t="inlineStr">
        <is>
          <t>IF(OR(F306="",AU306=""),"",IF(COUNT(AI306:AT306)=0,"",AU306-LOOKUP(2,1/(AI306:AT306&lt;&gt;""),AI306:AT306)))</t>
        </is>
      </c>
      <c r="BI306" s="49" t="inlineStr">
        <is>
          <t>IF(OR(F306="",AV306=""),"",IF(COUNT(AI306:AU306)=0,"",AV306-LOOKUP(2,1/(AI306:AU306&lt;&gt;""),AI306:AU306)))</t>
        </is>
      </c>
      <c r="BJ306" s="51" t="inlineStr">
        <is>
          <t>IF(J306="","All_Provinces",IFERROR(VLOOKUP(J306,'09_Lookups'!$A$4:$B$20,2,FALSE),"All_Provinces"))</t>
        </is>
      </c>
      <c r="BK306" s="51" t="inlineStr">
        <is>
          <t>IF(K306="","All_Districts",IFERROR(VLOOKUP(K306,'09_Lookups'!$E$4:$F$42,2,FALSE),"All_Districts"))</t>
        </is>
      </c>
    </row>
    <row r="307" ht="18" customHeight="1">
      <c r="A307" s="42" t="inlineStr">
        <is>
          <t>IF(F307="","",ROW()-3)</t>
        </is>
      </c>
      <c r="B307" s="44" t="n"/>
      <c r="C307" s="44" t="n"/>
      <c r="D307" s="44" t="n"/>
      <c r="E307" s="44" t="n"/>
      <c r="F307" s="44" t="n"/>
      <c r="G307" s="44" t="n"/>
      <c r="H307" s="44" t="n"/>
      <c r="I307" s="44" t="n"/>
      <c r="J307" s="44" t="n"/>
      <c r="K307" s="44" t="n"/>
      <c r="L307" s="44" t="n"/>
      <c r="M307" s="44" t="n"/>
      <c r="N307" s="44" t="n"/>
      <c r="O307" s="44" t="n"/>
      <c r="P307" s="44" t="n"/>
      <c r="Q307" s="44" t="n"/>
      <c r="R307" s="44" t="n"/>
      <c r="S307" s="45" t="n"/>
      <c r="T307" s="46" t="inlineStr">
        <is>
          <t>IF(AQ307="","",AQ307)</t>
        </is>
      </c>
      <c r="U307" s="47" t="n"/>
      <c r="V307" s="48" t="n"/>
      <c r="W307" s="47" t="n"/>
      <c r="X307" s="46" t="inlineStr">
        <is>
          <t>IF(W307&lt;&gt;"",W307,IF(OR(T307="",V307=""),"",EDATE(T307,V307)))</t>
        </is>
      </c>
      <c r="Y307" s="47" t="n"/>
      <c r="Z307" s="48" t="n"/>
      <c r="AA307" s="44" t="n"/>
      <c r="AB307" s="44" t="n"/>
      <c r="AC307" s="42" t="inlineStr">
        <is>
          <t>IF(F307="","",IF(COUNT(AI307:AV307)=0,IF(AA307="","Not started",AA307),SUBSTITUTE(LOOKUP(2,1/(AI307:AV307&lt;&gt;""),$AI$3:$AV$3),"Date: ","")))</t>
        </is>
      </c>
      <c r="AD307" s="49" t="inlineStr">
        <is>
          <t>IF(OR(F307="",COUNT(AI307:AV307)=0),"",TODAY()-LOOKUP(2,1/(AI307:AV307&lt;&gt;""),AI307:AV307))</t>
        </is>
      </c>
      <c r="AE307" s="49" t="inlineStr">
        <is>
          <t>IF(OR(F307="",COUNT(AI307:AV307)&lt;2),"",LOOKUP(2,1/(AI307:AV307&lt;&gt;""),AI307:AV307)-MIN(AI307:AV307))</t>
        </is>
      </c>
      <c r="AF307" s="49" t="inlineStr">
        <is>
          <t>IF(OR(AD307="",AC307="Not started",AC307=""),"",IFERROR(AD307-IF(VLOOKUP(AC307,'06_Status_Pipeline'!$B$3:$E$20,4,FALSE)="",0,VLOOKUP(AC307,'06_Status_Pipeline'!$B$3:$E$20,4,FALSE)),""))</t>
        </is>
      </c>
      <c r="AG307" s="4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49" t="inlineStr">
        <is>
          <t>IF(OR(F307="",AC307="Completed / Handover",AC307="Cancelled"),"",IF(O307="Not awarded",IF(U307&lt;&gt;"",U307-TODAY(),IF(X307="","",X307-TODAY())),IF(X307="","",X307-TODAY())))</t>
        </is>
      </c>
      <c r="AI307" s="47" t="n"/>
      <c r="AJ307" s="47" t="n"/>
      <c r="AK307" s="47" t="n"/>
      <c r="AL307" s="47" t="n"/>
      <c r="AM307" s="47" t="n"/>
      <c r="AN307" s="47" t="n"/>
      <c r="AO307" s="47" t="n"/>
      <c r="AP307" s="47" t="n"/>
      <c r="AQ307" s="47" t="n"/>
      <c r="AR307" s="47" t="n"/>
      <c r="AS307" s="47" t="n"/>
      <c r="AT307" s="50" t="n"/>
      <c r="AU307" s="50" t="n"/>
      <c r="AV307" s="50" t="n"/>
      <c r="AW307" s="49" t="inlineStr">
        <is>
          <t>IF(OR(F307="",AJ307=""),"",IF(COUNT(AI307:AI307)=0,"",AJ307-LOOKUP(2,1/(AI307:AI307&lt;&gt;""),AI307:AI307)))</t>
        </is>
      </c>
      <c r="AX307" s="49" t="inlineStr">
        <is>
          <t>IF(OR(F307="",AK307=""),"",IF(COUNT(AI307:AJ307)=0,"",AK307-LOOKUP(2,1/(AI307:AJ307&lt;&gt;""),AI307:AJ307)))</t>
        </is>
      </c>
      <c r="AY307" s="49" t="inlineStr">
        <is>
          <t>IF(OR(F307="",AL307=""),"",IF(COUNT(AI307:AK307)=0,"",AL307-LOOKUP(2,1/(AI307:AK307&lt;&gt;""),AI307:AK307)))</t>
        </is>
      </c>
      <c r="AZ307" s="49" t="inlineStr">
        <is>
          <t>IF(OR(F307="",AM307=""),"",IF(COUNT(AI307:AL307)=0,"",AM307-LOOKUP(2,1/(AI307:AL307&lt;&gt;""),AI307:AL307)))</t>
        </is>
      </c>
      <c r="BA307" s="49" t="inlineStr">
        <is>
          <t>IF(OR(F307="",AN307=""),"",IF(COUNT(AI307:AM307)=0,"",AN307-LOOKUP(2,1/(AI307:AM307&lt;&gt;""),AI307:AM307)))</t>
        </is>
      </c>
      <c r="BB307" s="49" t="inlineStr">
        <is>
          <t>IF(OR(F307="",AO307=""),"",IF(COUNT(AI307:AN307)=0,"",AO307-LOOKUP(2,1/(AI307:AN307&lt;&gt;""),AI307:AN307)))</t>
        </is>
      </c>
      <c r="BC307" s="49" t="inlineStr">
        <is>
          <t>IF(OR(F307="",AP307=""),"",IF(COUNT(AI307:AO307)=0,"",AP307-LOOKUP(2,1/(AI307:AO307&lt;&gt;""),AI307:AO307)))</t>
        </is>
      </c>
      <c r="BD307" s="49" t="inlineStr">
        <is>
          <t>IF(OR(F307="",AQ307=""),"",IF(COUNT(AI307:AP307)=0,"",AQ307-LOOKUP(2,1/(AI307:AP307&lt;&gt;""),AI307:AP307)))</t>
        </is>
      </c>
      <c r="BE307" s="49" t="inlineStr">
        <is>
          <t>IF(OR(F307="",AR307=""),"",IF(COUNT(AI307:AQ307)=0,"",AR307-LOOKUP(2,1/(AI307:AQ307&lt;&gt;""),AI307:AQ307)))</t>
        </is>
      </c>
      <c r="BF307" s="49" t="inlineStr">
        <is>
          <t>IF(OR(F307="",AS307=""),"",IF(COUNT(AI307:AR307)=0,"",AS307-LOOKUP(2,1/(AI307:AR307&lt;&gt;""),AI307:AR307)))</t>
        </is>
      </c>
      <c r="BG307" s="49" t="inlineStr">
        <is>
          <t>IF(OR(F307="",AT307=""),"",IF(COUNT(AI307:AS307)=0,"",AT307-LOOKUP(2,1/(AI307:AS307&lt;&gt;""),AI307:AS307)))</t>
        </is>
      </c>
      <c r="BH307" s="49" t="inlineStr">
        <is>
          <t>IF(OR(F307="",AU307=""),"",IF(COUNT(AI307:AT307)=0,"",AU307-LOOKUP(2,1/(AI307:AT307&lt;&gt;""),AI307:AT307)))</t>
        </is>
      </c>
      <c r="BI307" s="49" t="inlineStr">
        <is>
          <t>IF(OR(F307="",AV307=""),"",IF(COUNT(AI307:AU307)=0,"",AV307-LOOKUP(2,1/(AI307:AU307&lt;&gt;""),AI307:AU307)))</t>
        </is>
      </c>
      <c r="BJ307" s="51" t="inlineStr">
        <is>
          <t>IF(J307="","All_Provinces",IFERROR(VLOOKUP(J307,'09_Lookups'!$A$4:$B$20,2,FALSE),"All_Provinces"))</t>
        </is>
      </c>
      <c r="BK307" s="51" t="inlineStr">
        <is>
          <t>IF(K307="","All_Districts",IFERROR(VLOOKUP(K307,'09_Lookups'!$E$4:$F$42,2,FALSE),"All_Districts"))</t>
        </is>
      </c>
    </row>
    <row r="308" ht="18" customHeight="1">
      <c r="A308" s="42" t="inlineStr">
        <is>
          <t>IF(F308="","",ROW()-3)</t>
        </is>
      </c>
      <c r="B308" s="52" t="n"/>
      <c r="C308" s="52" t="n"/>
      <c r="D308" s="52" t="n"/>
      <c r="E308" s="52" t="n"/>
      <c r="F308" s="52" t="n"/>
      <c r="G308" s="52" t="n"/>
      <c r="H308" s="52" t="n"/>
      <c r="I308" s="52" t="n"/>
      <c r="J308" s="52" t="n"/>
      <c r="K308" s="52" t="n"/>
      <c r="L308" s="52" t="n"/>
      <c r="M308" s="52" t="n"/>
      <c r="N308" s="52" t="n"/>
      <c r="O308" s="52" t="n"/>
      <c r="P308" s="52" t="n"/>
      <c r="Q308" s="52" t="n"/>
      <c r="R308" s="52" t="n"/>
      <c r="S308" s="53" t="n"/>
      <c r="T308" s="46" t="inlineStr">
        <is>
          <t>IF(AQ308="","",AQ308)</t>
        </is>
      </c>
      <c r="U308" s="54" t="n"/>
      <c r="V308" s="55" t="n"/>
      <c r="W308" s="54" t="n"/>
      <c r="X308" s="46" t="inlineStr">
        <is>
          <t>IF(W308&lt;&gt;"",W308,IF(OR(T308="",V308=""),"",EDATE(T308,V308)))</t>
        </is>
      </c>
      <c r="Y308" s="54" t="n"/>
      <c r="Z308" s="55" t="n"/>
      <c r="AA308" s="52" t="n"/>
      <c r="AB308" s="52" t="n"/>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54" t="n"/>
      <c r="AJ308" s="54" t="n"/>
      <c r="AK308" s="54" t="n"/>
      <c r="AL308" s="54" t="n"/>
      <c r="AM308" s="54" t="n"/>
      <c r="AN308" s="54" t="n"/>
      <c r="AO308" s="54" t="n"/>
      <c r="AP308" s="54" t="n"/>
      <c r="AQ308" s="54" t="n"/>
      <c r="AR308" s="54" t="n"/>
      <c r="AS308" s="54" t="n"/>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ht="18" customHeight="1">
      <c r="A309" s="42" t="inlineStr">
        <is>
          <t>IF(F309="","",ROW()-3)</t>
        </is>
      </c>
      <c r="B309" s="44" t="n"/>
      <c r="C309" s="44" t="n"/>
      <c r="D309" s="44" t="n"/>
      <c r="E309" s="44" t="n"/>
      <c r="F309" s="44" t="n"/>
      <c r="G309" s="44" t="n"/>
      <c r="H309" s="44" t="n"/>
      <c r="I309" s="44" t="n"/>
      <c r="J309" s="44" t="n"/>
      <c r="K309" s="44" t="n"/>
      <c r="L309" s="44" t="n"/>
      <c r="M309" s="44" t="n"/>
      <c r="N309" s="44" t="n"/>
      <c r="O309" s="44" t="n"/>
      <c r="P309" s="44" t="n"/>
      <c r="Q309" s="44" t="n"/>
      <c r="R309" s="44" t="n"/>
      <c r="S309" s="45" t="n"/>
      <c r="T309" s="46" t="inlineStr">
        <is>
          <t>IF(AQ309="","",AQ309)</t>
        </is>
      </c>
      <c r="U309" s="47" t="n"/>
      <c r="V309" s="48" t="n"/>
      <c r="W309" s="47" t="n"/>
      <c r="X309" s="46" t="inlineStr">
        <is>
          <t>IF(W309&lt;&gt;"",W309,IF(OR(T309="",V309=""),"",EDATE(T309,V309)))</t>
        </is>
      </c>
      <c r="Y309" s="47" t="n"/>
      <c r="Z309" s="48" t="n"/>
      <c r="AA309" s="44" t="n"/>
      <c r="AB309" s="44" t="n"/>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47" t="n"/>
      <c r="AJ309" s="47" t="n"/>
      <c r="AK309" s="47" t="n"/>
      <c r="AL309" s="47" t="n"/>
      <c r="AM309" s="47" t="n"/>
      <c r="AN309" s="47" t="n"/>
      <c r="AO309" s="47" t="n"/>
      <c r="AP309" s="47" t="n"/>
      <c r="AQ309" s="47" t="n"/>
      <c r="AR309" s="47" t="n"/>
      <c r="AS309" s="4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ht="18" customHeight="1">
      <c r="A310" s="42" t="inlineStr">
        <is>
          <t>IF(F310="","",ROW()-3)</t>
        </is>
      </c>
      <c r="B310" s="52" t="n"/>
      <c r="C310" s="52" t="n"/>
      <c r="D310" s="52" t="n"/>
      <c r="E310" s="52" t="n"/>
      <c r="F310" s="52" t="n"/>
      <c r="G310" s="52" t="n"/>
      <c r="H310" s="52" t="n"/>
      <c r="I310" s="52" t="n"/>
      <c r="J310" s="52" t="n"/>
      <c r="K310" s="52" t="n"/>
      <c r="L310" s="52" t="n"/>
      <c r="M310" s="52" t="n"/>
      <c r="N310" s="52" t="n"/>
      <c r="O310" s="52" t="n"/>
      <c r="P310" s="52" t="n"/>
      <c r="Q310" s="52" t="n"/>
      <c r="R310" s="52" t="n"/>
      <c r="S310" s="53" t="n"/>
      <c r="T310" s="46" t="inlineStr">
        <is>
          <t>IF(AQ310="","",AQ310)</t>
        </is>
      </c>
      <c r="U310" s="54" t="n"/>
      <c r="V310" s="55" t="n"/>
      <c r="W310" s="54" t="n"/>
      <c r="X310" s="46" t="inlineStr">
        <is>
          <t>IF(W310&lt;&gt;"",W310,IF(OR(T310="",V310=""),"",EDATE(T310,V310)))</t>
        </is>
      </c>
      <c r="Y310" s="54" t="n"/>
      <c r="Z310" s="55" t="n"/>
      <c r="AA310" s="52" t="n"/>
      <c r="AB310" s="52" t="n"/>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54" t="n"/>
      <c r="AJ310" s="54" t="n"/>
      <c r="AK310" s="54" t="n"/>
      <c r="AL310" s="54" t="n"/>
      <c r="AM310" s="54" t="n"/>
      <c r="AN310" s="54" t="n"/>
      <c r="AO310" s="54" t="n"/>
      <c r="AP310" s="54" t="n"/>
      <c r="AQ310" s="54" t="n"/>
      <c r="AR310" s="54" t="n"/>
      <c r="AS310" s="54"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42" t="inlineStr">
        <is>
          <t>IF(F311="","",ROW()-3)</t>
        </is>
      </c>
      <c r="B311" s="44" t="n"/>
      <c r="C311" s="44" t="n"/>
      <c r="D311" s="44" t="n"/>
      <c r="E311" s="44" t="n"/>
      <c r="F311" s="44" t="n"/>
      <c r="G311" s="44" t="n"/>
      <c r="H311" s="44" t="n"/>
      <c r="I311" s="44" t="n"/>
      <c r="J311" s="44" t="n"/>
      <c r="K311" s="44" t="n"/>
      <c r="L311" s="44" t="n"/>
      <c r="M311" s="44" t="n"/>
      <c r="N311" s="44" t="n"/>
      <c r="O311" s="44" t="n"/>
      <c r="P311" s="44" t="n"/>
      <c r="Q311" s="44" t="n"/>
      <c r="R311" s="44" t="n"/>
      <c r="S311" s="45" t="n"/>
      <c r="T311" s="46" t="inlineStr">
        <is>
          <t>IF(AQ311="","",AQ311)</t>
        </is>
      </c>
      <c r="U311" s="47" t="n"/>
      <c r="V311" s="48" t="n"/>
      <c r="W311" s="47" t="n"/>
      <c r="X311" s="46" t="inlineStr">
        <is>
          <t>IF(W311&lt;&gt;"",W311,IF(OR(T311="",V311=""),"",EDATE(T311,V311)))</t>
        </is>
      </c>
      <c r="Y311" s="47" t="n"/>
      <c r="Z311" s="48" t="n"/>
      <c r="AA311" s="44" t="n"/>
      <c r="AB311" s="44" t="n"/>
      <c r="AC311" s="42" t="inlineStr">
        <is>
          <t>IF(F311="","",IF(COUNT(AI311:AV311)=0,IF(AA311="","Not started",AA311),SUBSTITUTE(LOOKUP(2,1/(AI311:AV311&lt;&gt;""),$AI$3:$AV$3),"Date: ","")))</t>
        </is>
      </c>
      <c r="AD311" s="49" t="inlineStr">
        <is>
          <t>IF(OR(F311="",COUNT(AI311:AV311)=0),"",TODAY()-LOOKUP(2,1/(AI311:AV311&lt;&gt;""),AI311:AV311))</t>
        </is>
      </c>
      <c r="AE311" s="49" t="inlineStr">
        <is>
          <t>IF(OR(F311="",COUNT(AI311:AV311)&lt;2),"",LOOKUP(2,1/(AI311:AV311&lt;&gt;""),AI311:AV311)-MIN(AI311:AV311))</t>
        </is>
      </c>
      <c r="AF311" s="49" t="inlineStr">
        <is>
          <t>IF(OR(AD311="",AC311="Not started",AC311=""),"",IFERROR(AD311-IF(VLOOKUP(AC311,'06_Status_Pipeline'!$B$3:$E$20,4,FALSE)="",0,VLOOKUP(AC311,'06_Status_Pipeline'!$B$3:$E$20,4,FALSE)),""))</t>
        </is>
      </c>
      <c r="AG311" s="4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49" t="inlineStr">
        <is>
          <t>IF(OR(F311="",AC311="Completed / Handover",AC311="Cancelled"),"",IF(O311="Not awarded",IF(U311&lt;&gt;"",U311-TODAY(),IF(X311="","",X311-TODAY())),IF(X311="","",X311-TODAY())))</t>
        </is>
      </c>
      <c r="AI311" s="47" t="n"/>
      <c r="AJ311" s="47" t="n"/>
      <c r="AK311" s="47" t="n"/>
      <c r="AL311" s="47" t="n"/>
      <c r="AM311" s="47" t="n"/>
      <c r="AN311" s="47" t="n"/>
      <c r="AO311" s="47" t="n"/>
      <c r="AP311" s="47" t="n"/>
      <c r="AQ311" s="47" t="n"/>
      <c r="AR311" s="47" t="n"/>
      <c r="AS311" s="47" t="n"/>
      <c r="AT311" s="50" t="n"/>
      <c r="AU311" s="50" t="n"/>
      <c r="AV311" s="50" t="n"/>
      <c r="AW311" s="49" t="inlineStr">
        <is>
          <t>IF(OR(F311="",AJ311=""),"",IF(COUNT(AI311:AI311)=0,"",AJ311-LOOKUP(2,1/(AI311:AI311&lt;&gt;""),AI311:AI311)))</t>
        </is>
      </c>
      <c r="AX311" s="49" t="inlineStr">
        <is>
          <t>IF(OR(F311="",AK311=""),"",IF(COUNT(AI311:AJ311)=0,"",AK311-LOOKUP(2,1/(AI311:AJ311&lt;&gt;""),AI311:AJ311)))</t>
        </is>
      </c>
      <c r="AY311" s="49" t="inlineStr">
        <is>
          <t>IF(OR(F311="",AL311=""),"",IF(COUNT(AI311:AK311)=0,"",AL311-LOOKUP(2,1/(AI311:AK311&lt;&gt;""),AI311:AK311)))</t>
        </is>
      </c>
      <c r="AZ311" s="49" t="inlineStr">
        <is>
          <t>IF(OR(F311="",AM311=""),"",IF(COUNT(AI311:AL311)=0,"",AM311-LOOKUP(2,1/(AI311:AL311&lt;&gt;""),AI311:AL311)))</t>
        </is>
      </c>
      <c r="BA311" s="49" t="inlineStr">
        <is>
          <t>IF(OR(F311="",AN311=""),"",IF(COUNT(AI311:AM311)=0,"",AN311-LOOKUP(2,1/(AI311:AM311&lt;&gt;""),AI311:AM311)))</t>
        </is>
      </c>
      <c r="BB311" s="49" t="inlineStr">
        <is>
          <t>IF(OR(F311="",AO311=""),"",IF(COUNT(AI311:AN311)=0,"",AO311-LOOKUP(2,1/(AI311:AN311&lt;&gt;""),AI311:AN311)))</t>
        </is>
      </c>
      <c r="BC311" s="49" t="inlineStr">
        <is>
          <t>IF(OR(F311="",AP311=""),"",IF(COUNT(AI311:AO311)=0,"",AP311-LOOKUP(2,1/(AI311:AO311&lt;&gt;""),AI311:AO311)))</t>
        </is>
      </c>
      <c r="BD311" s="49" t="inlineStr">
        <is>
          <t>IF(OR(F311="",AQ311=""),"",IF(COUNT(AI311:AP311)=0,"",AQ311-LOOKUP(2,1/(AI311:AP311&lt;&gt;""),AI311:AP311)))</t>
        </is>
      </c>
      <c r="BE311" s="49" t="inlineStr">
        <is>
          <t>IF(OR(F311="",AR311=""),"",IF(COUNT(AI311:AQ311)=0,"",AR311-LOOKUP(2,1/(AI311:AQ311&lt;&gt;""),AI311:AQ311)))</t>
        </is>
      </c>
      <c r="BF311" s="49" t="inlineStr">
        <is>
          <t>IF(OR(F311="",AS311=""),"",IF(COUNT(AI311:AR311)=0,"",AS311-LOOKUP(2,1/(AI311:AR311&lt;&gt;""),AI311:AR311)))</t>
        </is>
      </c>
      <c r="BG311" s="49" t="inlineStr">
        <is>
          <t>IF(OR(F311="",AT311=""),"",IF(COUNT(AI311:AS311)=0,"",AT311-LOOKUP(2,1/(AI311:AS311&lt;&gt;""),AI311:AS311)))</t>
        </is>
      </c>
      <c r="BH311" s="49" t="inlineStr">
        <is>
          <t>IF(OR(F311="",AU311=""),"",IF(COUNT(AI311:AT311)=0,"",AU311-LOOKUP(2,1/(AI311:AT311&lt;&gt;""),AI311:AT311)))</t>
        </is>
      </c>
      <c r="BI311" s="49" t="inlineStr">
        <is>
          <t>IF(OR(F311="",AV311=""),"",IF(COUNT(AI311:AU311)=0,"",AV311-LOOKUP(2,1/(AI311:AU311&lt;&gt;""),AI311:AU311)))</t>
        </is>
      </c>
      <c r="BJ311" s="51" t="inlineStr">
        <is>
          <t>IF(J311="","All_Provinces",IFERROR(VLOOKUP(J311,'09_Lookups'!$A$4:$B$20,2,FALSE),"All_Provinces"))</t>
        </is>
      </c>
      <c r="BK311" s="51" t="inlineStr">
        <is>
          <t>IF(K311="","All_Districts",IFERROR(VLOOKUP(K311,'09_Lookups'!$E$4:$F$42,2,FALSE),"All_Districts"))</t>
        </is>
      </c>
    </row>
    <row r="312" ht="18" customHeight="1">
      <c r="A312" s="42" t="inlineStr">
        <is>
          <t>IF(F312="","",ROW()-3)</t>
        </is>
      </c>
      <c r="B312" s="52" t="n"/>
      <c r="C312" s="52" t="n"/>
      <c r="D312" s="52" t="n"/>
      <c r="E312" s="52" t="n"/>
      <c r="F312" s="52" t="n"/>
      <c r="G312" s="52" t="n"/>
      <c r="H312" s="52" t="n"/>
      <c r="I312" s="52" t="n"/>
      <c r="J312" s="52" t="n"/>
      <c r="K312" s="52" t="n"/>
      <c r="L312" s="52" t="n"/>
      <c r="M312" s="52" t="n"/>
      <c r="N312" s="52" t="n"/>
      <c r="O312" s="52" t="n"/>
      <c r="P312" s="52" t="n"/>
      <c r="Q312" s="52" t="n"/>
      <c r="R312" s="52" t="n"/>
      <c r="S312" s="53" t="n"/>
      <c r="T312" s="46" t="inlineStr">
        <is>
          <t>IF(AQ312="","",AQ312)</t>
        </is>
      </c>
      <c r="U312" s="54" t="n"/>
      <c r="V312" s="55" t="n"/>
      <c r="W312" s="54" t="n"/>
      <c r="X312" s="46" t="inlineStr">
        <is>
          <t>IF(W312&lt;&gt;"",W312,IF(OR(T312="",V312=""),"",EDATE(T312,V312)))</t>
        </is>
      </c>
      <c r="Y312" s="54" t="n"/>
      <c r="Z312" s="55" t="n"/>
      <c r="AA312" s="52" t="n"/>
      <c r="AB312" s="52" t="n"/>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ht="18" customHeight="1">
      <c r="A313" s="42" t="inlineStr">
        <is>
          <t>IF(F313="","",ROW()-3)</t>
        </is>
      </c>
      <c r="B313" s="44" t="n"/>
      <c r="C313" s="44" t="n"/>
      <c r="D313" s="44" t="n"/>
      <c r="E313" s="44" t="n"/>
      <c r="F313" s="44" t="n"/>
      <c r="G313" s="44" t="n"/>
      <c r="H313" s="44" t="n"/>
      <c r="I313" s="44" t="n"/>
      <c r="J313" s="44" t="n"/>
      <c r="K313" s="44" t="n"/>
      <c r="L313" s="44" t="n"/>
      <c r="M313" s="44" t="n"/>
      <c r="N313" s="44" t="n"/>
      <c r="O313" s="44" t="n"/>
      <c r="P313" s="44" t="n"/>
      <c r="Q313" s="44" t="n"/>
      <c r="R313" s="44" t="n"/>
      <c r="S313" s="45" t="n"/>
      <c r="T313" s="46" t="inlineStr">
        <is>
          <t>IF(AQ313="","",AQ313)</t>
        </is>
      </c>
      <c r="U313" s="47" t="n"/>
      <c r="V313" s="48" t="n"/>
      <c r="W313" s="47" t="n"/>
      <c r="X313" s="46" t="inlineStr">
        <is>
          <t>IF(W313&lt;&gt;"",W313,IF(OR(T313="",V313=""),"",EDATE(T313,V313)))</t>
        </is>
      </c>
      <c r="Y313" s="47" t="n"/>
      <c r="Z313" s="48" t="n"/>
      <c r="AA313" s="44" t="n"/>
      <c r="AB313" s="44" t="n"/>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ht="18" customHeight="1">
      <c r="A314" s="42" t="inlineStr">
        <is>
          <t>IF(F314="","",ROW()-3)</t>
        </is>
      </c>
      <c r="B314" s="52" t="n"/>
      <c r="C314" s="52" t="n"/>
      <c r="D314" s="52" t="n"/>
      <c r="E314" s="52" t="n"/>
      <c r="F314" s="52" t="n"/>
      <c r="G314" s="52" t="n"/>
      <c r="H314" s="52" t="n"/>
      <c r="I314" s="52" t="n"/>
      <c r="J314" s="52" t="n"/>
      <c r="K314" s="52" t="n"/>
      <c r="L314" s="52" t="n"/>
      <c r="M314" s="52" t="n"/>
      <c r="N314" s="52" t="n"/>
      <c r="O314" s="52" t="n"/>
      <c r="P314" s="52" t="n"/>
      <c r="Q314" s="52" t="n"/>
      <c r="R314" s="52" t="n"/>
      <c r="S314" s="53" t="n"/>
      <c r="T314" s="46" t="inlineStr">
        <is>
          <t>IF(AQ314="","",AQ314)</t>
        </is>
      </c>
      <c r="U314" s="54" t="n"/>
      <c r="V314" s="55" t="n"/>
      <c r="W314" s="54" t="n"/>
      <c r="X314" s="46" t="inlineStr">
        <is>
          <t>IF(W314&lt;&gt;"",W314,IF(OR(T314="",V314=""),"",EDATE(T314,V314)))</t>
        </is>
      </c>
      <c r="Y314" s="54" t="n"/>
      <c r="Z314" s="55" t="n"/>
      <c r="AA314" s="52" t="n"/>
      <c r="AB314" s="52" t="n"/>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ht="18" customHeight="1">
      <c r="A315" s="42" t="inlineStr">
        <is>
          <t>IF(F315="","",ROW()-3)</t>
        </is>
      </c>
      <c r="B315" s="44" t="n"/>
      <c r="C315" s="44" t="n"/>
      <c r="D315" s="44" t="n"/>
      <c r="E315" s="44" t="n"/>
      <c r="F315" s="44" t="n"/>
      <c r="G315" s="44" t="n"/>
      <c r="H315" s="44" t="n"/>
      <c r="I315" s="44" t="n"/>
      <c r="J315" s="44" t="n"/>
      <c r="K315" s="44" t="n"/>
      <c r="L315" s="44" t="n"/>
      <c r="M315" s="44" t="n"/>
      <c r="N315" s="44" t="n"/>
      <c r="O315" s="44" t="n"/>
      <c r="P315" s="44" t="n"/>
      <c r="Q315" s="44" t="n"/>
      <c r="R315" s="44" t="n"/>
      <c r="S315" s="45" t="n"/>
      <c r="T315" s="46" t="inlineStr">
        <is>
          <t>IF(AQ315="","",AQ315)</t>
        </is>
      </c>
      <c r="U315" s="47" t="n"/>
      <c r="V315" s="48" t="n"/>
      <c r="W315" s="47" t="n"/>
      <c r="X315" s="46" t="inlineStr">
        <is>
          <t>IF(W315&lt;&gt;"",W315,IF(OR(T315="",V315=""),"",EDATE(T315,V315)))</t>
        </is>
      </c>
      <c r="Y315" s="47" t="n"/>
      <c r="Z315" s="48" t="n"/>
      <c r="AA315" s="44" t="n"/>
      <c r="AB315" s="44" t="n"/>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42" t="inlineStr">
        <is>
          <t>IF(F316="","",ROW()-3)</t>
        </is>
      </c>
      <c r="B316" s="52" t="n"/>
      <c r="C316" s="52" t="n"/>
      <c r="D316" s="52" t="n"/>
      <c r="E316" s="52" t="n"/>
      <c r="F316" s="52" t="n"/>
      <c r="G316" s="52" t="n"/>
      <c r="H316" s="52" t="n"/>
      <c r="I316" s="52" t="n"/>
      <c r="J316" s="52" t="n"/>
      <c r="K316" s="52" t="n"/>
      <c r="L316" s="52" t="n"/>
      <c r="M316" s="52" t="n"/>
      <c r="N316" s="52" t="n"/>
      <c r="O316" s="52" t="n"/>
      <c r="P316" s="52" t="n"/>
      <c r="Q316" s="52" t="n"/>
      <c r="R316" s="52" t="n"/>
      <c r="S316" s="53" t="n"/>
      <c r="T316" s="46" t="inlineStr">
        <is>
          <t>IF(AQ316="","",AQ316)</t>
        </is>
      </c>
      <c r="U316" s="54" t="n"/>
      <c r="V316" s="55" t="n"/>
      <c r="W316" s="54" t="n"/>
      <c r="X316" s="46" t="inlineStr">
        <is>
          <t>IF(W316&lt;&gt;"",W316,IF(OR(T316="",V316=""),"",EDATE(T316,V316)))</t>
        </is>
      </c>
      <c r="Y316" s="54" t="n"/>
      <c r="Z316" s="55" t="n"/>
      <c r="AA316" s="52" t="n"/>
      <c r="AB316" s="52" t="n"/>
      <c r="AC316" s="42" t="inlineStr">
        <is>
          <t>IF(F316="","",IF(COUNT(AI316:AV316)=0,IF(AA316="","Not started",AA316),SUBSTITUTE(LOOKUP(2,1/(AI316:AV316&lt;&gt;""),$AI$3:$AV$3),"Date: ","")))</t>
        </is>
      </c>
      <c r="AD316" s="49" t="inlineStr">
        <is>
          <t>IF(OR(F316="",COUNT(AI316:AV316)=0),"",TODAY()-LOOKUP(2,1/(AI316:AV316&lt;&gt;""),AI316:AV316))</t>
        </is>
      </c>
      <c r="AE316" s="49" t="inlineStr">
        <is>
          <t>IF(OR(F316="",COUNT(AI316:AV316)&lt;2),"",LOOKUP(2,1/(AI316:AV316&lt;&gt;""),AI316:AV316)-MIN(AI316:AV316))</t>
        </is>
      </c>
      <c r="AF316" s="49" t="inlineStr">
        <is>
          <t>IF(OR(AD316="",AC316="Not started",AC316=""),"",IFERROR(AD316-IF(VLOOKUP(AC316,'06_Status_Pipeline'!$B$3:$E$20,4,FALSE)="",0,VLOOKUP(AC316,'06_Status_Pipeline'!$B$3:$E$20,4,FALSE)),""))</t>
        </is>
      </c>
      <c r="AG316" s="4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49" t="inlineStr">
        <is>
          <t>IF(OR(F316="",AC316="Completed / Handover",AC316="Cancelled"),"",IF(O316="Not awarded",IF(U316&lt;&gt;"",U316-TODAY(),IF(X316="","",X316-TODAY())),IF(X316="","",X316-TODAY())))</t>
        </is>
      </c>
      <c r="AI316" s="54" t="n"/>
      <c r="AJ316" s="54" t="n"/>
      <c r="AK316" s="54" t="n"/>
      <c r="AL316" s="54" t="n"/>
      <c r="AM316" s="54" t="n"/>
      <c r="AN316" s="54" t="n"/>
      <c r="AO316" s="54" t="n"/>
      <c r="AP316" s="54" t="n"/>
      <c r="AQ316" s="54" t="n"/>
      <c r="AR316" s="54" t="n"/>
      <c r="AS316" s="54" t="n"/>
      <c r="AT316" s="50" t="n"/>
      <c r="AU316" s="50" t="n"/>
      <c r="AV316" s="50" t="n"/>
      <c r="AW316" s="49" t="inlineStr">
        <is>
          <t>IF(OR(F316="",AJ316=""),"",IF(COUNT(AI316:AI316)=0,"",AJ316-LOOKUP(2,1/(AI316:AI316&lt;&gt;""),AI316:AI316)))</t>
        </is>
      </c>
      <c r="AX316" s="49" t="inlineStr">
        <is>
          <t>IF(OR(F316="",AK316=""),"",IF(COUNT(AI316:AJ316)=0,"",AK316-LOOKUP(2,1/(AI316:AJ316&lt;&gt;""),AI316:AJ316)))</t>
        </is>
      </c>
      <c r="AY316" s="49" t="inlineStr">
        <is>
          <t>IF(OR(F316="",AL316=""),"",IF(COUNT(AI316:AK316)=0,"",AL316-LOOKUP(2,1/(AI316:AK316&lt;&gt;""),AI316:AK316)))</t>
        </is>
      </c>
      <c r="AZ316" s="49" t="inlineStr">
        <is>
          <t>IF(OR(F316="",AM316=""),"",IF(COUNT(AI316:AL316)=0,"",AM316-LOOKUP(2,1/(AI316:AL316&lt;&gt;""),AI316:AL316)))</t>
        </is>
      </c>
      <c r="BA316" s="49" t="inlineStr">
        <is>
          <t>IF(OR(F316="",AN316=""),"",IF(COUNT(AI316:AM316)=0,"",AN316-LOOKUP(2,1/(AI316:AM316&lt;&gt;""),AI316:AM316)))</t>
        </is>
      </c>
      <c r="BB316" s="49" t="inlineStr">
        <is>
          <t>IF(OR(F316="",AO316=""),"",IF(COUNT(AI316:AN316)=0,"",AO316-LOOKUP(2,1/(AI316:AN316&lt;&gt;""),AI316:AN316)))</t>
        </is>
      </c>
      <c r="BC316" s="49" t="inlineStr">
        <is>
          <t>IF(OR(F316="",AP316=""),"",IF(COUNT(AI316:AO316)=0,"",AP316-LOOKUP(2,1/(AI316:AO316&lt;&gt;""),AI316:AO316)))</t>
        </is>
      </c>
      <c r="BD316" s="49" t="inlineStr">
        <is>
          <t>IF(OR(F316="",AQ316=""),"",IF(COUNT(AI316:AP316)=0,"",AQ316-LOOKUP(2,1/(AI316:AP316&lt;&gt;""),AI316:AP316)))</t>
        </is>
      </c>
      <c r="BE316" s="49" t="inlineStr">
        <is>
          <t>IF(OR(F316="",AR316=""),"",IF(COUNT(AI316:AQ316)=0,"",AR316-LOOKUP(2,1/(AI316:AQ316&lt;&gt;""),AI316:AQ316)))</t>
        </is>
      </c>
      <c r="BF316" s="49" t="inlineStr">
        <is>
          <t>IF(OR(F316="",AS316=""),"",IF(COUNT(AI316:AR316)=0,"",AS316-LOOKUP(2,1/(AI316:AR316&lt;&gt;""),AI316:AR316)))</t>
        </is>
      </c>
      <c r="BG316" s="49" t="inlineStr">
        <is>
          <t>IF(OR(F316="",AT316=""),"",IF(COUNT(AI316:AS316)=0,"",AT316-LOOKUP(2,1/(AI316:AS316&lt;&gt;""),AI316:AS316)))</t>
        </is>
      </c>
      <c r="BH316" s="49" t="inlineStr">
        <is>
          <t>IF(OR(F316="",AU316=""),"",IF(COUNT(AI316:AT316)=0,"",AU316-LOOKUP(2,1/(AI316:AT316&lt;&gt;""),AI316:AT316)))</t>
        </is>
      </c>
      <c r="BI316" s="49" t="inlineStr">
        <is>
          <t>IF(OR(F316="",AV316=""),"",IF(COUNT(AI316:AU316)=0,"",AV316-LOOKUP(2,1/(AI316:AU316&lt;&gt;""),AI316:AU316)))</t>
        </is>
      </c>
      <c r="BJ316" s="51" t="inlineStr">
        <is>
          <t>IF(J316="","All_Provinces",IFERROR(VLOOKUP(J316,'09_Lookups'!$A$4:$B$20,2,FALSE),"All_Provinces"))</t>
        </is>
      </c>
      <c r="BK316" s="51" t="inlineStr">
        <is>
          <t>IF(K316="","All_Districts",IFERROR(VLOOKUP(K316,'09_Lookups'!$E$4:$F$42,2,FALSE),"All_Districts"))</t>
        </is>
      </c>
    </row>
    <row r="317" ht="18" customHeight="1">
      <c r="A317" s="42" t="inlineStr">
        <is>
          <t>IF(F317="","",ROW()-3)</t>
        </is>
      </c>
      <c r="B317" s="44" t="n"/>
      <c r="C317" s="44" t="n"/>
      <c r="D317" s="44" t="n"/>
      <c r="E317" s="44" t="n"/>
      <c r="F317" s="44" t="n"/>
      <c r="G317" s="44" t="n"/>
      <c r="H317" s="44" t="n"/>
      <c r="I317" s="44" t="n"/>
      <c r="J317" s="44" t="n"/>
      <c r="K317" s="44" t="n"/>
      <c r="L317" s="44" t="n"/>
      <c r="M317" s="44" t="n"/>
      <c r="N317" s="44" t="n"/>
      <c r="O317" s="44" t="n"/>
      <c r="P317" s="44" t="n"/>
      <c r="Q317" s="44" t="n"/>
      <c r="R317" s="44" t="n"/>
      <c r="S317" s="45" t="n"/>
      <c r="T317" s="46" t="inlineStr">
        <is>
          <t>IF(AQ317="","",AQ317)</t>
        </is>
      </c>
      <c r="U317" s="47" t="n"/>
      <c r="V317" s="48" t="n"/>
      <c r="W317" s="47" t="n"/>
      <c r="X317" s="46" t="inlineStr">
        <is>
          <t>IF(W317&lt;&gt;"",W317,IF(OR(T317="",V317=""),"",EDATE(T317,V317)))</t>
        </is>
      </c>
      <c r="Y317" s="47" t="n"/>
      <c r="Z317" s="48" t="n"/>
      <c r="AA317" s="44" t="n"/>
      <c r="AB317" s="44" t="n"/>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47" t="n"/>
      <c r="AJ317" s="47" t="n"/>
      <c r="AK317" s="47" t="n"/>
      <c r="AL317" s="47" t="n"/>
      <c r="AM317" s="47" t="n"/>
      <c r="AN317" s="47" t="n"/>
      <c r="AO317" s="47" t="n"/>
      <c r="AP317" s="47" t="n"/>
      <c r="AQ317" s="47" t="n"/>
      <c r="AR317" s="47" t="n"/>
      <c r="AS317" s="4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ht="18" customHeight="1">
      <c r="A318" s="42" t="inlineStr">
        <is>
          <t>IF(F318="","",ROW()-3)</t>
        </is>
      </c>
      <c r="B318" s="52" t="n"/>
      <c r="C318" s="52" t="n"/>
      <c r="D318" s="52" t="n"/>
      <c r="E318" s="52" t="n"/>
      <c r="F318" s="52" t="n"/>
      <c r="G318" s="52" t="n"/>
      <c r="H318" s="52" t="n"/>
      <c r="I318" s="52" t="n"/>
      <c r="J318" s="52" t="n"/>
      <c r="K318" s="52" t="n"/>
      <c r="L318" s="52" t="n"/>
      <c r="M318" s="52" t="n"/>
      <c r="N318" s="52" t="n"/>
      <c r="O318" s="52" t="n"/>
      <c r="P318" s="52" t="n"/>
      <c r="Q318" s="52" t="n"/>
      <c r="R318" s="52" t="n"/>
      <c r="S318" s="53" t="n"/>
      <c r="T318" s="46" t="inlineStr">
        <is>
          <t>IF(AQ318="","",AQ318)</t>
        </is>
      </c>
      <c r="U318" s="54" t="n"/>
      <c r="V318" s="55" t="n"/>
      <c r="W318" s="54" t="n"/>
      <c r="X318" s="46" t="inlineStr">
        <is>
          <t>IF(W318&lt;&gt;"",W318,IF(OR(T318="",V318=""),"",EDATE(T318,V318)))</t>
        </is>
      </c>
      <c r="Y318" s="54" t="n"/>
      <c r="Z318" s="55" t="n"/>
      <c r="AA318" s="52" t="n"/>
      <c r="AB318" s="52" t="n"/>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54" t="n"/>
      <c r="AJ318" s="54" t="n"/>
      <c r="AK318" s="54" t="n"/>
      <c r="AL318" s="54" t="n"/>
      <c r="AM318" s="54" t="n"/>
      <c r="AN318" s="54" t="n"/>
      <c r="AO318" s="54" t="n"/>
      <c r="AP318" s="54" t="n"/>
      <c r="AQ318" s="54" t="n"/>
      <c r="AR318" s="54" t="n"/>
      <c r="AS318" s="54"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ht="18" customHeight="1">
      <c r="A319" s="42" t="inlineStr">
        <is>
          <t>IF(F319="","",ROW()-3)</t>
        </is>
      </c>
      <c r="B319" s="44" t="n"/>
      <c r="C319" s="44" t="n"/>
      <c r="D319" s="44" t="n"/>
      <c r="E319" s="44" t="n"/>
      <c r="F319" s="44" t="n"/>
      <c r="G319" s="44" t="n"/>
      <c r="H319" s="44" t="n"/>
      <c r="I319" s="44" t="n"/>
      <c r="J319" s="44" t="n"/>
      <c r="K319" s="44" t="n"/>
      <c r="L319" s="44" t="n"/>
      <c r="M319" s="44" t="n"/>
      <c r="N319" s="44" t="n"/>
      <c r="O319" s="44" t="n"/>
      <c r="P319" s="44" t="n"/>
      <c r="Q319" s="44" t="n"/>
      <c r="R319" s="44" t="n"/>
      <c r="S319" s="45" t="n"/>
      <c r="T319" s="46" t="inlineStr">
        <is>
          <t>IF(AQ319="","",AQ319)</t>
        </is>
      </c>
      <c r="U319" s="47" t="n"/>
      <c r="V319" s="48" t="n"/>
      <c r="W319" s="47" t="n"/>
      <c r="X319" s="46" t="inlineStr">
        <is>
          <t>IF(W319&lt;&gt;"",W319,IF(OR(T319="",V319=""),"",EDATE(T319,V319)))</t>
        </is>
      </c>
      <c r="Y319" s="47" t="n"/>
      <c r="Z319" s="48" t="n"/>
      <c r="AA319" s="44" t="n"/>
      <c r="AB319" s="44" t="n"/>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47" t="n"/>
      <c r="AJ319" s="47" t="n"/>
      <c r="AK319" s="47" t="n"/>
      <c r="AL319" s="47" t="n"/>
      <c r="AM319" s="47" t="n"/>
      <c r="AN319" s="47" t="n"/>
      <c r="AO319" s="47" t="n"/>
      <c r="AP319" s="47" t="n"/>
      <c r="AQ319" s="47" t="n"/>
      <c r="AR319" s="47" t="n"/>
      <c r="AS319" s="4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42" t="inlineStr">
        <is>
          <t>IF(F320="","",ROW()-3)</t>
        </is>
      </c>
      <c r="B320" s="52" t="n"/>
      <c r="C320" s="52" t="n"/>
      <c r="D320" s="52" t="n"/>
      <c r="E320" s="52" t="n"/>
      <c r="F320" s="52" t="n"/>
      <c r="G320" s="52" t="n"/>
      <c r="H320" s="52" t="n"/>
      <c r="I320" s="52" t="n"/>
      <c r="J320" s="52" t="n"/>
      <c r="K320" s="52" t="n"/>
      <c r="L320" s="52" t="n"/>
      <c r="M320" s="52" t="n"/>
      <c r="N320" s="52" t="n"/>
      <c r="O320" s="52" t="n"/>
      <c r="P320" s="52" t="n"/>
      <c r="Q320" s="52" t="n"/>
      <c r="R320" s="52" t="n"/>
      <c r="S320" s="53" t="n"/>
      <c r="T320" s="46" t="inlineStr">
        <is>
          <t>IF(AQ320="","",AQ320)</t>
        </is>
      </c>
      <c r="U320" s="54" t="n"/>
      <c r="V320" s="55" t="n"/>
      <c r="W320" s="54" t="n"/>
      <c r="X320" s="46" t="inlineStr">
        <is>
          <t>IF(W320&lt;&gt;"",W320,IF(OR(T320="",V320=""),"",EDATE(T320,V320)))</t>
        </is>
      </c>
      <c r="Y320" s="54" t="n"/>
      <c r="Z320" s="55" t="n"/>
      <c r="AA320" s="52" t="n"/>
      <c r="AB320" s="52" t="n"/>
      <c r="AC320" s="42" t="inlineStr">
        <is>
          <t>IF(F320="","",IF(COUNT(AI320:AV320)=0,IF(AA320="","Not started",AA320),SUBSTITUTE(LOOKUP(2,1/(AI320:AV320&lt;&gt;""),$AI$3:$AV$3),"Date: ","")))</t>
        </is>
      </c>
      <c r="AD320" s="49" t="inlineStr">
        <is>
          <t>IF(OR(F320="",COUNT(AI320:AV320)=0),"",TODAY()-LOOKUP(2,1/(AI320:AV320&lt;&gt;""),AI320:AV320))</t>
        </is>
      </c>
      <c r="AE320" s="49" t="inlineStr">
        <is>
          <t>IF(OR(F320="",COUNT(AI320:AV320)&lt;2),"",LOOKUP(2,1/(AI320:AV320&lt;&gt;""),AI320:AV320)-MIN(AI320:AV320))</t>
        </is>
      </c>
      <c r="AF320" s="49" t="inlineStr">
        <is>
          <t>IF(OR(AD320="",AC320="Not started",AC320=""),"",IFERROR(AD320-IF(VLOOKUP(AC320,'06_Status_Pipeline'!$B$3:$E$20,4,FALSE)="",0,VLOOKUP(AC320,'06_Status_Pipeline'!$B$3:$E$20,4,FALSE)),""))</t>
        </is>
      </c>
      <c r="AG320" s="4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49" t="inlineStr">
        <is>
          <t>IF(OR(F320="",AC320="Completed / Handover",AC320="Cancelled"),"",IF(O320="Not awarded",IF(U320&lt;&gt;"",U320-TODAY(),IF(X320="","",X320-TODAY())),IF(X320="","",X320-TODAY())))</t>
        </is>
      </c>
      <c r="AI320" s="54" t="n"/>
      <c r="AJ320" s="54" t="n"/>
      <c r="AK320" s="54" t="n"/>
      <c r="AL320" s="54" t="n"/>
      <c r="AM320" s="54" t="n"/>
      <c r="AN320" s="54" t="n"/>
      <c r="AO320" s="54" t="n"/>
      <c r="AP320" s="54" t="n"/>
      <c r="AQ320" s="54" t="n"/>
      <c r="AR320" s="54" t="n"/>
      <c r="AS320" s="54" t="n"/>
      <c r="AT320" s="50" t="n"/>
      <c r="AU320" s="50" t="n"/>
      <c r="AV320" s="50" t="n"/>
      <c r="AW320" s="49" t="inlineStr">
        <is>
          <t>IF(OR(F320="",AJ320=""),"",IF(COUNT(AI320:AI320)=0,"",AJ320-LOOKUP(2,1/(AI320:AI320&lt;&gt;""),AI320:AI320)))</t>
        </is>
      </c>
      <c r="AX320" s="49" t="inlineStr">
        <is>
          <t>IF(OR(F320="",AK320=""),"",IF(COUNT(AI320:AJ320)=0,"",AK320-LOOKUP(2,1/(AI320:AJ320&lt;&gt;""),AI320:AJ320)))</t>
        </is>
      </c>
      <c r="AY320" s="49" t="inlineStr">
        <is>
          <t>IF(OR(F320="",AL320=""),"",IF(COUNT(AI320:AK320)=0,"",AL320-LOOKUP(2,1/(AI320:AK320&lt;&gt;""),AI320:AK320)))</t>
        </is>
      </c>
      <c r="AZ320" s="49" t="inlineStr">
        <is>
          <t>IF(OR(F320="",AM320=""),"",IF(COUNT(AI320:AL320)=0,"",AM320-LOOKUP(2,1/(AI320:AL320&lt;&gt;""),AI320:AL320)))</t>
        </is>
      </c>
      <c r="BA320" s="49" t="inlineStr">
        <is>
          <t>IF(OR(F320="",AN320=""),"",IF(COUNT(AI320:AM320)=0,"",AN320-LOOKUP(2,1/(AI320:AM320&lt;&gt;""),AI320:AM320)))</t>
        </is>
      </c>
      <c r="BB320" s="49" t="inlineStr">
        <is>
          <t>IF(OR(F320="",AO320=""),"",IF(COUNT(AI320:AN320)=0,"",AO320-LOOKUP(2,1/(AI320:AN320&lt;&gt;""),AI320:AN320)))</t>
        </is>
      </c>
      <c r="BC320" s="49" t="inlineStr">
        <is>
          <t>IF(OR(F320="",AP320=""),"",IF(COUNT(AI320:AO320)=0,"",AP320-LOOKUP(2,1/(AI320:AO320&lt;&gt;""),AI320:AO320)))</t>
        </is>
      </c>
      <c r="BD320" s="49" t="inlineStr">
        <is>
          <t>IF(OR(F320="",AQ320=""),"",IF(COUNT(AI320:AP320)=0,"",AQ320-LOOKUP(2,1/(AI320:AP320&lt;&gt;""),AI320:AP320)))</t>
        </is>
      </c>
      <c r="BE320" s="49" t="inlineStr">
        <is>
          <t>IF(OR(F320="",AR320=""),"",IF(COUNT(AI320:AQ320)=0,"",AR320-LOOKUP(2,1/(AI320:AQ320&lt;&gt;""),AI320:AQ320)))</t>
        </is>
      </c>
      <c r="BF320" s="49" t="inlineStr">
        <is>
          <t>IF(OR(F320="",AS320=""),"",IF(COUNT(AI320:AR320)=0,"",AS320-LOOKUP(2,1/(AI320:AR320&lt;&gt;""),AI320:AR320)))</t>
        </is>
      </c>
      <c r="BG320" s="49" t="inlineStr">
        <is>
          <t>IF(OR(F320="",AT320=""),"",IF(COUNT(AI320:AS320)=0,"",AT320-LOOKUP(2,1/(AI320:AS320&lt;&gt;""),AI320:AS320)))</t>
        </is>
      </c>
      <c r="BH320" s="49" t="inlineStr">
        <is>
          <t>IF(OR(F320="",AU320=""),"",IF(COUNT(AI320:AT320)=0,"",AU320-LOOKUP(2,1/(AI320:AT320&lt;&gt;""),AI320:AT320)))</t>
        </is>
      </c>
      <c r="BI320" s="49" t="inlineStr">
        <is>
          <t>IF(OR(F320="",AV320=""),"",IF(COUNT(AI320:AU320)=0,"",AV320-LOOKUP(2,1/(AI320:AU320&lt;&gt;""),AI320:AU320)))</t>
        </is>
      </c>
      <c r="BJ320" s="51" t="inlineStr">
        <is>
          <t>IF(J320="","All_Provinces",IFERROR(VLOOKUP(J320,'09_Lookups'!$A$4:$B$20,2,FALSE),"All_Provinces"))</t>
        </is>
      </c>
      <c r="BK320" s="51" t="inlineStr">
        <is>
          <t>IF(K320="","All_Districts",IFERROR(VLOOKUP(K320,'09_Lookups'!$E$4:$F$42,2,FALSE),"All_Districts"))</t>
        </is>
      </c>
    </row>
    <row r="321" ht="18" customHeight="1">
      <c r="A321" s="42" t="inlineStr">
        <is>
          <t>IF(F321="","",ROW()-3)</t>
        </is>
      </c>
      <c r="B321" s="44" t="n"/>
      <c r="C321" s="44" t="n"/>
      <c r="D321" s="44" t="n"/>
      <c r="E321" s="44" t="n"/>
      <c r="F321" s="44" t="n"/>
      <c r="G321" s="44" t="n"/>
      <c r="H321" s="44" t="n"/>
      <c r="I321" s="44" t="n"/>
      <c r="J321" s="44" t="n"/>
      <c r="K321" s="44" t="n"/>
      <c r="L321" s="44" t="n"/>
      <c r="M321" s="44" t="n"/>
      <c r="N321" s="44" t="n"/>
      <c r="O321" s="44" t="n"/>
      <c r="P321" s="44" t="n"/>
      <c r="Q321" s="44" t="n"/>
      <c r="R321" s="44" t="n"/>
      <c r="S321" s="45" t="n"/>
      <c r="T321" s="46" t="inlineStr">
        <is>
          <t>IF(AQ321="","",AQ321)</t>
        </is>
      </c>
      <c r="U321" s="47" t="n"/>
      <c r="V321" s="48" t="n"/>
      <c r="W321" s="47" t="n"/>
      <c r="X321" s="46" t="inlineStr">
        <is>
          <t>IF(W321&lt;&gt;"",W321,IF(OR(T321="",V321=""),"",EDATE(T321,V321)))</t>
        </is>
      </c>
      <c r="Y321" s="47" t="n"/>
      <c r="Z321" s="48" t="n"/>
      <c r="AA321" s="44" t="n"/>
      <c r="AB321" s="44" t="n"/>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ht="18" customHeight="1">
      <c r="A322" s="42" t="inlineStr">
        <is>
          <t>IF(F322="","",ROW()-3)</t>
        </is>
      </c>
      <c r="B322" s="52" t="n"/>
      <c r="C322" s="52" t="n"/>
      <c r="D322" s="52" t="n"/>
      <c r="E322" s="52" t="n"/>
      <c r="F322" s="52" t="n"/>
      <c r="G322" s="52" t="n"/>
      <c r="H322" s="52" t="n"/>
      <c r="I322" s="52" t="n"/>
      <c r="J322" s="52" t="n"/>
      <c r="K322" s="52" t="n"/>
      <c r="L322" s="52" t="n"/>
      <c r="M322" s="52" t="n"/>
      <c r="N322" s="52" t="n"/>
      <c r="O322" s="52" t="n"/>
      <c r="P322" s="52" t="n"/>
      <c r="Q322" s="52" t="n"/>
      <c r="R322" s="52" t="n"/>
      <c r="S322" s="53" t="n"/>
      <c r="T322" s="46" t="inlineStr">
        <is>
          <t>IF(AQ322="","",AQ322)</t>
        </is>
      </c>
      <c r="U322" s="54" t="n"/>
      <c r="V322" s="55" t="n"/>
      <c r="W322" s="54" t="n"/>
      <c r="X322" s="46" t="inlineStr">
        <is>
          <t>IF(W322&lt;&gt;"",W322,IF(OR(T322="",V322=""),"",EDATE(T322,V322)))</t>
        </is>
      </c>
      <c r="Y322" s="54" t="n"/>
      <c r="Z322" s="55" t="n"/>
      <c r="AA322" s="52" t="n"/>
      <c r="AB322" s="52" t="n"/>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ht="18" customHeight="1">
      <c r="A323" s="42" t="inlineStr">
        <is>
          <t>IF(F323="","",ROW()-3)</t>
        </is>
      </c>
      <c r="B323" s="44" t="n"/>
      <c r="C323" s="44" t="n"/>
      <c r="D323" s="44" t="n"/>
      <c r="E323" s="44" t="n"/>
      <c r="F323" s="44" t="n"/>
      <c r="G323" s="44" t="n"/>
      <c r="H323" s="44" t="n"/>
      <c r="I323" s="44" t="n"/>
      <c r="J323" s="44" t="n"/>
      <c r="K323" s="44" t="n"/>
      <c r="L323" s="44" t="n"/>
      <c r="M323" s="44" t="n"/>
      <c r="N323" s="44" t="n"/>
      <c r="O323" s="44" t="n"/>
      <c r="P323" s="44" t="n"/>
      <c r="Q323" s="44" t="n"/>
      <c r="R323" s="44" t="n"/>
      <c r="S323" s="45" t="n"/>
      <c r="T323" s="46" t="inlineStr">
        <is>
          <t>IF(AQ323="","",AQ323)</t>
        </is>
      </c>
      <c r="U323" s="47" t="n"/>
      <c r="V323" s="48" t="n"/>
      <c r="W323" s="47" t="n"/>
      <c r="X323" s="46" t="inlineStr">
        <is>
          <t>IF(W323&lt;&gt;"",W323,IF(OR(T323="",V323=""),"",EDATE(T323,V323)))</t>
        </is>
      </c>
      <c r="Y323" s="47" t="n"/>
      <c r="Z323" s="48" t="n"/>
      <c r="AA323" s="44" t="n"/>
      <c r="AB323" s="44" t="n"/>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ht="18" customHeight="1">
      <c r="A324" s="42" t="inlineStr">
        <is>
          <t>IF(F324="","",ROW()-3)</t>
        </is>
      </c>
      <c r="B324" s="52" t="n"/>
      <c r="C324" s="52" t="n"/>
      <c r="D324" s="52" t="n"/>
      <c r="E324" s="52" t="n"/>
      <c r="F324" s="52" t="n"/>
      <c r="G324" s="52" t="n"/>
      <c r="H324" s="52" t="n"/>
      <c r="I324" s="52" t="n"/>
      <c r="J324" s="52" t="n"/>
      <c r="K324" s="52" t="n"/>
      <c r="L324" s="52" t="n"/>
      <c r="M324" s="52" t="n"/>
      <c r="N324" s="52" t="n"/>
      <c r="O324" s="52" t="n"/>
      <c r="P324" s="52" t="n"/>
      <c r="Q324" s="52" t="n"/>
      <c r="R324" s="52" t="n"/>
      <c r="S324" s="53" t="n"/>
      <c r="T324" s="46" t="inlineStr">
        <is>
          <t>IF(AQ324="","",AQ324)</t>
        </is>
      </c>
      <c r="U324" s="54" t="n"/>
      <c r="V324" s="55" t="n"/>
      <c r="W324" s="54" t="n"/>
      <c r="X324" s="46" t="inlineStr">
        <is>
          <t>IF(W324&lt;&gt;"",W324,IF(OR(T324="",V324=""),"",EDATE(T324,V324)))</t>
        </is>
      </c>
      <c r="Y324" s="54" t="n"/>
      <c r="Z324" s="55" t="n"/>
      <c r="AA324" s="52" t="n"/>
      <c r="AB324" s="52" t="n"/>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42" t="inlineStr">
        <is>
          <t>IF(F325="","",ROW()-3)</t>
        </is>
      </c>
      <c r="B325" s="44" t="n"/>
      <c r="C325" s="44" t="n"/>
      <c r="D325" s="44" t="n"/>
      <c r="E325" s="44" t="n"/>
      <c r="F325" s="44" t="n"/>
      <c r="G325" s="44" t="n"/>
      <c r="H325" s="44" t="n"/>
      <c r="I325" s="44" t="n"/>
      <c r="J325" s="44" t="n"/>
      <c r="K325" s="44" t="n"/>
      <c r="L325" s="44" t="n"/>
      <c r="M325" s="44" t="n"/>
      <c r="N325" s="44" t="n"/>
      <c r="O325" s="44" t="n"/>
      <c r="P325" s="44" t="n"/>
      <c r="Q325" s="44" t="n"/>
      <c r="R325" s="44" t="n"/>
      <c r="S325" s="45" t="n"/>
      <c r="T325" s="46" t="inlineStr">
        <is>
          <t>IF(AQ325="","",AQ325)</t>
        </is>
      </c>
      <c r="U325" s="47" t="n"/>
      <c r="V325" s="48" t="n"/>
      <c r="W325" s="47" t="n"/>
      <c r="X325" s="46" t="inlineStr">
        <is>
          <t>IF(W325&lt;&gt;"",W325,IF(OR(T325="",V325=""),"",EDATE(T325,V325)))</t>
        </is>
      </c>
      <c r="Y325" s="47" t="n"/>
      <c r="Z325" s="48" t="n"/>
      <c r="AA325" s="44" t="n"/>
      <c r="AB325" s="44" t="n"/>
      <c r="AC325" s="42" t="inlineStr">
        <is>
          <t>IF(F325="","",IF(COUNT(AI325:AV325)=0,IF(AA325="","Not started",AA325),SUBSTITUTE(LOOKUP(2,1/(AI325:AV325&lt;&gt;""),$AI$3:$AV$3),"Date: ","")))</t>
        </is>
      </c>
      <c r="AD325" s="49" t="inlineStr">
        <is>
          <t>IF(OR(F325="",COUNT(AI325:AV325)=0),"",TODAY()-LOOKUP(2,1/(AI325:AV325&lt;&gt;""),AI325:AV325))</t>
        </is>
      </c>
      <c r="AE325" s="49" t="inlineStr">
        <is>
          <t>IF(OR(F325="",COUNT(AI325:AV325)&lt;2),"",LOOKUP(2,1/(AI325:AV325&lt;&gt;""),AI325:AV325)-MIN(AI325:AV325))</t>
        </is>
      </c>
      <c r="AF325" s="49" t="inlineStr">
        <is>
          <t>IF(OR(AD325="",AC325="Not started",AC325=""),"",IFERROR(AD325-IF(VLOOKUP(AC325,'06_Status_Pipeline'!$B$3:$E$20,4,FALSE)="",0,VLOOKUP(AC325,'06_Status_Pipeline'!$B$3:$E$20,4,FALSE)),""))</t>
        </is>
      </c>
      <c r="AG325" s="4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49" t="inlineStr">
        <is>
          <t>IF(OR(F325="",AC325="Completed / Handover",AC325="Cancelled"),"",IF(O325="Not awarded",IF(U325&lt;&gt;"",U325-TODAY(),IF(X325="","",X325-TODAY())),IF(X325="","",X325-TODAY())))</t>
        </is>
      </c>
      <c r="AI325" s="47" t="n"/>
      <c r="AJ325" s="47" t="n"/>
      <c r="AK325" s="47" t="n"/>
      <c r="AL325" s="47" t="n"/>
      <c r="AM325" s="47" t="n"/>
      <c r="AN325" s="47" t="n"/>
      <c r="AO325" s="47" t="n"/>
      <c r="AP325" s="47" t="n"/>
      <c r="AQ325" s="47" t="n"/>
      <c r="AR325" s="47" t="n"/>
      <c r="AS325" s="47" t="n"/>
      <c r="AT325" s="50" t="n"/>
      <c r="AU325" s="50" t="n"/>
      <c r="AV325" s="50" t="n"/>
      <c r="AW325" s="49" t="inlineStr">
        <is>
          <t>IF(OR(F325="",AJ325=""),"",IF(COUNT(AI325:AI325)=0,"",AJ325-LOOKUP(2,1/(AI325:AI325&lt;&gt;""),AI325:AI325)))</t>
        </is>
      </c>
      <c r="AX325" s="49" t="inlineStr">
        <is>
          <t>IF(OR(F325="",AK325=""),"",IF(COUNT(AI325:AJ325)=0,"",AK325-LOOKUP(2,1/(AI325:AJ325&lt;&gt;""),AI325:AJ325)))</t>
        </is>
      </c>
      <c r="AY325" s="49" t="inlineStr">
        <is>
          <t>IF(OR(F325="",AL325=""),"",IF(COUNT(AI325:AK325)=0,"",AL325-LOOKUP(2,1/(AI325:AK325&lt;&gt;""),AI325:AK325)))</t>
        </is>
      </c>
      <c r="AZ325" s="49" t="inlineStr">
        <is>
          <t>IF(OR(F325="",AM325=""),"",IF(COUNT(AI325:AL325)=0,"",AM325-LOOKUP(2,1/(AI325:AL325&lt;&gt;""),AI325:AL325)))</t>
        </is>
      </c>
      <c r="BA325" s="49" t="inlineStr">
        <is>
          <t>IF(OR(F325="",AN325=""),"",IF(COUNT(AI325:AM325)=0,"",AN325-LOOKUP(2,1/(AI325:AM325&lt;&gt;""),AI325:AM325)))</t>
        </is>
      </c>
      <c r="BB325" s="49" t="inlineStr">
        <is>
          <t>IF(OR(F325="",AO325=""),"",IF(COUNT(AI325:AN325)=0,"",AO325-LOOKUP(2,1/(AI325:AN325&lt;&gt;""),AI325:AN325)))</t>
        </is>
      </c>
      <c r="BC325" s="49" t="inlineStr">
        <is>
          <t>IF(OR(F325="",AP325=""),"",IF(COUNT(AI325:AO325)=0,"",AP325-LOOKUP(2,1/(AI325:AO325&lt;&gt;""),AI325:AO325)))</t>
        </is>
      </c>
      <c r="BD325" s="49" t="inlineStr">
        <is>
          <t>IF(OR(F325="",AQ325=""),"",IF(COUNT(AI325:AP325)=0,"",AQ325-LOOKUP(2,1/(AI325:AP325&lt;&gt;""),AI325:AP325)))</t>
        </is>
      </c>
      <c r="BE325" s="49" t="inlineStr">
        <is>
          <t>IF(OR(F325="",AR325=""),"",IF(COUNT(AI325:AQ325)=0,"",AR325-LOOKUP(2,1/(AI325:AQ325&lt;&gt;""),AI325:AQ325)))</t>
        </is>
      </c>
      <c r="BF325" s="49" t="inlineStr">
        <is>
          <t>IF(OR(F325="",AS325=""),"",IF(COUNT(AI325:AR325)=0,"",AS325-LOOKUP(2,1/(AI325:AR325&lt;&gt;""),AI325:AR325)))</t>
        </is>
      </c>
      <c r="BG325" s="49" t="inlineStr">
        <is>
          <t>IF(OR(F325="",AT325=""),"",IF(COUNT(AI325:AS325)=0,"",AT325-LOOKUP(2,1/(AI325:AS325&lt;&gt;""),AI325:AS325)))</t>
        </is>
      </c>
      <c r="BH325" s="49" t="inlineStr">
        <is>
          <t>IF(OR(F325="",AU325=""),"",IF(COUNT(AI325:AT325)=0,"",AU325-LOOKUP(2,1/(AI325:AT325&lt;&gt;""),AI325:AT325)))</t>
        </is>
      </c>
      <c r="BI325" s="49" t="inlineStr">
        <is>
          <t>IF(OR(F325="",AV325=""),"",IF(COUNT(AI325:AU325)=0,"",AV325-LOOKUP(2,1/(AI325:AU325&lt;&gt;""),AI325:AU325)))</t>
        </is>
      </c>
      <c r="BJ325" s="51" t="inlineStr">
        <is>
          <t>IF(J325="","All_Provinces",IFERROR(VLOOKUP(J325,'09_Lookups'!$A$4:$B$20,2,FALSE),"All_Provinces"))</t>
        </is>
      </c>
      <c r="BK325" s="51" t="inlineStr">
        <is>
          <t>IF(K325="","All_Districts",IFERROR(VLOOKUP(K325,'09_Lookups'!$E$4:$F$42,2,FALSE),"All_Districts"))</t>
        </is>
      </c>
    </row>
    <row r="326" ht="18" customHeight="1">
      <c r="A326" s="42" t="inlineStr">
        <is>
          <t>IF(F326="","",ROW()-3)</t>
        </is>
      </c>
      <c r="B326" s="52" t="n"/>
      <c r="C326" s="52" t="n"/>
      <c r="D326" s="52" t="n"/>
      <c r="E326" s="52" t="n"/>
      <c r="F326" s="52" t="n"/>
      <c r="G326" s="52" t="n"/>
      <c r="H326" s="52" t="n"/>
      <c r="I326" s="52" t="n"/>
      <c r="J326" s="52" t="n"/>
      <c r="K326" s="52" t="n"/>
      <c r="L326" s="52" t="n"/>
      <c r="M326" s="52" t="n"/>
      <c r="N326" s="52" t="n"/>
      <c r="O326" s="52" t="n"/>
      <c r="P326" s="52" t="n"/>
      <c r="Q326" s="52" t="n"/>
      <c r="R326" s="52" t="n"/>
      <c r="S326" s="53" t="n"/>
      <c r="T326" s="46" t="inlineStr">
        <is>
          <t>IF(AQ326="","",AQ326)</t>
        </is>
      </c>
      <c r="U326" s="54" t="n"/>
      <c r="V326" s="55" t="n"/>
      <c r="W326" s="54" t="n"/>
      <c r="X326" s="46" t="inlineStr">
        <is>
          <t>IF(W326&lt;&gt;"",W326,IF(OR(T326="",V326=""),"",EDATE(T326,V326)))</t>
        </is>
      </c>
      <c r="Y326" s="54" t="n"/>
      <c r="Z326" s="55" t="n"/>
      <c r="AA326" s="52" t="n"/>
      <c r="AB326" s="52" t="n"/>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ht="18" customHeight="1">
      <c r="A327" s="42" t="inlineStr">
        <is>
          <t>IF(F327="","",ROW()-3)</t>
        </is>
      </c>
      <c r="B327" s="44" t="n"/>
      <c r="C327" s="44" t="n"/>
      <c r="D327" s="44" t="n"/>
      <c r="E327" s="44" t="n"/>
      <c r="F327" s="44" t="n"/>
      <c r="G327" s="44" t="n"/>
      <c r="H327" s="44" t="n"/>
      <c r="I327" s="44" t="n"/>
      <c r="J327" s="44" t="n"/>
      <c r="K327" s="44" t="n"/>
      <c r="L327" s="44" t="n"/>
      <c r="M327" s="44" t="n"/>
      <c r="N327" s="44" t="n"/>
      <c r="O327" s="44" t="n"/>
      <c r="P327" s="44" t="n"/>
      <c r="Q327" s="44" t="n"/>
      <c r="R327" s="44" t="n"/>
      <c r="S327" s="45" t="n"/>
      <c r="T327" s="46" t="inlineStr">
        <is>
          <t>IF(AQ327="","",AQ327)</t>
        </is>
      </c>
      <c r="U327" s="47" t="n"/>
      <c r="V327" s="48" t="n"/>
      <c r="W327" s="47" t="n"/>
      <c r="X327" s="46" t="inlineStr">
        <is>
          <t>IF(W327&lt;&gt;"",W327,IF(OR(T327="",V327=""),"",EDATE(T327,V327)))</t>
        </is>
      </c>
      <c r="Y327" s="47" t="n"/>
      <c r="Z327" s="48" t="n"/>
      <c r="AA327" s="44" t="n"/>
      <c r="AB327" s="44" t="n"/>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42" t="inlineStr">
        <is>
          <t>IF(F328="","",ROW()-3)</t>
        </is>
      </c>
      <c r="B328" s="52" t="n"/>
      <c r="C328" s="52" t="n"/>
      <c r="D328" s="52" t="n"/>
      <c r="E328" s="52" t="n"/>
      <c r="F328" s="52" t="n"/>
      <c r="G328" s="52" t="n"/>
      <c r="H328" s="52" t="n"/>
      <c r="I328" s="52" t="n"/>
      <c r="J328" s="52" t="n"/>
      <c r="K328" s="52" t="n"/>
      <c r="L328" s="52" t="n"/>
      <c r="M328" s="52" t="n"/>
      <c r="N328" s="52" t="n"/>
      <c r="O328" s="52" t="n"/>
      <c r="P328" s="52" t="n"/>
      <c r="Q328" s="52" t="n"/>
      <c r="R328" s="52" t="n"/>
      <c r="S328" s="53" t="n"/>
      <c r="T328" s="46" t="inlineStr">
        <is>
          <t>IF(AQ328="","",AQ328)</t>
        </is>
      </c>
      <c r="U328" s="54" t="n"/>
      <c r="V328" s="55" t="n"/>
      <c r="W328" s="54" t="n"/>
      <c r="X328" s="46" t="inlineStr">
        <is>
          <t>IF(W328&lt;&gt;"",W328,IF(OR(T328="",V328=""),"",EDATE(T328,V328)))</t>
        </is>
      </c>
      <c r="Y328" s="54" t="n"/>
      <c r="Z328" s="55" t="n"/>
      <c r="AA328" s="52" t="n"/>
      <c r="AB328" s="52" t="n"/>
      <c r="AC328" s="42" t="inlineStr">
        <is>
          <t>IF(F328="","",IF(COUNT(AI328:AV328)=0,IF(AA328="","Not started",AA328),SUBSTITUTE(LOOKUP(2,1/(AI328:AV328&lt;&gt;""),$AI$3:$AV$3),"Date: ","")))</t>
        </is>
      </c>
      <c r="AD328" s="49" t="inlineStr">
        <is>
          <t>IF(OR(F328="",COUNT(AI328:AV328)=0),"",TODAY()-LOOKUP(2,1/(AI328:AV328&lt;&gt;""),AI328:AV328))</t>
        </is>
      </c>
      <c r="AE328" s="49" t="inlineStr">
        <is>
          <t>IF(OR(F328="",COUNT(AI328:AV328)&lt;2),"",LOOKUP(2,1/(AI328:AV328&lt;&gt;""),AI328:AV328)-MIN(AI328:AV328))</t>
        </is>
      </c>
      <c r="AF328" s="49" t="inlineStr">
        <is>
          <t>IF(OR(AD328="",AC328="Not started",AC328=""),"",IFERROR(AD328-IF(VLOOKUP(AC328,'06_Status_Pipeline'!$B$3:$E$20,4,FALSE)="",0,VLOOKUP(AC328,'06_Status_Pipeline'!$B$3:$E$20,4,FALSE)),""))</t>
        </is>
      </c>
      <c r="AG328" s="4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49" t="inlineStr">
        <is>
          <t>IF(OR(F328="",AC328="Completed / Handover",AC328="Cancelled"),"",IF(O328="Not awarded",IF(U328&lt;&gt;"",U328-TODAY(),IF(X328="","",X328-TODAY())),IF(X328="","",X328-TODAY())))</t>
        </is>
      </c>
      <c r="AI328" s="54" t="n"/>
      <c r="AJ328" s="54" t="n"/>
      <c r="AK328" s="54" t="n"/>
      <c r="AL328" s="54" t="n"/>
      <c r="AM328" s="54" t="n"/>
      <c r="AN328" s="54" t="n"/>
      <c r="AO328" s="54" t="n"/>
      <c r="AP328" s="54" t="n"/>
      <c r="AQ328" s="54" t="n"/>
      <c r="AR328" s="54" t="n"/>
      <c r="AS328" s="54" t="n"/>
      <c r="AT328" s="50" t="n"/>
      <c r="AU328" s="50" t="n"/>
      <c r="AV328" s="50" t="n"/>
      <c r="AW328" s="49" t="inlineStr">
        <is>
          <t>IF(OR(F328="",AJ328=""),"",IF(COUNT(AI328:AI328)=0,"",AJ328-LOOKUP(2,1/(AI328:AI328&lt;&gt;""),AI328:AI328)))</t>
        </is>
      </c>
      <c r="AX328" s="49" t="inlineStr">
        <is>
          <t>IF(OR(F328="",AK328=""),"",IF(COUNT(AI328:AJ328)=0,"",AK328-LOOKUP(2,1/(AI328:AJ328&lt;&gt;""),AI328:AJ328)))</t>
        </is>
      </c>
      <c r="AY328" s="49" t="inlineStr">
        <is>
          <t>IF(OR(F328="",AL328=""),"",IF(COUNT(AI328:AK328)=0,"",AL328-LOOKUP(2,1/(AI328:AK328&lt;&gt;""),AI328:AK328)))</t>
        </is>
      </c>
      <c r="AZ328" s="49" t="inlineStr">
        <is>
          <t>IF(OR(F328="",AM328=""),"",IF(COUNT(AI328:AL328)=0,"",AM328-LOOKUP(2,1/(AI328:AL328&lt;&gt;""),AI328:AL328)))</t>
        </is>
      </c>
      <c r="BA328" s="49" t="inlineStr">
        <is>
          <t>IF(OR(F328="",AN328=""),"",IF(COUNT(AI328:AM328)=0,"",AN328-LOOKUP(2,1/(AI328:AM328&lt;&gt;""),AI328:AM328)))</t>
        </is>
      </c>
      <c r="BB328" s="49" t="inlineStr">
        <is>
          <t>IF(OR(F328="",AO328=""),"",IF(COUNT(AI328:AN328)=0,"",AO328-LOOKUP(2,1/(AI328:AN328&lt;&gt;""),AI328:AN328)))</t>
        </is>
      </c>
      <c r="BC328" s="49" t="inlineStr">
        <is>
          <t>IF(OR(F328="",AP328=""),"",IF(COUNT(AI328:AO328)=0,"",AP328-LOOKUP(2,1/(AI328:AO328&lt;&gt;""),AI328:AO328)))</t>
        </is>
      </c>
      <c r="BD328" s="49" t="inlineStr">
        <is>
          <t>IF(OR(F328="",AQ328=""),"",IF(COUNT(AI328:AP328)=0,"",AQ328-LOOKUP(2,1/(AI328:AP328&lt;&gt;""),AI328:AP328)))</t>
        </is>
      </c>
      <c r="BE328" s="49" t="inlineStr">
        <is>
          <t>IF(OR(F328="",AR328=""),"",IF(COUNT(AI328:AQ328)=0,"",AR328-LOOKUP(2,1/(AI328:AQ328&lt;&gt;""),AI328:AQ328)))</t>
        </is>
      </c>
      <c r="BF328" s="49" t="inlineStr">
        <is>
          <t>IF(OR(F328="",AS328=""),"",IF(COUNT(AI328:AR328)=0,"",AS328-LOOKUP(2,1/(AI328:AR328&lt;&gt;""),AI328:AR328)))</t>
        </is>
      </c>
      <c r="BG328" s="49" t="inlineStr">
        <is>
          <t>IF(OR(F328="",AT328=""),"",IF(COUNT(AI328:AS328)=0,"",AT328-LOOKUP(2,1/(AI328:AS328&lt;&gt;""),AI328:AS328)))</t>
        </is>
      </c>
      <c r="BH328" s="49" t="inlineStr">
        <is>
          <t>IF(OR(F328="",AU328=""),"",IF(COUNT(AI328:AT328)=0,"",AU328-LOOKUP(2,1/(AI328:AT328&lt;&gt;""),AI328:AT328)))</t>
        </is>
      </c>
      <c r="BI328" s="49" t="inlineStr">
        <is>
          <t>IF(OR(F328="",AV328=""),"",IF(COUNT(AI328:AU328)=0,"",AV328-LOOKUP(2,1/(AI328:AU328&lt;&gt;""),AI328:AU328)))</t>
        </is>
      </c>
      <c r="BJ328" s="51" t="inlineStr">
        <is>
          <t>IF(J328="","All_Provinces",IFERROR(VLOOKUP(J328,'09_Lookups'!$A$4:$B$20,2,FALSE),"All_Provinces"))</t>
        </is>
      </c>
      <c r="BK328" s="51" t="inlineStr">
        <is>
          <t>IF(K328="","All_Districts",IFERROR(VLOOKUP(K328,'09_Lookups'!$E$4:$F$42,2,FALSE),"All_Districts"))</t>
        </is>
      </c>
    </row>
    <row r="329" ht="18" customHeight="1">
      <c r="A329" s="42" t="inlineStr">
        <is>
          <t>IF(F329="","",ROW()-3)</t>
        </is>
      </c>
      <c r="B329" s="44" t="n"/>
      <c r="C329" s="44" t="n"/>
      <c r="D329" s="44" t="n"/>
      <c r="E329" s="44" t="n"/>
      <c r="F329" s="44" t="n"/>
      <c r="G329" s="44" t="n"/>
      <c r="H329" s="44" t="n"/>
      <c r="I329" s="44" t="n"/>
      <c r="J329" s="44" t="n"/>
      <c r="K329" s="44" t="n"/>
      <c r="L329" s="44" t="n"/>
      <c r="M329" s="44" t="n"/>
      <c r="N329" s="44" t="n"/>
      <c r="O329" s="44" t="n"/>
      <c r="P329" s="44" t="n"/>
      <c r="Q329" s="44" t="n"/>
      <c r="R329" s="44" t="n"/>
      <c r="S329" s="45" t="n"/>
      <c r="T329" s="46" t="inlineStr">
        <is>
          <t>IF(AQ329="","",AQ329)</t>
        </is>
      </c>
      <c r="U329" s="47" t="n"/>
      <c r="V329" s="48" t="n"/>
      <c r="W329" s="47" t="n"/>
      <c r="X329" s="46" t="inlineStr">
        <is>
          <t>IF(W329&lt;&gt;"",W329,IF(OR(T329="",V329=""),"",EDATE(T329,V329)))</t>
        </is>
      </c>
      <c r="Y329" s="47" t="n"/>
      <c r="Z329" s="48" t="n"/>
      <c r="AA329" s="44" t="n"/>
      <c r="AB329" s="44" t="n"/>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47" t="n"/>
      <c r="AJ329" s="47" t="n"/>
      <c r="AK329" s="47" t="n"/>
      <c r="AL329" s="47" t="n"/>
      <c r="AM329" s="47" t="n"/>
      <c r="AN329" s="47" t="n"/>
      <c r="AO329" s="47" t="n"/>
      <c r="AP329" s="47" t="n"/>
      <c r="AQ329" s="47" t="n"/>
      <c r="AR329" s="47" t="n"/>
      <c r="AS329" s="4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ht="18" customHeight="1">
      <c r="A330" s="42" t="inlineStr">
        <is>
          <t>IF(F330="","",ROW()-3)</t>
        </is>
      </c>
      <c r="B330" s="52" t="n"/>
      <c r="C330" s="52" t="n"/>
      <c r="D330" s="52" t="n"/>
      <c r="E330" s="52" t="n"/>
      <c r="F330" s="52" t="n"/>
      <c r="G330" s="52" t="n"/>
      <c r="H330" s="52" t="n"/>
      <c r="I330" s="52" t="n"/>
      <c r="J330" s="52" t="n"/>
      <c r="K330" s="52" t="n"/>
      <c r="L330" s="52" t="n"/>
      <c r="M330" s="52" t="n"/>
      <c r="N330" s="52" t="n"/>
      <c r="O330" s="52" t="n"/>
      <c r="P330" s="52" t="n"/>
      <c r="Q330" s="52" t="n"/>
      <c r="R330" s="52" t="n"/>
      <c r="S330" s="53" t="n"/>
      <c r="T330" s="46" t="inlineStr">
        <is>
          <t>IF(AQ330="","",AQ330)</t>
        </is>
      </c>
      <c r="U330" s="54" t="n"/>
      <c r="V330" s="55" t="n"/>
      <c r="W330" s="54" t="n"/>
      <c r="X330" s="46" t="inlineStr">
        <is>
          <t>IF(W330&lt;&gt;"",W330,IF(OR(T330="",V330=""),"",EDATE(T330,V330)))</t>
        </is>
      </c>
      <c r="Y330" s="54" t="n"/>
      <c r="Z330" s="55" t="n"/>
      <c r="AA330" s="52" t="n"/>
      <c r="AB330" s="52" t="n"/>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54" t="n"/>
      <c r="AJ330" s="54" t="n"/>
      <c r="AK330" s="54" t="n"/>
      <c r="AL330" s="54" t="n"/>
      <c r="AM330" s="54" t="n"/>
      <c r="AN330" s="54" t="n"/>
      <c r="AO330" s="54" t="n"/>
      <c r="AP330" s="54" t="n"/>
      <c r="AQ330" s="54" t="n"/>
      <c r="AR330" s="54" t="n"/>
      <c r="AS330" s="54" t="n"/>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ht="18" customHeight="1">
      <c r="A331" s="42" t="inlineStr">
        <is>
          <t>IF(F331="","",ROW()-3)</t>
        </is>
      </c>
      <c r="B331" s="44" t="n"/>
      <c r="C331" s="44" t="n"/>
      <c r="D331" s="44" t="n"/>
      <c r="E331" s="44" t="n"/>
      <c r="F331" s="44" t="n"/>
      <c r="G331" s="44" t="n"/>
      <c r="H331" s="44" t="n"/>
      <c r="I331" s="44" t="n"/>
      <c r="J331" s="44" t="n"/>
      <c r="K331" s="44" t="n"/>
      <c r="L331" s="44" t="n"/>
      <c r="M331" s="44" t="n"/>
      <c r="N331" s="44" t="n"/>
      <c r="O331" s="44" t="n"/>
      <c r="P331" s="44" t="n"/>
      <c r="Q331" s="44" t="n"/>
      <c r="R331" s="44" t="n"/>
      <c r="S331" s="45" t="n"/>
      <c r="T331" s="46" t="inlineStr">
        <is>
          <t>IF(AQ331="","",AQ331)</t>
        </is>
      </c>
      <c r="U331" s="47" t="n"/>
      <c r="V331" s="48" t="n"/>
      <c r="W331" s="47" t="n"/>
      <c r="X331" s="46" t="inlineStr">
        <is>
          <t>IF(W331&lt;&gt;"",W331,IF(OR(T331="",V331=""),"",EDATE(T331,V331)))</t>
        </is>
      </c>
      <c r="Y331" s="47" t="n"/>
      <c r="Z331" s="48" t="n"/>
      <c r="AA331" s="44" t="n"/>
      <c r="AB331" s="44" t="n"/>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47" t="n"/>
      <c r="AJ331" s="47" t="n"/>
      <c r="AK331" s="47" t="n"/>
      <c r="AL331" s="47" t="n"/>
      <c r="AM331" s="47" t="n"/>
      <c r="AN331" s="47" t="n"/>
      <c r="AO331" s="47" t="n"/>
      <c r="AP331" s="47" t="n"/>
      <c r="AQ331" s="47" t="n"/>
      <c r="AR331" s="47" t="n"/>
      <c r="AS331" s="47" t="n"/>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ht="18" customHeight="1">
      <c r="A332" s="42" t="inlineStr">
        <is>
          <t>IF(F332="","",ROW()-3)</t>
        </is>
      </c>
      <c r="B332" s="52" t="n"/>
      <c r="C332" s="52" t="n"/>
      <c r="D332" s="52" t="n"/>
      <c r="E332" s="52" t="n"/>
      <c r="F332" s="52" t="n"/>
      <c r="G332" s="52" t="n"/>
      <c r="H332" s="52" t="n"/>
      <c r="I332" s="52" t="n"/>
      <c r="J332" s="52" t="n"/>
      <c r="K332" s="52" t="n"/>
      <c r="L332" s="52" t="n"/>
      <c r="M332" s="52" t="n"/>
      <c r="N332" s="52" t="n"/>
      <c r="O332" s="52" t="n"/>
      <c r="P332" s="52" t="n"/>
      <c r="Q332" s="52" t="n"/>
      <c r="R332" s="52" t="n"/>
      <c r="S332" s="53" t="n"/>
      <c r="T332" s="46" t="inlineStr">
        <is>
          <t>IF(AQ332="","",AQ332)</t>
        </is>
      </c>
      <c r="U332" s="54" t="n"/>
      <c r="V332" s="55" t="n"/>
      <c r="W332" s="54" t="n"/>
      <c r="X332" s="46" t="inlineStr">
        <is>
          <t>IF(W332&lt;&gt;"",W332,IF(OR(T332="",V332=""),"",EDATE(T332,V332)))</t>
        </is>
      </c>
      <c r="Y332" s="54" t="n"/>
      <c r="Z332" s="55" t="n"/>
      <c r="AA332" s="52" t="n"/>
      <c r="AB332" s="52" t="n"/>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54" t="n"/>
      <c r="AJ332" s="54" t="n"/>
      <c r="AK332" s="54" t="n"/>
      <c r="AL332" s="54" t="n"/>
      <c r="AM332" s="54" t="n"/>
      <c r="AN332" s="54" t="n"/>
      <c r="AO332" s="54" t="n"/>
      <c r="AP332" s="54" t="n"/>
      <c r="AQ332" s="54" t="n"/>
      <c r="AR332" s="54" t="n"/>
      <c r="AS332" s="54"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ht="18" customHeight="1">
      <c r="A333" s="42" t="inlineStr">
        <is>
          <t>IF(F333="","",ROW()-3)</t>
        </is>
      </c>
      <c r="B333" s="44" t="n"/>
      <c r="C333" s="44" t="n"/>
      <c r="D333" s="44" t="n"/>
      <c r="E333" s="44" t="n"/>
      <c r="F333" s="44" t="n"/>
      <c r="G333" s="44" t="n"/>
      <c r="H333" s="44" t="n"/>
      <c r="I333" s="44" t="n"/>
      <c r="J333" s="44" t="n"/>
      <c r="K333" s="44" t="n"/>
      <c r="L333" s="44" t="n"/>
      <c r="M333" s="44" t="n"/>
      <c r="N333" s="44" t="n"/>
      <c r="O333" s="44" t="n"/>
      <c r="P333" s="44" t="n"/>
      <c r="Q333" s="44" t="n"/>
      <c r="R333" s="44" t="n"/>
      <c r="S333" s="45" t="n"/>
      <c r="T333" s="46" t="inlineStr">
        <is>
          <t>IF(AQ333="","",AQ333)</t>
        </is>
      </c>
      <c r="U333" s="47" t="n"/>
      <c r="V333" s="48" t="n"/>
      <c r="W333" s="47" t="n"/>
      <c r="X333" s="46" t="inlineStr">
        <is>
          <t>IF(W333&lt;&gt;"",W333,IF(OR(T333="",V333=""),"",EDATE(T333,V333)))</t>
        </is>
      </c>
      <c r="Y333" s="47" t="n"/>
      <c r="Z333" s="48" t="n"/>
      <c r="AA333" s="44" t="n"/>
      <c r="AB333" s="44" t="n"/>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47" t="n"/>
      <c r="AJ333" s="47" t="n"/>
      <c r="AK333" s="47" t="n"/>
      <c r="AL333" s="47" t="n"/>
      <c r="AM333" s="47" t="n"/>
      <c r="AN333" s="47" t="n"/>
      <c r="AO333" s="47" t="n"/>
      <c r="AP333" s="47" t="n"/>
      <c r="AQ333" s="47" t="n"/>
      <c r="AR333" s="47" t="n"/>
      <c r="AS333" s="4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42" t="inlineStr">
        <is>
          <t>IF(F334="","",ROW()-3)</t>
        </is>
      </c>
      <c r="B334" s="52" t="n"/>
      <c r="C334" s="52" t="n"/>
      <c r="D334" s="52" t="n"/>
      <c r="E334" s="52" t="n"/>
      <c r="F334" s="52" t="n"/>
      <c r="G334" s="52" t="n"/>
      <c r="H334" s="52" t="n"/>
      <c r="I334" s="52" t="n"/>
      <c r="J334" s="52" t="n"/>
      <c r="K334" s="52" t="n"/>
      <c r="L334" s="52" t="n"/>
      <c r="M334" s="52" t="n"/>
      <c r="N334" s="52" t="n"/>
      <c r="O334" s="52" t="n"/>
      <c r="P334" s="52" t="n"/>
      <c r="Q334" s="52" t="n"/>
      <c r="R334" s="52" t="n"/>
      <c r="S334" s="53" t="n"/>
      <c r="T334" s="46" t="inlineStr">
        <is>
          <t>IF(AQ334="","",AQ334)</t>
        </is>
      </c>
      <c r="U334" s="54" t="n"/>
      <c r="V334" s="55" t="n"/>
      <c r="W334" s="54" t="n"/>
      <c r="X334" s="46" t="inlineStr">
        <is>
          <t>IF(W334&lt;&gt;"",W334,IF(OR(T334="",V334=""),"",EDATE(T334,V334)))</t>
        </is>
      </c>
      <c r="Y334" s="54" t="n"/>
      <c r="Z334" s="55" t="n"/>
      <c r="AA334" s="52" t="n"/>
      <c r="AB334" s="52" t="n"/>
      <c r="AC334" s="42" t="inlineStr">
        <is>
          <t>IF(F334="","",IF(COUNT(AI334:AV334)=0,IF(AA334="","Not started",AA334),SUBSTITUTE(LOOKUP(2,1/(AI334:AV334&lt;&gt;""),$AI$3:$AV$3),"Date: ","")))</t>
        </is>
      </c>
      <c r="AD334" s="49" t="inlineStr">
        <is>
          <t>IF(OR(F334="",COUNT(AI334:AV334)=0),"",TODAY()-LOOKUP(2,1/(AI334:AV334&lt;&gt;""),AI334:AV334))</t>
        </is>
      </c>
      <c r="AE334" s="49" t="inlineStr">
        <is>
          <t>IF(OR(F334="",COUNT(AI334:AV334)&lt;2),"",LOOKUP(2,1/(AI334:AV334&lt;&gt;""),AI334:AV334)-MIN(AI334:AV334))</t>
        </is>
      </c>
      <c r="AF334" s="49" t="inlineStr">
        <is>
          <t>IF(OR(AD334="",AC334="Not started",AC334=""),"",IFERROR(AD334-IF(VLOOKUP(AC334,'06_Status_Pipeline'!$B$3:$E$20,4,FALSE)="",0,VLOOKUP(AC334,'06_Status_Pipeline'!$B$3:$E$20,4,FALSE)),""))</t>
        </is>
      </c>
      <c r="AG334" s="4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49" t="inlineStr">
        <is>
          <t>IF(OR(F334="",AC334="Completed / Handover",AC334="Cancelled"),"",IF(O334="Not awarded",IF(U334&lt;&gt;"",U334-TODAY(),IF(X334="","",X334-TODAY())),IF(X334="","",X334-TODAY())))</t>
        </is>
      </c>
      <c r="AI334" s="54" t="n"/>
      <c r="AJ334" s="54" t="n"/>
      <c r="AK334" s="54" t="n"/>
      <c r="AL334" s="54" t="n"/>
      <c r="AM334" s="54" t="n"/>
      <c r="AN334" s="54" t="n"/>
      <c r="AO334" s="54" t="n"/>
      <c r="AP334" s="54" t="n"/>
      <c r="AQ334" s="54" t="n"/>
      <c r="AR334" s="54" t="n"/>
      <c r="AS334" s="54" t="n"/>
      <c r="AT334" s="50" t="n"/>
      <c r="AU334" s="50" t="n"/>
      <c r="AV334" s="50" t="n"/>
      <c r="AW334" s="49" t="inlineStr">
        <is>
          <t>IF(OR(F334="",AJ334=""),"",IF(COUNT(AI334:AI334)=0,"",AJ334-LOOKUP(2,1/(AI334:AI334&lt;&gt;""),AI334:AI334)))</t>
        </is>
      </c>
      <c r="AX334" s="49" t="inlineStr">
        <is>
          <t>IF(OR(F334="",AK334=""),"",IF(COUNT(AI334:AJ334)=0,"",AK334-LOOKUP(2,1/(AI334:AJ334&lt;&gt;""),AI334:AJ334)))</t>
        </is>
      </c>
      <c r="AY334" s="49" t="inlineStr">
        <is>
          <t>IF(OR(F334="",AL334=""),"",IF(COUNT(AI334:AK334)=0,"",AL334-LOOKUP(2,1/(AI334:AK334&lt;&gt;""),AI334:AK334)))</t>
        </is>
      </c>
      <c r="AZ334" s="49" t="inlineStr">
        <is>
          <t>IF(OR(F334="",AM334=""),"",IF(COUNT(AI334:AL334)=0,"",AM334-LOOKUP(2,1/(AI334:AL334&lt;&gt;""),AI334:AL334)))</t>
        </is>
      </c>
      <c r="BA334" s="49" t="inlineStr">
        <is>
          <t>IF(OR(F334="",AN334=""),"",IF(COUNT(AI334:AM334)=0,"",AN334-LOOKUP(2,1/(AI334:AM334&lt;&gt;""),AI334:AM334)))</t>
        </is>
      </c>
      <c r="BB334" s="49" t="inlineStr">
        <is>
          <t>IF(OR(F334="",AO334=""),"",IF(COUNT(AI334:AN334)=0,"",AO334-LOOKUP(2,1/(AI334:AN334&lt;&gt;""),AI334:AN334)))</t>
        </is>
      </c>
      <c r="BC334" s="49" t="inlineStr">
        <is>
          <t>IF(OR(F334="",AP334=""),"",IF(COUNT(AI334:AO334)=0,"",AP334-LOOKUP(2,1/(AI334:AO334&lt;&gt;""),AI334:AO334)))</t>
        </is>
      </c>
      <c r="BD334" s="49" t="inlineStr">
        <is>
          <t>IF(OR(F334="",AQ334=""),"",IF(COUNT(AI334:AP334)=0,"",AQ334-LOOKUP(2,1/(AI334:AP334&lt;&gt;""),AI334:AP334)))</t>
        </is>
      </c>
      <c r="BE334" s="49" t="inlineStr">
        <is>
          <t>IF(OR(F334="",AR334=""),"",IF(COUNT(AI334:AQ334)=0,"",AR334-LOOKUP(2,1/(AI334:AQ334&lt;&gt;""),AI334:AQ334)))</t>
        </is>
      </c>
      <c r="BF334" s="49" t="inlineStr">
        <is>
          <t>IF(OR(F334="",AS334=""),"",IF(COUNT(AI334:AR334)=0,"",AS334-LOOKUP(2,1/(AI334:AR334&lt;&gt;""),AI334:AR334)))</t>
        </is>
      </c>
      <c r="BG334" s="49" t="inlineStr">
        <is>
          <t>IF(OR(F334="",AT334=""),"",IF(COUNT(AI334:AS334)=0,"",AT334-LOOKUP(2,1/(AI334:AS334&lt;&gt;""),AI334:AS334)))</t>
        </is>
      </c>
      <c r="BH334" s="49" t="inlineStr">
        <is>
          <t>IF(OR(F334="",AU334=""),"",IF(COUNT(AI334:AT334)=0,"",AU334-LOOKUP(2,1/(AI334:AT334&lt;&gt;""),AI334:AT334)))</t>
        </is>
      </c>
      <c r="BI334" s="49" t="inlineStr">
        <is>
          <t>IF(OR(F334="",AV334=""),"",IF(COUNT(AI334:AU334)=0,"",AV334-LOOKUP(2,1/(AI334:AU334&lt;&gt;""),AI334:AU334)))</t>
        </is>
      </c>
      <c r="BJ334" s="51" t="inlineStr">
        <is>
          <t>IF(J334="","All_Provinces",IFERROR(VLOOKUP(J334,'09_Lookups'!$A$4:$B$20,2,FALSE),"All_Provinces"))</t>
        </is>
      </c>
      <c r="BK334" s="51" t="inlineStr">
        <is>
          <t>IF(K334="","All_Districts",IFERROR(VLOOKUP(K334,'09_Lookups'!$E$4:$F$42,2,FALSE),"All_Districts"))</t>
        </is>
      </c>
    </row>
    <row r="335" ht="18" customHeight="1">
      <c r="A335" s="42" t="inlineStr">
        <is>
          <t>IF(F335="","",ROW()-3)</t>
        </is>
      </c>
      <c r="B335" s="44" t="n"/>
      <c r="C335" s="44" t="n"/>
      <c r="D335" s="44" t="n"/>
      <c r="E335" s="44" t="n"/>
      <c r="F335" s="44" t="n"/>
      <c r="G335" s="44" t="n"/>
      <c r="H335" s="44" t="n"/>
      <c r="I335" s="44" t="n"/>
      <c r="J335" s="44" t="n"/>
      <c r="K335" s="44" t="n"/>
      <c r="L335" s="44" t="n"/>
      <c r="M335" s="44" t="n"/>
      <c r="N335" s="44" t="n"/>
      <c r="O335" s="44" t="n"/>
      <c r="P335" s="44" t="n"/>
      <c r="Q335" s="44" t="n"/>
      <c r="R335" s="44" t="n"/>
      <c r="S335" s="45" t="n"/>
      <c r="T335" s="46" t="inlineStr">
        <is>
          <t>IF(AQ335="","",AQ335)</t>
        </is>
      </c>
      <c r="U335" s="47" t="n"/>
      <c r="V335" s="48" t="n"/>
      <c r="W335" s="47" t="n"/>
      <c r="X335" s="46" t="inlineStr">
        <is>
          <t>IF(W335&lt;&gt;"",W335,IF(OR(T335="",V335=""),"",EDATE(T335,V335)))</t>
        </is>
      </c>
      <c r="Y335" s="47" t="n"/>
      <c r="Z335" s="48" t="n"/>
      <c r="AA335" s="44" t="n"/>
      <c r="AB335" s="44" t="n"/>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47" t="n"/>
      <c r="AJ335" s="47" t="n"/>
      <c r="AK335" s="47" t="n"/>
      <c r="AL335" s="47" t="n"/>
      <c r="AM335" s="47" t="n"/>
      <c r="AN335" s="47" t="n"/>
      <c r="AO335" s="47" t="n"/>
      <c r="AP335" s="47" t="n"/>
      <c r="AQ335" s="47" t="n"/>
      <c r="AR335" s="47" t="n"/>
      <c r="AS335" s="4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ht="18" customHeight="1">
      <c r="A336" s="42" t="inlineStr">
        <is>
          <t>IF(F336="","",ROW()-3)</t>
        </is>
      </c>
      <c r="B336" s="52" t="n"/>
      <c r="C336" s="52" t="n"/>
      <c r="D336" s="52" t="n"/>
      <c r="E336" s="52" t="n"/>
      <c r="F336" s="52" t="n"/>
      <c r="G336" s="52" t="n"/>
      <c r="H336" s="52" t="n"/>
      <c r="I336" s="52" t="n"/>
      <c r="J336" s="52" t="n"/>
      <c r="K336" s="52" t="n"/>
      <c r="L336" s="52" t="n"/>
      <c r="M336" s="52" t="n"/>
      <c r="N336" s="52" t="n"/>
      <c r="O336" s="52" t="n"/>
      <c r="P336" s="52" t="n"/>
      <c r="Q336" s="52" t="n"/>
      <c r="R336" s="52" t="n"/>
      <c r="S336" s="53" t="n"/>
      <c r="T336" s="46" t="inlineStr">
        <is>
          <t>IF(AQ336="","",AQ336)</t>
        </is>
      </c>
      <c r="U336" s="54" t="n"/>
      <c r="V336" s="55" t="n"/>
      <c r="W336" s="54" t="n"/>
      <c r="X336" s="46" t="inlineStr">
        <is>
          <t>IF(W336&lt;&gt;"",W336,IF(OR(T336="",V336=""),"",EDATE(T336,V336)))</t>
        </is>
      </c>
      <c r="Y336" s="54" t="n"/>
      <c r="Z336" s="55" t="n"/>
      <c r="AA336" s="52" t="n"/>
      <c r="AB336" s="52" t="n"/>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54" t="n"/>
      <c r="AJ336" s="54" t="n"/>
      <c r="AK336" s="54" t="n"/>
      <c r="AL336" s="54" t="n"/>
      <c r="AM336" s="54" t="n"/>
      <c r="AN336" s="54" t="n"/>
      <c r="AO336" s="54" t="n"/>
      <c r="AP336" s="54" t="n"/>
      <c r="AQ336" s="54" t="n"/>
      <c r="AR336" s="54" t="n"/>
      <c r="AS336" s="54" t="n"/>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ht="18" customHeight="1">
      <c r="A337" s="42" t="inlineStr">
        <is>
          <t>IF(F337="","",ROW()-3)</t>
        </is>
      </c>
      <c r="B337" s="44" t="n"/>
      <c r="C337" s="44" t="n"/>
      <c r="D337" s="44" t="n"/>
      <c r="E337" s="44" t="n"/>
      <c r="F337" s="44" t="n"/>
      <c r="G337" s="44" t="n"/>
      <c r="H337" s="44" t="n"/>
      <c r="I337" s="44" t="n"/>
      <c r="J337" s="44" t="n"/>
      <c r="K337" s="44" t="n"/>
      <c r="L337" s="44" t="n"/>
      <c r="M337" s="44" t="n"/>
      <c r="N337" s="44" t="n"/>
      <c r="O337" s="44" t="n"/>
      <c r="P337" s="44" t="n"/>
      <c r="Q337" s="44" t="n"/>
      <c r="R337" s="44" t="n"/>
      <c r="S337" s="45" t="n"/>
      <c r="T337" s="46" t="inlineStr">
        <is>
          <t>IF(AQ337="","",AQ337)</t>
        </is>
      </c>
      <c r="U337" s="47" t="n"/>
      <c r="V337" s="48" t="n"/>
      <c r="W337" s="47" t="n"/>
      <c r="X337" s="46" t="inlineStr">
        <is>
          <t>IF(W337&lt;&gt;"",W337,IF(OR(T337="",V337=""),"",EDATE(T337,V337)))</t>
        </is>
      </c>
      <c r="Y337" s="47" t="n"/>
      <c r="Z337" s="48" t="n"/>
      <c r="AA337" s="44" t="n"/>
      <c r="AB337" s="44" t="n"/>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47" t="n"/>
      <c r="AJ337" s="47" t="n"/>
      <c r="AK337" s="47" t="n"/>
      <c r="AL337" s="47" t="n"/>
      <c r="AM337" s="47" t="n"/>
      <c r="AN337" s="47" t="n"/>
      <c r="AO337" s="47" t="n"/>
      <c r="AP337" s="47" t="n"/>
      <c r="AQ337" s="47" t="n"/>
      <c r="AR337" s="47" t="n"/>
      <c r="AS337" s="4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ht="18" customHeight="1">
      <c r="A338" s="42" t="inlineStr">
        <is>
          <t>IF(F338="","",ROW()-3)</t>
        </is>
      </c>
      <c r="B338" s="52" t="n"/>
      <c r="C338" s="52" t="n"/>
      <c r="D338" s="52" t="n"/>
      <c r="E338" s="52" t="n"/>
      <c r="F338" s="52" t="n"/>
      <c r="G338" s="52" t="n"/>
      <c r="H338" s="52" t="n"/>
      <c r="I338" s="52" t="n"/>
      <c r="J338" s="52" t="n"/>
      <c r="K338" s="52" t="n"/>
      <c r="L338" s="52" t="n"/>
      <c r="M338" s="52" t="n"/>
      <c r="N338" s="52" t="n"/>
      <c r="O338" s="52" t="n"/>
      <c r="P338" s="52" t="n"/>
      <c r="Q338" s="52" t="n"/>
      <c r="R338" s="52" t="n"/>
      <c r="S338" s="53" t="n"/>
      <c r="T338" s="46" t="inlineStr">
        <is>
          <t>IF(AQ338="","",AQ338)</t>
        </is>
      </c>
      <c r="U338" s="54" t="n"/>
      <c r="V338" s="55" t="n"/>
      <c r="W338" s="54" t="n"/>
      <c r="X338" s="46" t="inlineStr">
        <is>
          <t>IF(W338&lt;&gt;"",W338,IF(OR(T338="",V338=""),"",EDATE(T338,V338)))</t>
        </is>
      </c>
      <c r="Y338" s="54" t="n"/>
      <c r="Z338" s="55" t="n"/>
      <c r="AA338" s="52" t="n"/>
      <c r="AB338" s="52" t="n"/>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54" t="n"/>
      <c r="AJ338" s="54" t="n"/>
      <c r="AK338" s="54" t="n"/>
      <c r="AL338" s="54" t="n"/>
      <c r="AM338" s="54" t="n"/>
      <c r="AN338" s="54" t="n"/>
      <c r="AO338" s="54" t="n"/>
      <c r="AP338" s="54" t="n"/>
      <c r="AQ338" s="54" t="n"/>
      <c r="AR338" s="54" t="n"/>
      <c r="AS338" s="54"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42" t="inlineStr">
        <is>
          <t>IF(F339="","",ROW()-3)</t>
        </is>
      </c>
      <c r="B339" s="44" t="n"/>
      <c r="C339" s="44" t="n"/>
      <c r="D339" s="44" t="n"/>
      <c r="E339" s="44" t="n"/>
      <c r="F339" s="44" t="n"/>
      <c r="G339" s="44" t="n"/>
      <c r="H339" s="44" t="n"/>
      <c r="I339" s="44" t="n"/>
      <c r="J339" s="44" t="n"/>
      <c r="K339" s="44" t="n"/>
      <c r="L339" s="44" t="n"/>
      <c r="M339" s="44" t="n"/>
      <c r="N339" s="44" t="n"/>
      <c r="O339" s="44" t="n"/>
      <c r="P339" s="44" t="n"/>
      <c r="Q339" s="44" t="n"/>
      <c r="R339" s="44" t="n"/>
      <c r="S339" s="45" t="n"/>
      <c r="T339" s="46" t="inlineStr">
        <is>
          <t>IF(AQ339="","",AQ339)</t>
        </is>
      </c>
      <c r="U339" s="47" t="n"/>
      <c r="V339" s="48" t="n"/>
      <c r="W339" s="47" t="n"/>
      <c r="X339" s="46" t="inlineStr">
        <is>
          <t>IF(W339&lt;&gt;"",W339,IF(OR(T339="",V339=""),"",EDATE(T339,V339)))</t>
        </is>
      </c>
      <c r="Y339" s="47" t="n"/>
      <c r="Z339" s="48" t="n"/>
      <c r="AA339" s="44" t="n"/>
      <c r="AB339" s="44" t="n"/>
      <c r="AC339" s="42" t="inlineStr">
        <is>
          <t>IF(F339="","",IF(COUNT(AI339:AV339)=0,IF(AA339="","Not started",AA339),SUBSTITUTE(LOOKUP(2,1/(AI339:AV339&lt;&gt;""),$AI$3:$AV$3),"Date: ","")))</t>
        </is>
      </c>
      <c r="AD339" s="49" t="inlineStr">
        <is>
          <t>IF(OR(F339="",COUNT(AI339:AV339)=0),"",TODAY()-LOOKUP(2,1/(AI339:AV339&lt;&gt;""),AI339:AV339))</t>
        </is>
      </c>
      <c r="AE339" s="49" t="inlineStr">
        <is>
          <t>IF(OR(F339="",COUNT(AI339:AV339)&lt;2),"",LOOKUP(2,1/(AI339:AV339&lt;&gt;""),AI339:AV339)-MIN(AI339:AV339))</t>
        </is>
      </c>
      <c r="AF339" s="49" t="inlineStr">
        <is>
          <t>IF(OR(AD339="",AC339="Not started",AC339=""),"",IFERROR(AD339-IF(VLOOKUP(AC339,'06_Status_Pipeline'!$B$3:$E$20,4,FALSE)="",0,VLOOKUP(AC339,'06_Status_Pipeline'!$B$3:$E$20,4,FALSE)),""))</t>
        </is>
      </c>
      <c r="AG339" s="4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49" t="inlineStr">
        <is>
          <t>IF(OR(F339="",AC339="Completed / Handover",AC339="Cancelled"),"",IF(O339="Not awarded",IF(U339&lt;&gt;"",U339-TODAY(),IF(X339="","",X339-TODAY())),IF(X339="","",X339-TODAY())))</t>
        </is>
      </c>
      <c r="AI339" s="47" t="n"/>
      <c r="AJ339" s="47" t="n"/>
      <c r="AK339" s="47" t="n"/>
      <c r="AL339" s="47" t="n"/>
      <c r="AM339" s="47" t="n"/>
      <c r="AN339" s="47" t="n"/>
      <c r="AO339" s="47" t="n"/>
      <c r="AP339" s="47" t="n"/>
      <c r="AQ339" s="47" t="n"/>
      <c r="AR339" s="47" t="n"/>
      <c r="AS339" s="47" t="n"/>
      <c r="AT339" s="50" t="n"/>
      <c r="AU339" s="50" t="n"/>
      <c r="AV339" s="50" t="n"/>
      <c r="AW339" s="49" t="inlineStr">
        <is>
          <t>IF(OR(F339="",AJ339=""),"",IF(COUNT(AI339:AI339)=0,"",AJ339-LOOKUP(2,1/(AI339:AI339&lt;&gt;""),AI339:AI339)))</t>
        </is>
      </c>
      <c r="AX339" s="49" t="inlineStr">
        <is>
          <t>IF(OR(F339="",AK339=""),"",IF(COUNT(AI339:AJ339)=0,"",AK339-LOOKUP(2,1/(AI339:AJ339&lt;&gt;""),AI339:AJ339)))</t>
        </is>
      </c>
      <c r="AY339" s="49" t="inlineStr">
        <is>
          <t>IF(OR(F339="",AL339=""),"",IF(COUNT(AI339:AK339)=0,"",AL339-LOOKUP(2,1/(AI339:AK339&lt;&gt;""),AI339:AK339)))</t>
        </is>
      </c>
      <c r="AZ339" s="49" t="inlineStr">
        <is>
          <t>IF(OR(F339="",AM339=""),"",IF(COUNT(AI339:AL339)=0,"",AM339-LOOKUP(2,1/(AI339:AL339&lt;&gt;""),AI339:AL339)))</t>
        </is>
      </c>
      <c r="BA339" s="49" t="inlineStr">
        <is>
          <t>IF(OR(F339="",AN339=""),"",IF(COUNT(AI339:AM339)=0,"",AN339-LOOKUP(2,1/(AI339:AM339&lt;&gt;""),AI339:AM339)))</t>
        </is>
      </c>
      <c r="BB339" s="49" t="inlineStr">
        <is>
          <t>IF(OR(F339="",AO339=""),"",IF(COUNT(AI339:AN339)=0,"",AO339-LOOKUP(2,1/(AI339:AN339&lt;&gt;""),AI339:AN339)))</t>
        </is>
      </c>
      <c r="BC339" s="49" t="inlineStr">
        <is>
          <t>IF(OR(F339="",AP339=""),"",IF(COUNT(AI339:AO339)=0,"",AP339-LOOKUP(2,1/(AI339:AO339&lt;&gt;""),AI339:AO339)))</t>
        </is>
      </c>
      <c r="BD339" s="49" t="inlineStr">
        <is>
          <t>IF(OR(F339="",AQ339=""),"",IF(COUNT(AI339:AP339)=0,"",AQ339-LOOKUP(2,1/(AI339:AP339&lt;&gt;""),AI339:AP339)))</t>
        </is>
      </c>
      <c r="BE339" s="49" t="inlineStr">
        <is>
          <t>IF(OR(F339="",AR339=""),"",IF(COUNT(AI339:AQ339)=0,"",AR339-LOOKUP(2,1/(AI339:AQ339&lt;&gt;""),AI339:AQ339)))</t>
        </is>
      </c>
      <c r="BF339" s="49" t="inlineStr">
        <is>
          <t>IF(OR(F339="",AS339=""),"",IF(COUNT(AI339:AR339)=0,"",AS339-LOOKUP(2,1/(AI339:AR339&lt;&gt;""),AI339:AR339)))</t>
        </is>
      </c>
      <c r="BG339" s="49" t="inlineStr">
        <is>
          <t>IF(OR(F339="",AT339=""),"",IF(COUNT(AI339:AS339)=0,"",AT339-LOOKUP(2,1/(AI339:AS339&lt;&gt;""),AI339:AS339)))</t>
        </is>
      </c>
      <c r="BH339" s="49" t="inlineStr">
        <is>
          <t>IF(OR(F339="",AU339=""),"",IF(COUNT(AI339:AT339)=0,"",AU339-LOOKUP(2,1/(AI339:AT339&lt;&gt;""),AI339:AT339)))</t>
        </is>
      </c>
      <c r="BI339" s="49" t="inlineStr">
        <is>
          <t>IF(OR(F339="",AV339=""),"",IF(COUNT(AI339:AU339)=0,"",AV339-LOOKUP(2,1/(AI339:AU339&lt;&gt;""),AI339:AU339)))</t>
        </is>
      </c>
      <c r="BJ339" s="51" t="inlineStr">
        <is>
          <t>IF(J339="","All_Provinces",IFERROR(VLOOKUP(J339,'09_Lookups'!$A$4:$B$20,2,FALSE),"All_Provinces"))</t>
        </is>
      </c>
      <c r="BK339" s="51" t="inlineStr">
        <is>
          <t>IF(K339="","All_Districts",IFERROR(VLOOKUP(K339,'09_Lookups'!$E$4:$F$42,2,FALSE),"All_Districts"))</t>
        </is>
      </c>
    </row>
    <row r="340" ht="18" customHeight="1">
      <c r="A340" s="42" t="inlineStr">
        <is>
          <t>IF(F340="","",ROW()-3)</t>
        </is>
      </c>
      <c r="B340" s="52" t="n"/>
      <c r="C340" s="52" t="n"/>
      <c r="D340" s="52" t="n"/>
      <c r="E340" s="52" t="n"/>
      <c r="F340" s="52" t="n"/>
      <c r="G340" s="52" t="n"/>
      <c r="H340" s="52" t="n"/>
      <c r="I340" s="52" t="n"/>
      <c r="J340" s="52" t="n"/>
      <c r="K340" s="52" t="n"/>
      <c r="L340" s="52" t="n"/>
      <c r="M340" s="52" t="n"/>
      <c r="N340" s="52" t="n"/>
      <c r="O340" s="52" t="n"/>
      <c r="P340" s="52" t="n"/>
      <c r="Q340" s="52" t="n"/>
      <c r="R340" s="52" t="n"/>
      <c r="S340" s="53" t="n"/>
      <c r="T340" s="46" t="inlineStr">
        <is>
          <t>IF(AQ340="","",AQ340)</t>
        </is>
      </c>
      <c r="U340" s="54" t="n"/>
      <c r="V340" s="55" t="n"/>
      <c r="W340" s="54" t="n"/>
      <c r="X340" s="46" t="inlineStr">
        <is>
          <t>IF(W340&lt;&gt;"",W340,IF(OR(T340="",V340=""),"",EDATE(T340,V340)))</t>
        </is>
      </c>
      <c r="Y340" s="54" t="n"/>
      <c r="Z340" s="55" t="n"/>
      <c r="AA340" s="52" t="n"/>
      <c r="AB340" s="52" t="n"/>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54" t="n"/>
      <c r="AJ340" s="54" t="n"/>
      <c r="AK340" s="54" t="n"/>
      <c r="AL340" s="54" t="n"/>
      <c r="AM340" s="54" t="n"/>
      <c r="AN340" s="54" t="n"/>
      <c r="AO340" s="54" t="n"/>
      <c r="AP340" s="54" t="n"/>
      <c r="AQ340" s="54" t="n"/>
      <c r="AR340" s="54" t="n"/>
      <c r="AS340" s="54"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42" t="inlineStr">
        <is>
          <t>IF(F341="","",ROW()-3)</t>
        </is>
      </c>
      <c r="B341" s="44" t="n"/>
      <c r="C341" s="44" t="n"/>
      <c r="D341" s="44" t="n"/>
      <c r="E341" s="44" t="n"/>
      <c r="F341" s="44" t="n"/>
      <c r="G341" s="44" t="n"/>
      <c r="H341" s="44" t="n"/>
      <c r="I341" s="44" t="n"/>
      <c r="J341" s="44" t="n"/>
      <c r="K341" s="44" t="n"/>
      <c r="L341" s="44" t="n"/>
      <c r="M341" s="44" t="n"/>
      <c r="N341" s="44" t="n"/>
      <c r="O341" s="44" t="n"/>
      <c r="P341" s="44" t="n"/>
      <c r="Q341" s="44" t="n"/>
      <c r="R341" s="44" t="n"/>
      <c r="S341" s="45" t="n"/>
      <c r="T341" s="46" t="inlineStr">
        <is>
          <t>IF(AQ341="","",AQ341)</t>
        </is>
      </c>
      <c r="U341" s="47" t="n"/>
      <c r="V341" s="48" t="n"/>
      <c r="W341" s="47" t="n"/>
      <c r="X341" s="46" t="inlineStr">
        <is>
          <t>IF(W341&lt;&gt;"",W341,IF(OR(T341="",V341=""),"",EDATE(T341,V341)))</t>
        </is>
      </c>
      <c r="Y341" s="47" t="n"/>
      <c r="Z341" s="48" t="n"/>
      <c r="AA341" s="44" t="n"/>
      <c r="AB341" s="44" t="n"/>
      <c r="AC341" s="42" t="inlineStr">
        <is>
          <t>IF(F341="","",IF(COUNT(AI341:AV341)=0,IF(AA341="","Not started",AA341),SUBSTITUTE(LOOKUP(2,1/(AI341:AV341&lt;&gt;""),$AI$3:$AV$3),"Date: ","")))</t>
        </is>
      </c>
      <c r="AD341" s="49" t="inlineStr">
        <is>
          <t>IF(OR(F341="",COUNT(AI341:AV341)=0),"",TODAY()-LOOKUP(2,1/(AI341:AV341&lt;&gt;""),AI341:AV341))</t>
        </is>
      </c>
      <c r="AE341" s="49" t="inlineStr">
        <is>
          <t>IF(OR(F341="",COUNT(AI341:AV341)&lt;2),"",LOOKUP(2,1/(AI341:AV341&lt;&gt;""),AI341:AV341)-MIN(AI341:AV341))</t>
        </is>
      </c>
      <c r="AF341" s="49" t="inlineStr">
        <is>
          <t>IF(OR(AD341="",AC341="Not started",AC341=""),"",IFERROR(AD341-IF(VLOOKUP(AC341,'06_Status_Pipeline'!$B$3:$E$20,4,FALSE)="",0,VLOOKUP(AC341,'06_Status_Pipeline'!$B$3:$E$20,4,FALSE)),""))</t>
        </is>
      </c>
      <c r="AG341" s="4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49" t="inlineStr">
        <is>
          <t>IF(OR(F341="",AC341="Completed / Handover",AC341="Cancelled"),"",IF(O341="Not awarded",IF(U341&lt;&gt;"",U341-TODAY(),IF(X341="","",X341-TODAY())),IF(X341="","",X341-TODAY())))</t>
        </is>
      </c>
      <c r="AI341" s="47" t="n"/>
      <c r="AJ341" s="47" t="n"/>
      <c r="AK341" s="47" t="n"/>
      <c r="AL341" s="47" t="n"/>
      <c r="AM341" s="47" t="n"/>
      <c r="AN341" s="47" t="n"/>
      <c r="AO341" s="47" t="n"/>
      <c r="AP341" s="47" t="n"/>
      <c r="AQ341" s="47" t="n"/>
      <c r="AR341" s="47" t="n"/>
      <c r="AS341" s="47" t="n"/>
      <c r="AT341" s="50" t="n"/>
      <c r="AU341" s="50" t="n"/>
      <c r="AV341" s="50" t="n"/>
      <c r="AW341" s="49" t="inlineStr">
        <is>
          <t>IF(OR(F341="",AJ341=""),"",IF(COUNT(AI341:AI341)=0,"",AJ341-LOOKUP(2,1/(AI341:AI341&lt;&gt;""),AI341:AI341)))</t>
        </is>
      </c>
      <c r="AX341" s="49" t="inlineStr">
        <is>
          <t>IF(OR(F341="",AK341=""),"",IF(COUNT(AI341:AJ341)=0,"",AK341-LOOKUP(2,1/(AI341:AJ341&lt;&gt;""),AI341:AJ341)))</t>
        </is>
      </c>
      <c r="AY341" s="49" t="inlineStr">
        <is>
          <t>IF(OR(F341="",AL341=""),"",IF(COUNT(AI341:AK341)=0,"",AL341-LOOKUP(2,1/(AI341:AK341&lt;&gt;""),AI341:AK341)))</t>
        </is>
      </c>
      <c r="AZ341" s="49" t="inlineStr">
        <is>
          <t>IF(OR(F341="",AM341=""),"",IF(COUNT(AI341:AL341)=0,"",AM341-LOOKUP(2,1/(AI341:AL341&lt;&gt;""),AI341:AL341)))</t>
        </is>
      </c>
      <c r="BA341" s="49" t="inlineStr">
        <is>
          <t>IF(OR(F341="",AN341=""),"",IF(COUNT(AI341:AM341)=0,"",AN341-LOOKUP(2,1/(AI341:AM341&lt;&gt;""),AI341:AM341)))</t>
        </is>
      </c>
      <c r="BB341" s="49" t="inlineStr">
        <is>
          <t>IF(OR(F341="",AO341=""),"",IF(COUNT(AI341:AN341)=0,"",AO341-LOOKUP(2,1/(AI341:AN341&lt;&gt;""),AI341:AN341)))</t>
        </is>
      </c>
      <c r="BC341" s="49" t="inlineStr">
        <is>
          <t>IF(OR(F341="",AP341=""),"",IF(COUNT(AI341:AO341)=0,"",AP341-LOOKUP(2,1/(AI341:AO341&lt;&gt;""),AI341:AO341)))</t>
        </is>
      </c>
      <c r="BD341" s="49" t="inlineStr">
        <is>
          <t>IF(OR(F341="",AQ341=""),"",IF(COUNT(AI341:AP341)=0,"",AQ341-LOOKUP(2,1/(AI341:AP341&lt;&gt;""),AI341:AP341)))</t>
        </is>
      </c>
      <c r="BE341" s="49" t="inlineStr">
        <is>
          <t>IF(OR(F341="",AR341=""),"",IF(COUNT(AI341:AQ341)=0,"",AR341-LOOKUP(2,1/(AI341:AQ341&lt;&gt;""),AI341:AQ341)))</t>
        </is>
      </c>
      <c r="BF341" s="49" t="inlineStr">
        <is>
          <t>IF(OR(F341="",AS341=""),"",IF(COUNT(AI341:AR341)=0,"",AS341-LOOKUP(2,1/(AI341:AR341&lt;&gt;""),AI341:AR341)))</t>
        </is>
      </c>
      <c r="BG341" s="49" t="inlineStr">
        <is>
          <t>IF(OR(F341="",AT341=""),"",IF(COUNT(AI341:AS341)=0,"",AT341-LOOKUP(2,1/(AI341:AS341&lt;&gt;""),AI341:AS341)))</t>
        </is>
      </c>
      <c r="BH341" s="49" t="inlineStr">
        <is>
          <t>IF(OR(F341="",AU341=""),"",IF(COUNT(AI341:AT341)=0,"",AU341-LOOKUP(2,1/(AI341:AT341&lt;&gt;""),AI341:AT341)))</t>
        </is>
      </c>
      <c r="BI341" s="49" t="inlineStr">
        <is>
          <t>IF(OR(F341="",AV341=""),"",IF(COUNT(AI341:AU341)=0,"",AV341-LOOKUP(2,1/(AI341:AU341&lt;&gt;""),AI341:AU341)))</t>
        </is>
      </c>
      <c r="BJ341" s="51" t="inlineStr">
        <is>
          <t>IF(J341="","All_Provinces",IFERROR(VLOOKUP(J341,'09_Lookups'!$A$4:$B$20,2,FALSE),"All_Provinces"))</t>
        </is>
      </c>
      <c r="BK341" s="51" t="inlineStr">
        <is>
          <t>IF(K341="","All_Districts",IFERROR(VLOOKUP(K341,'09_Lookups'!$E$4:$F$42,2,FALSE),"All_Districts"))</t>
        </is>
      </c>
    </row>
    <row r="342" ht="18" customHeight="1">
      <c r="A342" s="42" t="inlineStr">
        <is>
          <t>IF(F342="","",ROW()-3)</t>
        </is>
      </c>
      <c r="B342" s="52" t="n"/>
      <c r="C342" s="52" t="n"/>
      <c r="D342" s="52" t="n"/>
      <c r="E342" s="52" t="n"/>
      <c r="F342" s="52" t="n"/>
      <c r="G342" s="52" t="n"/>
      <c r="H342" s="52" t="n"/>
      <c r="I342" s="52" t="n"/>
      <c r="J342" s="52" t="n"/>
      <c r="K342" s="52" t="n"/>
      <c r="L342" s="52" t="n"/>
      <c r="M342" s="52" t="n"/>
      <c r="N342" s="52" t="n"/>
      <c r="O342" s="52" t="n"/>
      <c r="P342" s="52" t="n"/>
      <c r="Q342" s="52" t="n"/>
      <c r="R342" s="52" t="n"/>
      <c r="S342" s="53" t="n"/>
      <c r="T342" s="46" t="inlineStr">
        <is>
          <t>IF(AQ342="","",AQ342)</t>
        </is>
      </c>
      <c r="U342" s="54" t="n"/>
      <c r="V342" s="55" t="n"/>
      <c r="W342" s="54" t="n"/>
      <c r="X342" s="46" t="inlineStr">
        <is>
          <t>IF(W342&lt;&gt;"",W342,IF(OR(T342="",V342=""),"",EDATE(T342,V342)))</t>
        </is>
      </c>
      <c r="Y342" s="54" t="n"/>
      <c r="Z342" s="55" t="n"/>
      <c r="AA342" s="52" t="n"/>
      <c r="AB342" s="52" t="n"/>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54" t="n"/>
      <c r="AJ342" s="54" t="n"/>
      <c r="AK342" s="54" t="n"/>
      <c r="AL342" s="54" t="n"/>
      <c r="AM342" s="54" t="n"/>
      <c r="AN342" s="54" t="n"/>
      <c r="AO342" s="54" t="n"/>
      <c r="AP342" s="54" t="n"/>
      <c r="AQ342" s="54" t="n"/>
      <c r="AR342" s="54" t="n"/>
      <c r="AS342" s="54"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42" t="inlineStr">
        <is>
          <t>IF(F343="","",ROW()-3)</t>
        </is>
      </c>
      <c r="B343" s="44" t="n"/>
      <c r="C343" s="44" t="n"/>
      <c r="D343" s="44" t="n"/>
      <c r="E343" s="44" t="n"/>
      <c r="F343" s="44" t="n"/>
      <c r="G343" s="44" t="n"/>
      <c r="H343" s="44" t="n"/>
      <c r="I343" s="44" t="n"/>
      <c r="J343" s="44" t="n"/>
      <c r="K343" s="44" t="n"/>
      <c r="L343" s="44" t="n"/>
      <c r="M343" s="44" t="n"/>
      <c r="N343" s="44" t="n"/>
      <c r="O343" s="44" t="n"/>
      <c r="P343" s="44" t="n"/>
      <c r="Q343" s="44" t="n"/>
      <c r="R343" s="44" t="n"/>
      <c r="S343" s="45" t="n"/>
      <c r="T343" s="46" t="inlineStr">
        <is>
          <t>IF(AQ343="","",AQ343)</t>
        </is>
      </c>
      <c r="U343" s="47" t="n"/>
      <c r="V343" s="48" t="n"/>
      <c r="W343" s="47" t="n"/>
      <c r="X343" s="46" t="inlineStr">
        <is>
          <t>IF(W343&lt;&gt;"",W343,IF(OR(T343="",V343=""),"",EDATE(T343,V343)))</t>
        </is>
      </c>
      <c r="Y343" s="47" t="n"/>
      <c r="Z343" s="48" t="n"/>
      <c r="AA343" s="44" t="n"/>
      <c r="AB343" s="44" t="n"/>
      <c r="AC343" s="42" t="inlineStr">
        <is>
          <t>IF(F343="","",IF(COUNT(AI343:AV343)=0,IF(AA343="","Not started",AA343),SUBSTITUTE(LOOKUP(2,1/(AI343:AV343&lt;&gt;""),$AI$3:$AV$3),"Date: ","")))</t>
        </is>
      </c>
      <c r="AD343" s="49" t="inlineStr">
        <is>
          <t>IF(OR(F343="",COUNT(AI343:AV343)=0),"",TODAY()-LOOKUP(2,1/(AI343:AV343&lt;&gt;""),AI343:AV343))</t>
        </is>
      </c>
      <c r="AE343" s="49" t="inlineStr">
        <is>
          <t>IF(OR(F343="",COUNT(AI343:AV343)&lt;2),"",LOOKUP(2,1/(AI343:AV343&lt;&gt;""),AI343:AV343)-MIN(AI343:AV343))</t>
        </is>
      </c>
      <c r="AF343" s="49" t="inlineStr">
        <is>
          <t>IF(OR(AD343="",AC343="Not started",AC343=""),"",IFERROR(AD343-IF(VLOOKUP(AC343,'06_Status_Pipeline'!$B$3:$E$20,4,FALSE)="",0,VLOOKUP(AC343,'06_Status_Pipeline'!$B$3:$E$20,4,FALSE)),""))</t>
        </is>
      </c>
      <c r="AG343" s="4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49" t="inlineStr">
        <is>
          <t>IF(OR(F343="",AC343="Completed / Handover",AC343="Cancelled"),"",IF(O343="Not awarded",IF(U343&lt;&gt;"",U343-TODAY(),IF(X343="","",X343-TODAY())),IF(X343="","",X343-TODAY())))</t>
        </is>
      </c>
      <c r="AI343" s="47" t="n"/>
      <c r="AJ343" s="47" t="n"/>
      <c r="AK343" s="47" t="n"/>
      <c r="AL343" s="47" t="n"/>
      <c r="AM343" s="47" t="n"/>
      <c r="AN343" s="47" t="n"/>
      <c r="AO343" s="47" t="n"/>
      <c r="AP343" s="47" t="n"/>
      <c r="AQ343" s="47" t="n"/>
      <c r="AR343" s="47" t="n"/>
      <c r="AS343" s="47" t="n"/>
      <c r="AT343" s="50" t="n"/>
      <c r="AU343" s="50" t="n"/>
      <c r="AV343" s="50" t="n"/>
      <c r="AW343" s="49" t="inlineStr">
        <is>
          <t>IF(OR(F343="",AJ343=""),"",IF(COUNT(AI343:AI343)=0,"",AJ343-LOOKUP(2,1/(AI343:AI343&lt;&gt;""),AI343:AI343)))</t>
        </is>
      </c>
      <c r="AX343" s="49" t="inlineStr">
        <is>
          <t>IF(OR(F343="",AK343=""),"",IF(COUNT(AI343:AJ343)=0,"",AK343-LOOKUP(2,1/(AI343:AJ343&lt;&gt;""),AI343:AJ343)))</t>
        </is>
      </c>
      <c r="AY343" s="49" t="inlineStr">
        <is>
          <t>IF(OR(F343="",AL343=""),"",IF(COUNT(AI343:AK343)=0,"",AL343-LOOKUP(2,1/(AI343:AK343&lt;&gt;""),AI343:AK343)))</t>
        </is>
      </c>
      <c r="AZ343" s="49" t="inlineStr">
        <is>
          <t>IF(OR(F343="",AM343=""),"",IF(COUNT(AI343:AL343)=0,"",AM343-LOOKUP(2,1/(AI343:AL343&lt;&gt;""),AI343:AL343)))</t>
        </is>
      </c>
      <c r="BA343" s="49" t="inlineStr">
        <is>
          <t>IF(OR(F343="",AN343=""),"",IF(COUNT(AI343:AM343)=0,"",AN343-LOOKUP(2,1/(AI343:AM343&lt;&gt;""),AI343:AM343)))</t>
        </is>
      </c>
      <c r="BB343" s="49" t="inlineStr">
        <is>
          <t>IF(OR(F343="",AO343=""),"",IF(COUNT(AI343:AN343)=0,"",AO343-LOOKUP(2,1/(AI343:AN343&lt;&gt;""),AI343:AN343)))</t>
        </is>
      </c>
      <c r="BC343" s="49" t="inlineStr">
        <is>
          <t>IF(OR(F343="",AP343=""),"",IF(COUNT(AI343:AO343)=0,"",AP343-LOOKUP(2,1/(AI343:AO343&lt;&gt;""),AI343:AO343)))</t>
        </is>
      </c>
      <c r="BD343" s="49" t="inlineStr">
        <is>
          <t>IF(OR(F343="",AQ343=""),"",IF(COUNT(AI343:AP343)=0,"",AQ343-LOOKUP(2,1/(AI343:AP343&lt;&gt;""),AI343:AP343)))</t>
        </is>
      </c>
      <c r="BE343" s="49" t="inlineStr">
        <is>
          <t>IF(OR(F343="",AR343=""),"",IF(COUNT(AI343:AQ343)=0,"",AR343-LOOKUP(2,1/(AI343:AQ343&lt;&gt;""),AI343:AQ343)))</t>
        </is>
      </c>
      <c r="BF343" s="49" t="inlineStr">
        <is>
          <t>IF(OR(F343="",AS343=""),"",IF(COUNT(AI343:AR343)=0,"",AS343-LOOKUP(2,1/(AI343:AR343&lt;&gt;""),AI343:AR343)))</t>
        </is>
      </c>
      <c r="BG343" s="49" t="inlineStr">
        <is>
          <t>IF(OR(F343="",AT343=""),"",IF(COUNT(AI343:AS343)=0,"",AT343-LOOKUP(2,1/(AI343:AS343&lt;&gt;""),AI343:AS343)))</t>
        </is>
      </c>
      <c r="BH343" s="49" t="inlineStr">
        <is>
          <t>IF(OR(F343="",AU343=""),"",IF(COUNT(AI343:AT343)=0,"",AU343-LOOKUP(2,1/(AI343:AT343&lt;&gt;""),AI343:AT343)))</t>
        </is>
      </c>
      <c r="BI343" s="49" t="inlineStr">
        <is>
          <t>IF(OR(F343="",AV343=""),"",IF(COUNT(AI343:AU343)=0,"",AV343-LOOKUP(2,1/(AI343:AU343&lt;&gt;""),AI343:AU343)))</t>
        </is>
      </c>
      <c r="BJ343" s="51" t="inlineStr">
        <is>
          <t>IF(J343="","All_Provinces",IFERROR(VLOOKUP(J343,'09_Lookups'!$A$4:$B$20,2,FALSE),"All_Provinces"))</t>
        </is>
      </c>
      <c r="BK343" s="51" t="inlineStr">
        <is>
          <t>IF(K343="","All_Districts",IFERROR(VLOOKUP(K343,'09_Lookups'!$E$4:$F$42,2,FALSE),"All_Districts"))</t>
        </is>
      </c>
    </row>
    <row r="344" ht="18" customHeight="1">
      <c r="A344" s="42" t="inlineStr">
        <is>
          <t>IF(F344="","",ROW()-3)</t>
        </is>
      </c>
      <c r="B344" s="52" t="n"/>
      <c r="C344" s="52" t="n"/>
      <c r="D344" s="52" t="n"/>
      <c r="E344" s="52" t="n"/>
      <c r="F344" s="52" t="n"/>
      <c r="G344" s="52" t="n"/>
      <c r="H344" s="52" t="n"/>
      <c r="I344" s="52" t="n"/>
      <c r="J344" s="52" t="n"/>
      <c r="K344" s="52" t="n"/>
      <c r="L344" s="52" t="n"/>
      <c r="M344" s="52" t="n"/>
      <c r="N344" s="52" t="n"/>
      <c r="O344" s="52" t="n"/>
      <c r="P344" s="52" t="n"/>
      <c r="Q344" s="52" t="n"/>
      <c r="R344" s="52" t="n"/>
      <c r="S344" s="53" t="n"/>
      <c r="T344" s="46" t="inlineStr">
        <is>
          <t>IF(AQ344="","",AQ344)</t>
        </is>
      </c>
      <c r="U344" s="54" t="n"/>
      <c r="V344" s="55" t="n"/>
      <c r="W344" s="54" t="n"/>
      <c r="X344" s="46" t="inlineStr">
        <is>
          <t>IF(W344&lt;&gt;"",W344,IF(OR(T344="",V344=""),"",EDATE(T344,V344)))</t>
        </is>
      </c>
      <c r="Y344" s="54" t="n"/>
      <c r="Z344" s="55" t="n"/>
      <c r="AA344" s="52" t="n"/>
      <c r="AB344" s="52" t="n"/>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54" t="n"/>
      <c r="AJ344" s="54" t="n"/>
      <c r="AK344" s="54" t="n"/>
      <c r="AL344" s="54" t="n"/>
      <c r="AM344" s="54" t="n"/>
      <c r="AN344" s="54" t="n"/>
      <c r="AO344" s="54" t="n"/>
      <c r="AP344" s="54" t="n"/>
      <c r="AQ344" s="54" t="n"/>
      <c r="AR344" s="54" t="n"/>
      <c r="AS344" s="54"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42" t="inlineStr">
        <is>
          <t>IF(F345="","",ROW()-3)</t>
        </is>
      </c>
      <c r="B345" s="44" t="n"/>
      <c r="C345" s="44" t="n"/>
      <c r="D345" s="44" t="n"/>
      <c r="E345" s="44" t="n"/>
      <c r="F345" s="44" t="n"/>
      <c r="G345" s="44" t="n"/>
      <c r="H345" s="44" t="n"/>
      <c r="I345" s="44" t="n"/>
      <c r="J345" s="44" t="n"/>
      <c r="K345" s="44" t="n"/>
      <c r="L345" s="44" t="n"/>
      <c r="M345" s="44" t="n"/>
      <c r="N345" s="44" t="n"/>
      <c r="O345" s="44" t="n"/>
      <c r="P345" s="44" t="n"/>
      <c r="Q345" s="44" t="n"/>
      <c r="R345" s="44" t="n"/>
      <c r="S345" s="45" t="n"/>
      <c r="T345" s="46" t="inlineStr">
        <is>
          <t>IF(AQ345="","",AQ345)</t>
        </is>
      </c>
      <c r="U345" s="47" t="n"/>
      <c r="V345" s="48" t="n"/>
      <c r="W345" s="47" t="n"/>
      <c r="X345" s="46" t="inlineStr">
        <is>
          <t>IF(W345&lt;&gt;"",W345,IF(OR(T345="",V345=""),"",EDATE(T345,V345)))</t>
        </is>
      </c>
      <c r="Y345" s="47" t="n"/>
      <c r="Z345" s="48" t="n"/>
      <c r="AA345" s="44" t="n"/>
      <c r="AB345" s="44" t="n"/>
      <c r="AC345" s="42" t="inlineStr">
        <is>
          <t>IF(F345="","",IF(COUNT(AI345:AV345)=0,IF(AA345="","Not started",AA345),SUBSTITUTE(LOOKUP(2,1/(AI345:AV345&lt;&gt;""),$AI$3:$AV$3),"Date: ","")))</t>
        </is>
      </c>
      <c r="AD345" s="49" t="inlineStr">
        <is>
          <t>IF(OR(F345="",COUNT(AI345:AV345)=0),"",TODAY()-LOOKUP(2,1/(AI345:AV345&lt;&gt;""),AI345:AV345))</t>
        </is>
      </c>
      <c r="AE345" s="49" t="inlineStr">
        <is>
          <t>IF(OR(F345="",COUNT(AI345:AV345)&lt;2),"",LOOKUP(2,1/(AI345:AV345&lt;&gt;""),AI345:AV345)-MIN(AI345:AV345))</t>
        </is>
      </c>
      <c r="AF345" s="49" t="inlineStr">
        <is>
          <t>IF(OR(AD345="",AC345="Not started",AC345=""),"",IFERROR(AD345-IF(VLOOKUP(AC345,'06_Status_Pipeline'!$B$3:$E$20,4,FALSE)="",0,VLOOKUP(AC345,'06_Status_Pipeline'!$B$3:$E$20,4,FALSE)),""))</t>
        </is>
      </c>
      <c r="AG345" s="4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49" t="inlineStr">
        <is>
          <t>IF(OR(F345="",AC345="Completed / Handover",AC345="Cancelled"),"",IF(O345="Not awarded",IF(U345&lt;&gt;"",U345-TODAY(),IF(X345="","",X345-TODAY())),IF(X345="","",X345-TODAY())))</t>
        </is>
      </c>
      <c r="AI345" s="47" t="n"/>
      <c r="AJ345" s="47" t="n"/>
      <c r="AK345" s="47" t="n"/>
      <c r="AL345" s="47" t="n"/>
      <c r="AM345" s="47" t="n"/>
      <c r="AN345" s="47" t="n"/>
      <c r="AO345" s="47" t="n"/>
      <c r="AP345" s="47" t="n"/>
      <c r="AQ345" s="47" t="n"/>
      <c r="AR345" s="47" t="n"/>
      <c r="AS345" s="47" t="n"/>
      <c r="AT345" s="50" t="n"/>
      <c r="AU345" s="50" t="n"/>
      <c r="AV345" s="50" t="n"/>
      <c r="AW345" s="49" t="inlineStr">
        <is>
          <t>IF(OR(F345="",AJ345=""),"",IF(COUNT(AI345:AI345)=0,"",AJ345-LOOKUP(2,1/(AI345:AI345&lt;&gt;""),AI345:AI345)))</t>
        </is>
      </c>
      <c r="AX345" s="49" t="inlineStr">
        <is>
          <t>IF(OR(F345="",AK345=""),"",IF(COUNT(AI345:AJ345)=0,"",AK345-LOOKUP(2,1/(AI345:AJ345&lt;&gt;""),AI345:AJ345)))</t>
        </is>
      </c>
      <c r="AY345" s="49" t="inlineStr">
        <is>
          <t>IF(OR(F345="",AL345=""),"",IF(COUNT(AI345:AK345)=0,"",AL345-LOOKUP(2,1/(AI345:AK345&lt;&gt;""),AI345:AK345)))</t>
        </is>
      </c>
      <c r="AZ345" s="49" t="inlineStr">
        <is>
          <t>IF(OR(F345="",AM345=""),"",IF(COUNT(AI345:AL345)=0,"",AM345-LOOKUP(2,1/(AI345:AL345&lt;&gt;""),AI345:AL345)))</t>
        </is>
      </c>
      <c r="BA345" s="49" t="inlineStr">
        <is>
          <t>IF(OR(F345="",AN345=""),"",IF(COUNT(AI345:AM345)=0,"",AN345-LOOKUP(2,1/(AI345:AM345&lt;&gt;""),AI345:AM345)))</t>
        </is>
      </c>
      <c r="BB345" s="49" t="inlineStr">
        <is>
          <t>IF(OR(F345="",AO345=""),"",IF(COUNT(AI345:AN345)=0,"",AO345-LOOKUP(2,1/(AI345:AN345&lt;&gt;""),AI345:AN345)))</t>
        </is>
      </c>
      <c r="BC345" s="49" t="inlineStr">
        <is>
          <t>IF(OR(F345="",AP345=""),"",IF(COUNT(AI345:AO345)=0,"",AP345-LOOKUP(2,1/(AI345:AO345&lt;&gt;""),AI345:AO345)))</t>
        </is>
      </c>
      <c r="BD345" s="49" t="inlineStr">
        <is>
          <t>IF(OR(F345="",AQ345=""),"",IF(COUNT(AI345:AP345)=0,"",AQ345-LOOKUP(2,1/(AI345:AP345&lt;&gt;""),AI345:AP345)))</t>
        </is>
      </c>
      <c r="BE345" s="49" t="inlineStr">
        <is>
          <t>IF(OR(F345="",AR345=""),"",IF(COUNT(AI345:AQ345)=0,"",AR345-LOOKUP(2,1/(AI345:AQ345&lt;&gt;""),AI345:AQ345)))</t>
        </is>
      </c>
      <c r="BF345" s="49" t="inlineStr">
        <is>
          <t>IF(OR(F345="",AS345=""),"",IF(COUNT(AI345:AR345)=0,"",AS345-LOOKUP(2,1/(AI345:AR345&lt;&gt;""),AI345:AR345)))</t>
        </is>
      </c>
      <c r="BG345" s="49" t="inlineStr">
        <is>
          <t>IF(OR(F345="",AT345=""),"",IF(COUNT(AI345:AS345)=0,"",AT345-LOOKUP(2,1/(AI345:AS345&lt;&gt;""),AI345:AS345)))</t>
        </is>
      </c>
      <c r="BH345" s="49" t="inlineStr">
        <is>
          <t>IF(OR(F345="",AU345=""),"",IF(COUNT(AI345:AT345)=0,"",AU345-LOOKUP(2,1/(AI345:AT345&lt;&gt;""),AI345:AT345)))</t>
        </is>
      </c>
      <c r="BI345" s="49" t="inlineStr">
        <is>
          <t>IF(OR(F345="",AV345=""),"",IF(COUNT(AI345:AU345)=0,"",AV345-LOOKUP(2,1/(AI345:AU345&lt;&gt;""),AI345:AU345)))</t>
        </is>
      </c>
      <c r="BJ345" s="51" t="inlineStr">
        <is>
          <t>IF(J345="","All_Provinces",IFERROR(VLOOKUP(J345,'09_Lookups'!$A$4:$B$20,2,FALSE),"All_Provinces"))</t>
        </is>
      </c>
      <c r="BK345" s="51" t="inlineStr">
        <is>
          <t>IF(K345="","All_Districts",IFERROR(VLOOKUP(K345,'09_Lookups'!$E$4:$F$42,2,FALSE),"All_Districts"))</t>
        </is>
      </c>
    </row>
    <row r="346" ht="18" customHeight="1">
      <c r="A346" s="42" t="inlineStr">
        <is>
          <t>IF(F346="","",ROW()-3)</t>
        </is>
      </c>
      <c r="B346" s="52" t="n"/>
      <c r="C346" s="52" t="n"/>
      <c r="D346" s="52" t="n"/>
      <c r="E346" s="52" t="n"/>
      <c r="F346" s="52" t="n"/>
      <c r="G346" s="52" t="n"/>
      <c r="H346" s="52" t="n"/>
      <c r="I346" s="52" t="n"/>
      <c r="J346" s="52" t="n"/>
      <c r="K346" s="52" t="n"/>
      <c r="L346" s="52" t="n"/>
      <c r="M346" s="52" t="n"/>
      <c r="N346" s="52" t="n"/>
      <c r="O346" s="52" t="n"/>
      <c r="P346" s="52" t="n"/>
      <c r="Q346" s="52" t="n"/>
      <c r="R346" s="52" t="n"/>
      <c r="S346" s="53" t="n"/>
      <c r="T346" s="46" t="inlineStr">
        <is>
          <t>IF(AQ346="","",AQ346)</t>
        </is>
      </c>
      <c r="U346" s="54" t="n"/>
      <c r="V346" s="55" t="n"/>
      <c r="W346" s="54" t="n"/>
      <c r="X346" s="46" t="inlineStr">
        <is>
          <t>IF(W346&lt;&gt;"",W346,IF(OR(T346="",V346=""),"",EDATE(T346,V346)))</t>
        </is>
      </c>
      <c r="Y346" s="54" t="n"/>
      <c r="Z346" s="55" t="n"/>
      <c r="AA346" s="52" t="n"/>
      <c r="AB346" s="52" t="n"/>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54" t="n"/>
      <c r="AJ346" s="54" t="n"/>
      <c r="AK346" s="54" t="n"/>
      <c r="AL346" s="54" t="n"/>
      <c r="AM346" s="54" t="n"/>
      <c r="AN346" s="54" t="n"/>
      <c r="AO346" s="54" t="n"/>
      <c r="AP346" s="54" t="n"/>
      <c r="AQ346" s="54" t="n"/>
      <c r="AR346" s="54" t="n"/>
      <c r="AS346" s="54" t="n"/>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42" t="inlineStr">
        <is>
          <t>IF(F347="","",ROW()-3)</t>
        </is>
      </c>
      <c r="B347" s="44" t="n"/>
      <c r="C347" s="44" t="n"/>
      <c r="D347" s="44" t="n"/>
      <c r="E347" s="44" t="n"/>
      <c r="F347" s="44" t="n"/>
      <c r="G347" s="44" t="n"/>
      <c r="H347" s="44" t="n"/>
      <c r="I347" s="44" t="n"/>
      <c r="J347" s="44" t="n"/>
      <c r="K347" s="44" t="n"/>
      <c r="L347" s="44" t="n"/>
      <c r="M347" s="44" t="n"/>
      <c r="N347" s="44" t="n"/>
      <c r="O347" s="44" t="n"/>
      <c r="P347" s="44" t="n"/>
      <c r="Q347" s="44" t="n"/>
      <c r="R347" s="44" t="n"/>
      <c r="S347" s="45" t="n"/>
      <c r="T347" s="46" t="inlineStr">
        <is>
          <t>IF(AQ347="","",AQ347)</t>
        </is>
      </c>
      <c r="U347" s="47" t="n"/>
      <c r="V347" s="48" t="n"/>
      <c r="W347" s="47" t="n"/>
      <c r="X347" s="46" t="inlineStr">
        <is>
          <t>IF(W347&lt;&gt;"",W347,IF(OR(T347="",V347=""),"",EDATE(T347,V347)))</t>
        </is>
      </c>
      <c r="Y347" s="47" t="n"/>
      <c r="Z347" s="48" t="n"/>
      <c r="AA347" s="44" t="n"/>
      <c r="AB347" s="44" t="n"/>
      <c r="AC347" s="42" t="inlineStr">
        <is>
          <t>IF(F347="","",IF(COUNT(AI347:AV347)=0,IF(AA347="","Not started",AA347),SUBSTITUTE(LOOKUP(2,1/(AI347:AV347&lt;&gt;""),$AI$3:$AV$3),"Date: ","")))</t>
        </is>
      </c>
      <c r="AD347" s="49" t="inlineStr">
        <is>
          <t>IF(OR(F347="",COUNT(AI347:AV347)=0),"",TODAY()-LOOKUP(2,1/(AI347:AV347&lt;&gt;""),AI347:AV347))</t>
        </is>
      </c>
      <c r="AE347" s="49" t="inlineStr">
        <is>
          <t>IF(OR(F347="",COUNT(AI347:AV347)&lt;2),"",LOOKUP(2,1/(AI347:AV347&lt;&gt;""),AI347:AV347)-MIN(AI347:AV347))</t>
        </is>
      </c>
      <c r="AF347" s="49" t="inlineStr">
        <is>
          <t>IF(OR(AD347="",AC347="Not started",AC347=""),"",IFERROR(AD347-IF(VLOOKUP(AC347,'06_Status_Pipeline'!$B$3:$E$20,4,FALSE)="",0,VLOOKUP(AC347,'06_Status_Pipeline'!$B$3:$E$20,4,FALSE)),""))</t>
        </is>
      </c>
      <c r="AG347" s="4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49" t="inlineStr">
        <is>
          <t>IF(OR(F347="",AC347="Completed / Handover",AC347="Cancelled"),"",IF(O347="Not awarded",IF(U347&lt;&gt;"",U347-TODAY(),IF(X347="","",X347-TODAY())),IF(X347="","",X347-TODAY())))</t>
        </is>
      </c>
      <c r="AI347" s="47" t="n"/>
      <c r="AJ347" s="47" t="n"/>
      <c r="AK347" s="47" t="n"/>
      <c r="AL347" s="47" t="n"/>
      <c r="AM347" s="47" t="n"/>
      <c r="AN347" s="47" t="n"/>
      <c r="AO347" s="47" t="n"/>
      <c r="AP347" s="47" t="n"/>
      <c r="AQ347" s="47" t="n"/>
      <c r="AR347" s="47" t="n"/>
      <c r="AS347" s="47" t="n"/>
      <c r="AT347" s="50" t="n"/>
      <c r="AU347" s="50" t="n"/>
      <c r="AV347" s="50" t="n"/>
      <c r="AW347" s="49" t="inlineStr">
        <is>
          <t>IF(OR(F347="",AJ347=""),"",IF(COUNT(AI347:AI347)=0,"",AJ347-LOOKUP(2,1/(AI347:AI347&lt;&gt;""),AI347:AI347)))</t>
        </is>
      </c>
      <c r="AX347" s="49" t="inlineStr">
        <is>
          <t>IF(OR(F347="",AK347=""),"",IF(COUNT(AI347:AJ347)=0,"",AK347-LOOKUP(2,1/(AI347:AJ347&lt;&gt;""),AI347:AJ347)))</t>
        </is>
      </c>
      <c r="AY347" s="49" t="inlineStr">
        <is>
          <t>IF(OR(F347="",AL347=""),"",IF(COUNT(AI347:AK347)=0,"",AL347-LOOKUP(2,1/(AI347:AK347&lt;&gt;""),AI347:AK347)))</t>
        </is>
      </c>
      <c r="AZ347" s="49" t="inlineStr">
        <is>
          <t>IF(OR(F347="",AM347=""),"",IF(COUNT(AI347:AL347)=0,"",AM347-LOOKUP(2,1/(AI347:AL347&lt;&gt;""),AI347:AL347)))</t>
        </is>
      </c>
      <c r="BA347" s="49" t="inlineStr">
        <is>
          <t>IF(OR(F347="",AN347=""),"",IF(COUNT(AI347:AM347)=0,"",AN347-LOOKUP(2,1/(AI347:AM347&lt;&gt;""),AI347:AM347)))</t>
        </is>
      </c>
      <c r="BB347" s="49" t="inlineStr">
        <is>
          <t>IF(OR(F347="",AO347=""),"",IF(COUNT(AI347:AN347)=0,"",AO347-LOOKUP(2,1/(AI347:AN347&lt;&gt;""),AI347:AN347)))</t>
        </is>
      </c>
      <c r="BC347" s="49" t="inlineStr">
        <is>
          <t>IF(OR(F347="",AP347=""),"",IF(COUNT(AI347:AO347)=0,"",AP347-LOOKUP(2,1/(AI347:AO347&lt;&gt;""),AI347:AO347)))</t>
        </is>
      </c>
      <c r="BD347" s="49" t="inlineStr">
        <is>
          <t>IF(OR(F347="",AQ347=""),"",IF(COUNT(AI347:AP347)=0,"",AQ347-LOOKUP(2,1/(AI347:AP347&lt;&gt;""),AI347:AP347)))</t>
        </is>
      </c>
      <c r="BE347" s="49" t="inlineStr">
        <is>
          <t>IF(OR(F347="",AR347=""),"",IF(COUNT(AI347:AQ347)=0,"",AR347-LOOKUP(2,1/(AI347:AQ347&lt;&gt;""),AI347:AQ347)))</t>
        </is>
      </c>
      <c r="BF347" s="49" t="inlineStr">
        <is>
          <t>IF(OR(F347="",AS347=""),"",IF(COUNT(AI347:AR347)=0,"",AS347-LOOKUP(2,1/(AI347:AR347&lt;&gt;""),AI347:AR347)))</t>
        </is>
      </c>
      <c r="BG347" s="49" t="inlineStr">
        <is>
          <t>IF(OR(F347="",AT347=""),"",IF(COUNT(AI347:AS347)=0,"",AT347-LOOKUP(2,1/(AI347:AS347&lt;&gt;""),AI347:AS347)))</t>
        </is>
      </c>
      <c r="BH347" s="49" t="inlineStr">
        <is>
          <t>IF(OR(F347="",AU347=""),"",IF(COUNT(AI347:AT347)=0,"",AU347-LOOKUP(2,1/(AI347:AT347&lt;&gt;""),AI347:AT347)))</t>
        </is>
      </c>
      <c r="BI347" s="49" t="inlineStr">
        <is>
          <t>IF(OR(F347="",AV347=""),"",IF(COUNT(AI347:AU347)=0,"",AV347-LOOKUP(2,1/(AI347:AU347&lt;&gt;""),AI347:AU347)))</t>
        </is>
      </c>
      <c r="BJ347" s="51" t="inlineStr">
        <is>
          <t>IF(J347="","All_Provinces",IFERROR(VLOOKUP(J347,'09_Lookups'!$A$4:$B$20,2,FALSE),"All_Provinces"))</t>
        </is>
      </c>
      <c r="BK347" s="51" t="inlineStr">
        <is>
          <t>IF(K347="","All_Districts",IFERROR(VLOOKUP(K347,'09_Lookups'!$E$4:$F$42,2,FALSE),"All_Districts"))</t>
        </is>
      </c>
    </row>
    <row r="348" ht="18" customHeight="1">
      <c r="A348" s="42" t="inlineStr">
        <is>
          <t>IF(F348="","",ROW()-3)</t>
        </is>
      </c>
      <c r="B348" s="52" t="n"/>
      <c r="C348" s="52" t="n"/>
      <c r="D348" s="52" t="n"/>
      <c r="E348" s="52" t="n"/>
      <c r="F348" s="52" t="n"/>
      <c r="G348" s="52" t="n"/>
      <c r="H348" s="52" t="n"/>
      <c r="I348" s="52" t="n"/>
      <c r="J348" s="52" t="n"/>
      <c r="K348" s="52" t="n"/>
      <c r="L348" s="52" t="n"/>
      <c r="M348" s="52" t="n"/>
      <c r="N348" s="52" t="n"/>
      <c r="O348" s="52" t="n"/>
      <c r="P348" s="52" t="n"/>
      <c r="Q348" s="52" t="n"/>
      <c r="R348" s="52" t="n"/>
      <c r="S348" s="53" t="n"/>
      <c r="T348" s="46" t="inlineStr">
        <is>
          <t>IF(AQ348="","",AQ348)</t>
        </is>
      </c>
      <c r="U348" s="54" t="n"/>
      <c r="V348" s="55" t="n"/>
      <c r="W348" s="54" t="n"/>
      <c r="X348" s="46" t="inlineStr">
        <is>
          <t>IF(W348&lt;&gt;"",W348,IF(OR(T348="",V348=""),"",EDATE(T348,V348)))</t>
        </is>
      </c>
      <c r="Y348" s="54" t="n"/>
      <c r="Z348" s="55" t="n"/>
      <c r="AA348" s="52" t="n"/>
      <c r="AB348" s="52" t="n"/>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54" t="n"/>
      <c r="AJ348" s="54" t="n"/>
      <c r="AK348" s="54" t="n"/>
      <c r="AL348" s="54" t="n"/>
      <c r="AM348" s="54" t="n"/>
      <c r="AN348" s="54" t="n"/>
      <c r="AO348" s="54" t="n"/>
      <c r="AP348" s="54" t="n"/>
      <c r="AQ348" s="54" t="n"/>
      <c r="AR348" s="54" t="n"/>
      <c r="AS348" s="54"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42" t="inlineStr">
        <is>
          <t>IF(F349="","",ROW()-3)</t>
        </is>
      </c>
      <c r="B349" s="44" t="n"/>
      <c r="C349" s="44" t="n"/>
      <c r="D349" s="44" t="n"/>
      <c r="E349" s="44" t="n"/>
      <c r="F349" s="44" t="n"/>
      <c r="G349" s="44" t="n"/>
      <c r="H349" s="44" t="n"/>
      <c r="I349" s="44" t="n"/>
      <c r="J349" s="44" t="n"/>
      <c r="K349" s="44" t="n"/>
      <c r="L349" s="44" t="n"/>
      <c r="M349" s="44" t="n"/>
      <c r="N349" s="44" t="n"/>
      <c r="O349" s="44" t="n"/>
      <c r="P349" s="44" t="n"/>
      <c r="Q349" s="44" t="n"/>
      <c r="R349" s="44" t="n"/>
      <c r="S349" s="45" t="n"/>
      <c r="T349" s="46" t="inlineStr">
        <is>
          <t>IF(AQ349="","",AQ349)</t>
        </is>
      </c>
      <c r="U349" s="47" t="n"/>
      <c r="V349" s="48" t="n"/>
      <c r="W349" s="47" t="n"/>
      <c r="X349" s="46" t="inlineStr">
        <is>
          <t>IF(W349&lt;&gt;"",W349,IF(OR(T349="",V349=""),"",EDATE(T349,V349)))</t>
        </is>
      </c>
      <c r="Y349" s="47" t="n"/>
      <c r="Z349" s="48" t="n"/>
      <c r="AA349" s="44" t="n"/>
      <c r="AB349" s="44" t="n"/>
      <c r="AC349" s="42" t="inlineStr">
        <is>
          <t>IF(F349="","",IF(COUNT(AI349:AV349)=0,IF(AA349="","Not started",AA349),SUBSTITUTE(LOOKUP(2,1/(AI349:AV349&lt;&gt;""),$AI$3:$AV$3),"Date: ","")))</t>
        </is>
      </c>
      <c r="AD349" s="49" t="inlineStr">
        <is>
          <t>IF(OR(F349="",COUNT(AI349:AV349)=0),"",TODAY()-LOOKUP(2,1/(AI349:AV349&lt;&gt;""),AI349:AV349))</t>
        </is>
      </c>
      <c r="AE349" s="49" t="inlineStr">
        <is>
          <t>IF(OR(F349="",COUNT(AI349:AV349)&lt;2),"",LOOKUP(2,1/(AI349:AV349&lt;&gt;""),AI349:AV349)-MIN(AI349:AV349))</t>
        </is>
      </c>
      <c r="AF349" s="49" t="inlineStr">
        <is>
          <t>IF(OR(AD349="",AC349="Not started",AC349=""),"",IFERROR(AD349-IF(VLOOKUP(AC349,'06_Status_Pipeline'!$B$3:$E$20,4,FALSE)="",0,VLOOKUP(AC349,'06_Status_Pipeline'!$B$3:$E$20,4,FALSE)),""))</t>
        </is>
      </c>
      <c r="AG349" s="4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49" t="inlineStr">
        <is>
          <t>IF(OR(F349="",AC349="Completed / Handover",AC349="Cancelled"),"",IF(O349="Not awarded",IF(U349&lt;&gt;"",U349-TODAY(),IF(X349="","",X349-TODAY())),IF(X349="","",X349-TODAY())))</t>
        </is>
      </c>
      <c r="AI349" s="47" t="n"/>
      <c r="AJ349" s="47" t="n"/>
      <c r="AK349" s="47" t="n"/>
      <c r="AL349" s="47" t="n"/>
      <c r="AM349" s="47" t="n"/>
      <c r="AN349" s="47" t="n"/>
      <c r="AO349" s="47" t="n"/>
      <c r="AP349" s="47" t="n"/>
      <c r="AQ349" s="47" t="n"/>
      <c r="AR349" s="47" t="n"/>
      <c r="AS349" s="47" t="n"/>
      <c r="AT349" s="50" t="n"/>
      <c r="AU349" s="50" t="n"/>
      <c r="AV349" s="50" t="n"/>
      <c r="AW349" s="49" t="inlineStr">
        <is>
          <t>IF(OR(F349="",AJ349=""),"",IF(COUNT(AI349:AI349)=0,"",AJ349-LOOKUP(2,1/(AI349:AI349&lt;&gt;""),AI349:AI349)))</t>
        </is>
      </c>
      <c r="AX349" s="49" t="inlineStr">
        <is>
          <t>IF(OR(F349="",AK349=""),"",IF(COUNT(AI349:AJ349)=0,"",AK349-LOOKUP(2,1/(AI349:AJ349&lt;&gt;""),AI349:AJ349)))</t>
        </is>
      </c>
      <c r="AY349" s="49" t="inlineStr">
        <is>
          <t>IF(OR(F349="",AL349=""),"",IF(COUNT(AI349:AK349)=0,"",AL349-LOOKUP(2,1/(AI349:AK349&lt;&gt;""),AI349:AK349)))</t>
        </is>
      </c>
      <c r="AZ349" s="49" t="inlineStr">
        <is>
          <t>IF(OR(F349="",AM349=""),"",IF(COUNT(AI349:AL349)=0,"",AM349-LOOKUP(2,1/(AI349:AL349&lt;&gt;""),AI349:AL349)))</t>
        </is>
      </c>
      <c r="BA349" s="49" t="inlineStr">
        <is>
          <t>IF(OR(F349="",AN349=""),"",IF(COUNT(AI349:AM349)=0,"",AN349-LOOKUP(2,1/(AI349:AM349&lt;&gt;""),AI349:AM349)))</t>
        </is>
      </c>
      <c r="BB349" s="49" t="inlineStr">
        <is>
          <t>IF(OR(F349="",AO349=""),"",IF(COUNT(AI349:AN349)=0,"",AO349-LOOKUP(2,1/(AI349:AN349&lt;&gt;""),AI349:AN349)))</t>
        </is>
      </c>
      <c r="BC349" s="49" t="inlineStr">
        <is>
          <t>IF(OR(F349="",AP349=""),"",IF(COUNT(AI349:AO349)=0,"",AP349-LOOKUP(2,1/(AI349:AO349&lt;&gt;""),AI349:AO349)))</t>
        </is>
      </c>
      <c r="BD349" s="49" t="inlineStr">
        <is>
          <t>IF(OR(F349="",AQ349=""),"",IF(COUNT(AI349:AP349)=0,"",AQ349-LOOKUP(2,1/(AI349:AP349&lt;&gt;""),AI349:AP349)))</t>
        </is>
      </c>
      <c r="BE349" s="49" t="inlineStr">
        <is>
          <t>IF(OR(F349="",AR349=""),"",IF(COUNT(AI349:AQ349)=0,"",AR349-LOOKUP(2,1/(AI349:AQ349&lt;&gt;""),AI349:AQ349)))</t>
        </is>
      </c>
      <c r="BF349" s="49" t="inlineStr">
        <is>
          <t>IF(OR(F349="",AS349=""),"",IF(COUNT(AI349:AR349)=0,"",AS349-LOOKUP(2,1/(AI349:AR349&lt;&gt;""),AI349:AR349)))</t>
        </is>
      </c>
      <c r="BG349" s="49" t="inlineStr">
        <is>
          <t>IF(OR(F349="",AT349=""),"",IF(COUNT(AI349:AS349)=0,"",AT349-LOOKUP(2,1/(AI349:AS349&lt;&gt;""),AI349:AS349)))</t>
        </is>
      </c>
      <c r="BH349" s="49" t="inlineStr">
        <is>
          <t>IF(OR(F349="",AU349=""),"",IF(COUNT(AI349:AT349)=0,"",AU349-LOOKUP(2,1/(AI349:AT349&lt;&gt;""),AI349:AT349)))</t>
        </is>
      </c>
      <c r="BI349" s="49" t="inlineStr">
        <is>
          <t>IF(OR(F349="",AV349=""),"",IF(COUNT(AI349:AU349)=0,"",AV349-LOOKUP(2,1/(AI349:AU349&lt;&gt;""),AI349:AU349)))</t>
        </is>
      </c>
      <c r="BJ349" s="51" t="inlineStr">
        <is>
          <t>IF(J349="","All_Provinces",IFERROR(VLOOKUP(J349,'09_Lookups'!$A$4:$B$20,2,FALSE),"All_Provinces"))</t>
        </is>
      </c>
      <c r="BK349" s="51" t="inlineStr">
        <is>
          <t>IF(K349="","All_Districts",IFERROR(VLOOKUP(K349,'09_Lookups'!$E$4:$F$42,2,FALSE),"All_Districts"))</t>
        </is>
      </c>
    </row>
    <row r="350" ht="18" customHeight="1">
      <c r="A350" s="42" t="inlineStr">
        <is>
          <t>IF(F350="","",ROW()-3)</t>
        </is>
      </c>
      <c r="B350" s="52" t="n"/>
      <c r="C350" s="52" t="n"/>
      <c r="D350" s="52" t="n"/>
      <c r="E350" s="52" t="n"/>
      <c r="F350" s="52" t="n"/>
      <c r="G350" s="52" t="n"/>
      <c r="H350" s="52" t="n"/>
      <c r="I350" s="52" t="n"/>
      <c r="J350" s="52" t="n"/>
      <c r="K350" s="52" t="n"/>
      <c r="L350" s="52" t="n"/>
      <c r="M350" s="52" t="n"/>
      <c r="N350" s="52" t="n"/>
      <c r="O350" s="52" t="n"/>
      <c r="P350" s="52" t="n"/>
      <c r="Q350" s="52" t="n"/>
      <c r="R350" s="52" t="n"/>
      <c r="S350" s="53" t="n"/>
      <c r="T350" s="46" t="inlineStr">
        <is>
          <t>IF(AQ350="","",AQ350)</t>
        </is>
      </c>
      <c r="U350" s="54" t="n"/>
      <c r="V350" s="55" t="n"/>
      <c r="W350" s="54" t="n"/>
      <c r="X350" s="46" t="inlineStr">
        <is>
          <t>IF(W350&lt;&gt;"",W350,IF(OR(T350="",V350=""),"",EDATE(T350,V350)))</t>
        </is>
      </c>
      <c r="Y350" s="54" t="n"/>
      <c r="Z350" s="55" t="n"/>
      <c r="AA350" s="52" t="n"/>
      <c r="AB350" s="52" t="n"/>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42" t="inlineStr">
        <is>
          <t>IF(F351="","",ROW()-3)</t>
        </is>
      </c>
      <c r="B351" s="44" t="n"/>
      <c r="C351" s="44" t="n"/>
      <c r="D351" s="44" t="n"/>
      <c r="E351" s="44" t="n"/>
      <c r="F351" s="44" t="n"/>
      <c r="G351" s="44" t="n"/>
      <c r="H351" s="44" t="n"/>
      <c r="I351" s="44" t="n"/>
      <c r="J351" s="44" t="n"/>
      <c r="K351" s="44" t="n"/>
      <c r="L351" s="44" t="n"/>
      <c r="M351" s="44" t="n"/>
      <c r="N351" s="44" t="n"/>
      <c r="O351" s="44" t="n"/>
      <c r="P351" s="44" t="n"/>
      <c r="Q351" s="44" t="n"/>
      <c r="R351" s="44" t="n"/>
      <c r="S351" s="45" t="n"/>
      <c r="T351" s="46" t="inlineStr">
        <is>
          <t>IF(AQ351="","",AQ351)</t>
        </is>
      </c>
      <c r="U351" s="47" t="n"/>
      <c r="V351" s="48" t="n"/>
      <c r="W351" s="47" t="n"/>
      <c r="X351" s="46" t="inlineStr">
        <is>
          <t>IF(W351&lt;&gt;"",W351,IF(OR(T351="",V351=""),"",EDATE(T351,V351)))</t>
        </is>
      </c>
      <c r="Y351" s="47" t="n"/>
      <c r="Z351" s="48" t="n"/>
      <c r="AA351" s="44" t="n"/>
      <c r="AB351" s="44" t="n"/>
      <c r="AC351" s="42" t="inlineStr">
        <is>
          <t>IF(F351="","",IF(COUNT(AI351:AV351)=0,IF(AA351="","Not started",AA351),SUBSTITUTE(LOOKUP(2,1/(AI351:AV351&lt;&gt;""),$AI$3:$AV$3),"Date: ","")))</t>
        </is>
      </c>
      <c r="AD351" s="49" t="inlineStr">
        <is>
          <t>IF(OR(F351="",COUNT(AI351:AV351)=0),"",TODAY()-LOOKUP(2,1/(AI351:AV351&lt;&gt;""),AI351:AV351))</t>
        </is>
      </c>
      <c r="AE351" s="49" t="inlineStr">
        <is>
          <t>IF(OR(F351="",COUNT(AI351:AV351)&lt;2),"",LOOKUP(2,1/(AI351:AV351&lt;&gt;""),AI351:AV351)-MIN(AI351:AV351))</t>
        </is>
      </c>
      <c r="AF351" s="49" t="inlineStr">
        <is>
          <t>IF(OR(AD351="",AC351="Not started",AC351=""),"",IFERROR(AD351-IF(VLOOKUP(AC351,'06_Status_Pipeline'!$B$3:$E$20,4,FALSE)="",0,VLOOKUP(AC351,'06_Status_Pipeline'!$B$3:$E$20,4,FALSE)),""))</t>
        </is>
      </c>
      <c r="AG351" s="4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49" t="inlineStr">
        <is>
          <t>IF(OR(F351="",AC351="Completed / Handover",AC351="Cancelled"),"",IF(O351="Not awarded",IF(U351&lt;&gt;"",U351-TODAY(),IF(X351="","",X351-TODAY())),IF(X351="","",X351-TODAY())))</t>
        </is>
      </c>
      <c r="AI351" s="47" t="n"/>
      <c r="AJ351" s="47" t="n"/>
      <c r="AK351" s="47" t="n"/>
      <c r="AL351" s="47" t="n"/>
      <c r="AM351" s="47" t="n"/>
      <c r="AN351" s="47" t="n"/>
      <c r="AO351" s="47" t="n"/>
      <c r="AP351" s="47" t="n"/>
      <c r="AQ351" s="47" t="n"/>
      <c r="AR351" s="47" t="n"/>
      <c r="AS351" s="47" t="n"/>
      <c r="AT351" s="50" t="n"/>
      <c r="AU351" s="50" t="n"/>
      <c r="AV351" s="50" t="n"/>
      <c r="AW351" s="49" t="inlineStr">
        <is>
          <t>IF(OR(F351="",AJ351=""),"",IF(COUNT(AI351:AI351)=0,"",AJ351-LOOKUP(2,1/(AI351:AI351&lt;&gt;""),AI351:AI351)))</t>
        </is>
      </c>
      <c r="AX351" s="49" t="inlineStr">
        <is>
          <t>IF(OR(F351="",AK351=""),"",IF(COUNT(AI351:AJ351)=0,"",AK351-LOOKUP(2,1/(AI351:AJ351&lt;&gt;""),AI351:AJ351)))</t>
        </is>
      </c>
      <c r="AY351" s="49" t="inlineStr">
        <is>
          <t>IF(OR(F351="",AL351=""),"",IF(COUNT(AI351:AK351)=0,"",AL351-LOOKUP(2,1/(AI351:AK351&lt;&gt;""),AI351:AK351)))</t>
        </is>
      </c>
      <c r="AZ351" s="49" t="inlineStr">
        <is>
          <t>IF(OR(F351="",AM351=""),"",IF(COUNT(AI351:AL351)=0,"",AM351-LOOKUP(2,1/(AI351:AL351&lt;&gt;""),AI351:AL351)))</t>
        </is>
      </c>
      <c r="BA351" s="49" t="inlineStr">
        <is>
          <t>IF(OR(F351="",AN351=""),"",IF(COUNT(AI351:AM351)=0,"",AN351-LOOKUP(2,1/(AI351:AM351&lt;&gt;""),AI351:AM351)))</t>
        </is>
      </c>
      <c r="BB351" s="49" t="inlineStr">
        <is>
          <t>IF(OR(F351="",AO351=""),"",IF(COUNT(AI351:AN351)=0,"",AO351-LOOKUP(2,1/(AI351:AN351&lt;&gt;""),AI351:AN351)))</t>
        </is>
      </c>
      <c r="BC351" s="49" t="inlineStr">
        <is>
          <t>IF(OR(F351="",AP351=""),"",IF(COUNT(AI351:AO351)=0,"",AP351-LOOKUP(2,1/(AI351:AO351&lt;&gt;""),AI351:AO351)))</t>
        </is>
      </c>
      <c r="BD351" s="49" t="inlineStr">
        <is>
          <t>IF(OR(F351="",AQ351=""),"",IF(COUNT(AI351:AP351)=0,"",AQ351-LOOKUP(2,1/(AI351:AP351&lt;&gt;""),AI351:AP351)))</t>
        </is>
      </c>
      <c r="BE351" s="49" t="inlineStr">
        <is>
          <t>IF(OR(F351="",AR351=""),"",IF(COUNT(AI351:AQ351)=0,"",AR351-LOOKUP(2,1/(AI351:AQ351&lt;&gt;""),AI351:AQ351)))</t>
        </is>
      </c>
      <c r="BF351" s="49" t="inlineStr">
        <is>
          <t>IF(OR(F351="",AS351=""),"",IF(COUNT(AI351:AR351)=0,"",AS351-LOOKUP(2,1/(AI351:AR351&lt;&gt;""),AI351:AR351)))</t>
        </is>
      </c>
      <c r="BG351" s="49" t="inlineStr">
        <is>
          <t>IF(OR(F351="",AT351=""),"",IF(COUNT(AI351:AS351)=0,"",AT351-LOOKUP(2,1/(AI351:AS351&lt;&gt;""),AI351:AS351)))</t>
        </is>
      </c>
      <c r="BH351" s="49" t="inlineStr">
        <is>
          <t>IF(OR(F351="",AU351=""),"",IF(COUNT(AI351:AT351)=0,"",AU351-LOOKUP(2,1/(AI351:AT351&lt;&gt;""),AI351:AT351)))</t>
        </is>
      </c>
      <c r="BI351" s="49" t="inlineStr">
        <is>
          <t>IF(OR(F351="",AV351=""),"",IF(COUNT(AI351:AU351)=0,"",AV351-LOOKUP(2,1/(AI351:AU351&lt;&gt;""),AI351:AU351)))</t>
        </is>
      </c>
      <c r="BJ351" s="51" t="inlineStr">
        <is>
          <t>IF(J351="","All_Provinces",IFERROR(VLOOKUP(J351,'09_Lookups'!$A$4:$B$20,2,FALSE),"All_Provinces"))</t>
        </is>
      </c>
      <c r="BK351" s="51" t="inlineStr">
        <is>
          <t>IF(K351="","All_Districts",IFERROR(VLOOKUP(K351,'09_Lookups'!$E$4:$F$42,2,FALSE),"All_Districts"))</t>
        </is>
      </c>
    </row>
    <row r="352" ht="18" customHeight="1">
      <c r="A352" s="42" t="inlineStr">
        <is>
          <t>IF(F352="","",ROW()-3)</t>
        </is>
      </c>
      <c r="B352" s="52" t="n"/>
      <c r="C352" s="52" t="n"/>
      <c r="D352" s="52" t="n"/>
      <c r="E352" s="52" t="n"/>
      <c r="F352" s="52" t="n"/>
      <c r="G352" s="52" t="n"/>
      <c r="H352" s="52" t="n"/>
      <c r="I352" s="52" t="n"/>
      <c r="J352" s="52" t="n"/>
      <c r="K352" s="52" t="n"/>
      <c r="L352" s="52" t="n"/>
      <c r="M352" s="52" t="n"/>
      <c r="N352" s="52" t="n"/>
      <c r="O352" s="52" t="n"/>
      <c r="P352" s="52" t="n"/>
      <c r="Q352" s="52" t="n"/>
      <c r="R352" s="52" t="n"/>
      <c r="S352" s="53" t="n"/>
      <c r="T352" s="46" t="inlineStr">
        <is>
          <t>IF(AQ352="","",AQ352)</t>
        </is>
      </c>
      <c r="U352" s="54" t="n"/>
      <c r="V352" s="55" t="n"/>
      <c r="W352" s="54" t="n"/>
      <c r="X352" s="46" t="inlineStr">
        <is>
          <t>IF(W352&lt;&gt;"",W352,IF(OR(T352="",V352=""),"",EDATE(T352,V352)))</t>
        </is>
      </c>
      <c r="Y352" s="54" t="n"/>
      <c r="Z352" s="55" t="n"/>
      <c r="AA352" s="52" t="n"/>
      <c r="AB352" s="52" t="n"/>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3">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Q4:Q453" showDropDown="0" showInputMessage="0" showErrorMessage="1" allowBlank="1" errorTitle="Not in list" error="Choose a value from the list, or add it on the Domains / Geography sheet first." type="list">
      <formula1>=Contractors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E5984"/>
    <outlinePr summaryBelow="1" summaryRight="1"/>
    <pageSetUpPr/>
  </sheetPr>
  <dimension ref="A1:F16"/>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1" t="inlineStr">
        <is>
          <t>Status pipeline — add a name in a spare slot to create a new step on the tracker</t>
        </is>
      </c>
      <c r="B1" s="22" t="n"/>
      <c r="C1" s="22" t="n"/>
      <c r="D1" s="22" t="n"/>
      <c r="E1" s="22" t="n"/>
      <c r="F1" s="22"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83" t="n">
        <v>1</v>
      </c>
      <c r="B3" s="11" t="inlineStr">
        <is>
          <t>Under Design</t>
        </is>
      </c>
      <c r="C3" s="52" t="inlineStr">
        <is>
          <t>Design</t>
        </is>
      </c>
      <c r="D3" s="52" t="inlineStr">
        <is>
          <t>Detailed design, surveys, and drawings are being prepared.</t>
        </is>
      </c>
      <c r="E3" s="55" t="n">
        <v>30</v>
      </c>
      <c r="F3" s="86" t="inlineStr">
        <is>
          <t>Used by tracker date headers and duration labels.</t>
        </is>
      </c>
    </row>
    <row r="4" ht="22" customHeight="1">
      <c r="A4" s="83" t="n">
        <v>2</v>
      </c>
      <c r="B4" s="12" t="inlineStr">
        <is>
          <t>Under Review of WRI</t>
        </is>
      </c>
      <c r="C4" s="52" t="inlineStr">
        <is>
          <t>WRI Review</t>
        </is>
      </c>
      <c r="D4" s="52" t="inlineStr">
        <is>
          <t>Water Resources / WRI is reviewing the design package.</t>
        </is>
      </c>
      <c r="E4" s="55" t="n">
        <v>14</v>
      </c>
      <c r="F4" s="86" t="inlineStr">
        <is>
          <t>Used by tracker date headers and duration labels.</t>
        </is>
      </c>
    </row>
    <row r="5" ht="22" customHeight="1">
      <c r="A5" s="83" t="n">
        <v>3</v>
      </c>
      <c r="B5" s="13" t="inlineStr">
        <is>
          <t>Under LTO Review</t>
        </is>
      </c>
      <c r="C5" s="52" t="inlineStr">
        <is>
          <t>LTO Review</t>
        </is>
      </c>
      <c r="D5" s="52" t="inlineStr">
        <is>
          <t>Legal / LTO clearance of the package.</t>
        </is>
      </c>
      <c r="E5" s="55" t="n">
        <v>10</v>
      </c>
      <c r="F5" s="86" t="inlineStr">
        <is>
          <t>Used by tracker date headers and duration labels.</t>
        </is>
      </c>
    </row>
    <row r="6" ht="22" customHeight="1">
      <c r="A6" s="83" t="n">
        <v>4</v>
      </c>
      <c r="B6" s="14" t="inlineStr">
        <is>
          <t>PR to be Raised</t>
        </is>
      </c>
      <c r="C6" s="52" t="inlineStr">
        <is>
          <t>PR</t>
        </is>
      </c>
      <c r="D6" s="52" t="inlineStr">
        <is>
          <t>Purchase request / procurement request still to be raised.</t>
        </is>
      </c>
      <c r="E6" s="55" t="n">
        <v>10</v>
      </c>
      <c r="F6" s="86" t="inlineStr">
        <is>
          <t>Used by tracker date headers and duration labels.</t>
        </is>
      </c>
    </row>
    <row r="7" ht="22" customHeight="1">
      <c r="A7" s="83" t="n">
        <v>5</v>
      </c>
      <c r="B7" s="15" t="inlineStr">
        <is>
          <t>ITB Launched</t>
        </is>
      </c>
      <c r="C7" s="52" t="inlineStr">
        <is>
          <t>ITB</t>
        </is>
      </c>
      <c r="D7" s="52" t="inlineStr">
        <is>
          <t>Invitation to Bid has been issued.</t>
        </is>
      </c>
      <c r="E7" s="55" t="n">
        <v>21</v>
      </c>
      <c r="F7" s="86" t="inlineStr">
        <is>
          <t>Used by tracker date headers and duration labels.</t>
        </is>
      </c>
    </row>
    <row r="8" ht="22" customHeight="1">
      <c r="A8" s="83" t="n">
        <v>6</v>
      </c>
      <c r="B8" s="15" t="inlineStr">
        <is>
          <t>Retendered (Re-ITB)</t>
        </is>
      </c>
      <c r="C8" s="52" t="inlineStr">
        <is>
          <t>Re-ITB</t>
        </is>
      </c>
      <c r="D8" s="52" t="inlineStr">
        <is>
          <t>Previous bid failed or was cancelled; invitation re-issued.</t>
        </is>
      </c>
      <c r="E8" s="55" t="n">
        <v>21</v>
      </c>
      <c r="F8" s="86" t="inlineStr">
        <is>
          <t>Used by tracker date headers and duration labels.</t>
        </is>
      </c>
    </row>
    <row r="9" ht="22" customHeight="1">
      <c r="A9" s="83" t="n">
        <v>7</v>
      </c>
      <c r="B9" s="16" t="inlineStr">
        <is>
          <t>Under Technical Evaluation</t>
        </is>
      </c>
      <c r="C9" s="52" t="inlineStr">
        <is>
          <t>Tech Eval</t>
        </is>
      </c>
      <c r="D9" s="52" t="inlineStr">
        <is>
          <t>Bids are under technical evaluation.</t>
        </is>
      </c>
      <c r="E9" s="55" t="n">
        <v>14</v>
      </c>
      <c r="F9" s="86" t="inlineStr">
        <is>
          <t>Used by tracker date headers and duration labels.</t>
        </is>
      </c>
    </row>
    <row r="10" ht="22" customHeight="1">
      <c r="A10" s="83" t="n">
        <v>8</v>
      </c>
      <c r="B10" s="17" t="inlineStr">
        <is>
          <t>Under Awarding</t>
        </is>
      </c>
      <c r="C10" s="52" t="inlineStr">
        <is>
          <t>Awarding</t>
        </is>
      </c>
      <c r="D10" s="52" t="inlineStr">
        <is>
          <t>Award recommendation, negotiations, and approval.</t>
        </is>
      </c>
      <c r="E10" s="55" t="n">
        <v>14</v>
      </c>
      <c r="F10" s="86" t="inlineStr">
        <is>
          <t>Used by tracker date headers and duration labels.</t>
        </is>
      </c>
    </row>
    <row r="11" ht="22" customHeight="1">
      <c r="A11" s="83" t="n">
        <v>9</v>
      </c>
      <c r="B11" s="18" t="inlineStr">
        <is>
          <t>Awarded</t>
        </is>
      </c>
      <c r="C11" s="52" t="inlineStr">
        <is>
          <t>Awarded</t>
        </is>
      </c>
      <c r="D11" s="52" t="inlineStr">
        <is>
          <t>Contract signed / notice of award issued.</t>
        </is>
      </c>
      <c r="E11" s="55" t="n">
        <v>0</v>
      </c>
      <c r="F11" s="86" t="inlineStr">
        <is>
          <t>Used by tracker date headers and duration labels.</t>
        </is>
      </c>
    </row>
    <row r="12" ht="22" customHeight="1">
      <c r="A12" s="83" t="n">
        <v>10</v>
      </c>
      <c r="B12" s="19" t="inlineStr">
        <is>
          <t>Under Construction</t>
        </is>
      </c>
      <c r="C12" s="52" t="inlineStr">
        <is>
          <t>Construction</t>
        </is>
      </c>
      <c r="D12" s="52" t="inlineStr">
        <is>
          <t>Contractor is mobilised and physical works are ongoing.</t>
        </is>
      </c>
      <c r="E12" s="55" t="n">
        <v>150</v>
      </c>
      <c r="F12" s="86" t="inlineStr">
        <is>
          <t>Used by tracker date headers and duration labels.</t>
        </is>
      </c>
    </row>
    <row r="13" ht="22" customHeight="1">
      <c r="A13" s="83" t="n">
        <v>11</v>
      </c>
      <c r="B13" s="20" t="inlineStr">
        <is>
          <t>Completed / Handover</t>
        </is>
      </c>
      <c r="C13" s="52" t="inlineStr">
        <is>
          <t>Completed</t>
        </is>
      </c>
      <c r="D13" s="52" t="inlineStr">
        <is>
          <t>Works completed and handed over.</t>
        </is>
      </c>
      <c r="E13" s="55" t="n">
        <v>0</v>
      </c>
      <c r="F13" s="86" t="inlineStr">
        <is>
          <t>Used by tracker date headers and duration labels.</t>
        </is>
      </c>
    </row>
    <row r="14" ht="22" customHeight="1">
      <c r="A14" s="114" t="n">
        <v>12</v>
      </c>
      <c r="B14" s="115" t="inlineStr"/>
      <c r="C14" s="115" t="inlineStr"/>
      <c r="D14" s="115" t="inlineStr">
        <is>
          <t>Spare slot — type a status name here to add a step.</t>
        </is>
      </c>
      <c r="E14" s="116" t="n"/>
      <c r="F14" s="51" t="inlineStr">
        <is>
          <t>Type a status name in column B to activate this date column on the tracker.</t>
        </is>
      </c>
    </row>
    <row r="15" ht="22" customHeight="1">
      <c r="A15" s="114" t="n">
        <v>13</v>
      </c>
      <c r="B15" s="115" t="inlineStr"/>
      <c r="C15" s="115" t="inlineStr"/>
      <c r="D15" s="115" t="inlineStr">
        <is>
          <t>Spare slot — type a status name here to add a step.</t>
        </is>
      </c>
      <c r="E15" s="116" t="n"/>
      <c r="F15" s="51" t="inlineStr">
        <is>
          <t>Type a status name in column B to activate this date column on the tracker.</t>
        </is>
      </c>
    </row>
    <row r="16" ht="22" customHeight="1">
      <c r="A16" s="114" t="n">
        <v>14</v>
      </c>
      <c r="B16" s="115" t="inlineStr"/>
      <c r="C16" s="115" t="inlineStr"/>
      <c r="D16" s="115" t="inlineStr">
        <is>
          <t>Spare slot — type a status name here to add a step.</t>
        </is>
      </c>
      <c r="E16" s="116" t="n"/>
      <c r="F16" s="51"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tabColor rgb="008A6D3B"/>
    <outlinePr summaryBelow="1" summaryRight="1"/>
    <pageSetUpPr/>
  </sheetPr>
  <dimension ref="A1:J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 width="16" customWidth="1" min="8" max="8"/>
    <col width="24" customWidth="1" min="9" max="9"/>
    <col width="42" customWidth="1" min="10" max="10"/>
  </cols>
  <sheetData>
    <row r="1" ht="26" customHeight="1">
      <c r="A1" s="21" t="inlineStr">
        <is>
          <t>Domains — type a new value in the first empty cell of a column to add it to the dropdowns</t>
        </is>
      </c>
      <c r="B1" s="22" t="n"/>
      <c r="C1" s="22" t="n"/>
      <c r="D1" s="22" t="n"/>
      <c r="E1" s="22" t="n"/>
      <c r="F1" s="22" t="n"/>
      <c r="G1" s="22" t="n"/>
      <c r="H1" s="22"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c r="H2" s="9" t="inlineStr">
        <is>
          <t>AwardGroups</t>
        </is>
      </c>
      <c r="I2" s="9" t="inlineStr">
        <is>
          <t>Families</t>
        </is>
      </c>
      <c r="J2" s="9" t="inlineStr">
        <is>
          <t>Contractors</t>
        </is>
      </c>
    </row>
    <row r="3">
      <c r="A3" s="52" t="inlineStr">
        <is>
          <t>Irrigation Canal</t>
        </is>
      </c>
      <c r="B3" s="52" t="inlineStr">
        <is>
          <t>World Bank (WBK/AF-2)</t>
        </is>
      </c>
      <c r="C3" s="52" t="inlineStr">
        <is>
          <t>Emergency Food Security Project (EFSP) – WBK/AF-2</t>
        </is>
      </c>
      <c r="D3" s="52" t="inlineStr">
        <is>
          <t>West / Herat</t>
        </is>
      </c>
      <c r="E3" s="52" t="inlineStr">
        <is>
          <t>Under Design</t>
        </is>
      </c>
      <c r="F3" s="52" t="inlineStr">
        <is>
          <t>Herat</t>
        </is>
      </c>
      <c r="G3" s="52" t="inlineStr">
        <is>
          <t>Herat</t>
        </is>
      </c>
      <c r="H3" s="52" t="inlineStr">
        <is>
          <t>Awarded</t>
        </is>
      </c>
      <c r="I3" s="52" t="inlineStr">
        <is>
          <t>Irrigation Scheme</t>
        </is>
      </c>
      <c r="J3" s="52" t="inlineStr">
        <is>
          <t>Abdul Ghafour</t>
        </is>
      </c>
    </row>
    <row r="4">
      <c r="A4" s="52" t="inlineStr">
        <is>
          <t>Protection Wall</t>
        </is>
      </c>
      <c r="B4" s="52" t="inlineStr">
        <is>
          <t>World Bank (WBK)</t>
        </is>
      </c>
      <c r="C4" s="52" t="inlineStr">
        <is>
          <t>Emergency Food Security Project (EFSP)</t>
        </is>
      </c>
      <c r="D4" s="52" t="inlineStr">
        <is>
          <t>East / Jalalabad</t>
        </is>
      </c>
      <c r="E4" s="52" t="inlineStr">
        <is>
          <t>Under Review of WRI</t>
        </is>
      </c>
      <c r="F4" s="52" t="inlineStr">
        <is>
          <t>Badghis</t>
        </is>
      </c>
      <c r="G4" s="52" t="inlineStr">
        <is>
          <t>Injil</t>
        </is>
      </c>
      <c r="H4" s="52" t="inlineStr">
        <is>
          <t>Not awarded</t>
        </is>
      </c>
      <c r="I4" s="52" t="inlineStr">
        <is>
          <t>Watershed Management</t>
        </is>
      </c>
      <c r="J4" s="52" t="inlineStr">
        <is>
          <t>Abdul Qadeer</t>
        </is>
      </c>
    </row>
    <row r="5">
      <c r="A5" s="52" t="inlineStr">
        <is>
          <t>Karez Rehabilitation</t>
        </is>
      </c>
      <c r="B5" s="52" t="inlineStr">
        <is>
          <t>WFP</t>
        </is>
      </c>
      <c r="C5" s="52" t="inlineStr">
        <is>
          <t>WBK/AF-2 Component 2: Water and Resilience Services</t>
        </is>
      </c>
      <c r="D5" s="52" t="inlineStr">
        <is>
          <t>Central / Kabul</t>
        </is>
      </c>
      <c r="E5" s="52" t="inlineStr">
        <is>
          <t>Under LTO Review</t>
        </is>
      </c>
      <c r="F5" s="52" t="inlineStr">
        <is>
          <t>Farah</t>
        </is>
      </c>
      <c r="G5" s="52" t="inlineStr">
        <is>
          <t>Guzara</t>
        </is>
      </c>
      <c r="H5" s="117" t="n"/>
      <c r="I5" s="52" t="inlineStr">
        <is>
          <t>Drip Irrigation</t>
        </is>
      </c>
      <c r="J5" s="52" t="inlineStr">
        <is>
          <t>Abdul Qayum</t>
        </is>
      </c>
    </row>
    <row r="6">
      <c r="A6" s="52" t="inlineStr">
        <is>
          <t>Intake / Diversion</t>
        </is>
      </c>
      <c r="B6" s="52" t="inlineStr">
        <is>
          <t>FAO</t>
        </is>
      </c>
      <c r="C6" s="117" t="n"/>
      <c r="D6" s="52" t="inlineStr">
        <is>
          <t>Central Highland / Bamyan</t>
        </is>
      </c>
      <c r="E6" s="52" t="inlineStr">
        <is>
          <t>PR to be Raised</t>
        </is>
      </c>
      <c r="F6" s="52" t="inlineStr">
        <is>
          <t>Ghor</t>
        </is>
      </c>
      <c r="G6" s="52" t="inlineStr">
        <is>
          <t>Karukh</t>
        </is>
      </c>
      <c r="H6" s="117" t="n"/>
      <c r="I6" s="52" t="inlineStr">
        <is>
          <t>Laser Land Leveler (LLL)</t>
        </is>
      </c>
      <c r="J6" s="52" t="inlineStr">
        <is>
          <t>Abdul Rahman</t>
        </is>
      </c>
    </row>
    <row r="7">
      <c r="A7" s="52" t="inlineStr">
        <is>
          <t>Check Dam</t>
        </is>
      </c>
      <c r="B7" s="52" t="inlineStr">
        <is>
          <t>UNICEF</t>
        </is>
      </c>
      <c r="C7" s="117" t="n"/>
      <c r="D7" s="52" t="inlineStr">
        <is>
          <t>Southeast / Gardez</t>
        </is>
      </c>
      <c r="E7" s="52" t="inlineStr">
        <is>
          <t>ITB Launched</t>
        </is>
      </c>
      <c r="F7" s="52" t="inlineStr">
        <is>
          <t>Nangarhar</t>
        </is>
      </c>
      <c r="G7" s="52" t="inlineStr">
        <is>
          <t>Pashtun Zarghun</t>
        </is>
      </c>
      <c r="H7" s="117" t="n"/>
      <c r="I7" s="52" t="inlineStr">
        <is>
          <t>Agroforestry saplings / seeds</t>
        </is>
      </c>
      <c r="J7" s="52" t="inlineStr">
        <is>
          <t>Abdullah</t>
        </is>
      </c>
    </row>
    <row r="8">
      <c r="A8" s="52" t="inlineStr">
        <is>
          <t>Boulder Check Dam</t>
        </is>
      </c>
      <c r="B8" s="52" t="inlineStr">
        <is>
          <t>ADB</t>
        </is>
      </c>
      <c r="C8" s="117" t="n"/>
      <c r="D8" s="52" t="inlineStr">
        <is>
          <t>South / Kandahar</t>
        </is>
      </c>
      <c r="E8" s="52" t="inlineStr">
        <is>
          <t>Retendered (Re-ITB)</t>
        </is>
      </c>
      <c r="F8" s="52" t="inlineStr">
        <is>
          <t>Kunar</t>
        </is>
      </c>
      <c r="G8" s="52" t="inlineStr">
        <is>
          <t>Zindajan</t>
        </is>
      </c>
      <c r="H8" s="117" t="n"/>
      <c r="I8" s="117" t="n"/>
      <c r="J8" s="52" t="inlineStr">
        <is>
          <t>Abdur Raqeeb</t>
        </is>
      </c>
    </row>
    <row r="9">
      <c r="A9" s="52" t="inlineStr">
        <is>
          <t>Check Dam and Water Pond</t>
        </is>
      </c>
      <c r="B9" s="52" t="inlineStr">
        <is>
          <t>Government</t>
        </is>
      </c>
      <c r="C9" s="117" t="n"/>
      <c r="D9" s="52" t="inlineStr">
        <is>
          <t>North / Mazar</t>
        </is>
      </c>
      <c r="E9" s="52" t="inlineStr">
        <is>
          <t>Under Technical Evaluation</t>
        </is>
      </c>
      <c r="F9" s="52" t="inlineStr">
        <is>
          <t>Laghman</t>
        </is>
      </c>
      <c r="G9" s="52" t="inlineStr">
        <is>
          <t>Gulran</t>
        </is>
      </c>
      <c r="H9" s="117" t="n"/>
      <c r="I9" s="117" t="n"/>
      <c r="J9" s="52" t="inlineStr">
        <is>
          <t>Afghan Aakam Construction and Road Company C. JV with D-Amini Mashwani Construction Road Juroni and Construction Materials Production Company (AACRC&amp;JV DAMCC)</t>
        </is>
      </c>
    </row>
    <row r="10">
      <c r="A10" s="52" t="inlineStr">
        <is>
          <t>Gabion Structure</t>
        </is>
      </c>
      <c r="B10" s="52" t="inlineStr">
        <is>
          <t>Other</t>
        </is>
      </c>
      <c r="C10" s="117" t="n"/>
      <c r="D10" s="52" t="inlineStr">
        <is>
          <t>Northeast / Kunduz</t>
        </is>
      </c>
      <c r="E10" s="52" t="inlineStr">
        <is>
          <t>Under Awarding</t>
        </is>
      </c>
      <c r="F10" s="52" t="inlineStr">
        <is>
          <t>Nuristan</t>
        </is>
      </c>
      <c r="G10" s="52" t="inlineStr">
        <is>
          <t>Kohsan</t>
        </is>
      </c>
      <c r="H10" s="117" t="n"/>
      <c r="I10" s="117" t="n"/>
      <c r="J10" s="52" t="inlineStr">
        <is>
          <t>Afghan Aakam Construction and Road Company. JV with D- Amini Mashwani Construction Company (AACC)</t>
        </is>
      </c>
    </row>
    <row r="11">
      <c r="A11" s="52" t="inlineStr">
        <is>
          <t>Flood Protection</t>
        </is>
      </c>
      <c r="B11" s="117" t="n"/>
      <c r="C11" s="117" t="n"/>
      <c r="D11" s="117" t="n"/>
      <c r="E11" s="52" t="inlineStr">
        <is>
          <t>Awarded</t>
        </is>
      </c>
      <c r="F11" s="52" t="inlineStr">
        <is>
          <t>Kabul</t>
        </is>
      </c>
      <c r="G11" s="52" t="inlineStr">
        <is>
          <t>Ghoryan</t>
        </is>
      </c>
      <c r="H11" s="117" t="n"/>
      <c r="I11" s="117" t="n"/>
      <c r="J11" s="52" t="inlineStr">
        <is>
          <t>Afghan Eithad construction and Road Building company (AECC)</t>
        </is>
      </c>
    </row>
    <row r="12">
      <c r="A12" s="52" t="inlineStr">
        <is>
          <t>Drip Irrigation Plot</t>
        </is>
      </c>
      <c r="B12" s="117" t="n"/>
      <c r="C12" s="117" t="n"/>
      <c r="D12" s="117" t="n"/>
      <c r="E12" s="52" t="inlineStr">
        <is>
          <t>Under Construction</t>
        </is>
      </c>
      <c r="F12" s="52" t="inlineStr">
        <is>
          <t>Parwan</t>
        </is>
      </c>
      <c r="G12" s="52" t="inlineStr">
        <is>
          <t>Obe</t>
        </is>
      </c>
      <c r="H12" s="117" t="n"/>
      <c r="I12" s="117" t="n"/>
      <c r="J12" s="52" t="inlineStr">
        <is>
          <t>Afghan Laser Engineering and Construction Company (ALCC)</t>
        </is>
      </c>
    </row>
    <row r="13">
      <c r="A13" s="52" t="inlineStr">
        <is>
          <t>LLL unit</t>
        </is>
      </c>
      <c r="B13" s="117" t="n"/>
      <c r="C13" s="117" t="n"/>
      <c r="D13" s="117" t="n"/>
      <c r="E13" s="52" t="inlineStr">
        <is>
          <t>Completed / Handover</t>
        </is>
      </c>
      <c r="F13" s="52" t="inlineStr">
        <is>
          <t>Kapisa</t>
        </is>
      </c>
      <c r="G13" s="52" t="inlineStr">
        <is>
          <t>Chishti Sharif</t>
        </is>
      </c>
      <c r="H13" s="117" t="n"/>
      <c r="I13" s="117" t="n"/>
      <c r="J13" s="52" t="inlineStr">
        <is>
          <t>AFGHAN LUCKY CONSTRUCTION COMPANY (ALCC)</t>
        </is>
      </c>
    </row>
    <row r="14">
      <c r="A14" s="52" t="inlineStr">
        <is>
          <t>Saplings and seeds</t>
        </is>
      </c>
      <c r="B14" s="117" t="n"/>
      <c r="C14" s="117" t="n"/>
      <c r="D14" s="117" t="n"/>
      <c r="E14" s="52" t="inlineStr">
        <is>
          <t>Not started</t>
        </is>
      </c>
      <c r="F14" s="52" t="inlineStr">
        <is>
          <t>Logar</t>
        </is>
      </c>
      <c r="G14" s="52" t="inlineStr">
        <is>
          <t>Shindand</t>
        </is>
      </c>
      <c r="H14" s="117" t="n"/>
      <c r="I14" s="117" t="n"/>
      <c r="J14" s="52" t="inlineStr">
        <is>
          <t>Ahmad</t>
        </is>
      </c>
    </row>
    <row r="15">
      <c r="A15" s="52" t="inlineStr">
        <is>
          <t>Water Supply Scheme</t>
        </is>
      </c>
      <c r="B15" s="117" t="n"/>
      <c r="C15" s="117" t="n"/>
      <c r="D15" s="117" t="n"/>
      <c r="E15" s="52" t="inlineStr">
        <is>
          <t>Cancelled</t>
        </is>
      </c>
      <c r="F15" s="52" t="inlineStr">
        <is>
          <t>Maidan Wardak</t>
        </is>
      </c>
      <c r="G15" s="52" t="inlineStr">
        <is>
          <t>Adraskan</t>
        </is>
      </c>
      <c r="H15" s="117" t="n"/>
      <c r="I15" s="117" t="n"/>
      <c r="J15" s="52" t="inlineStr">
        <is>
          <t>Ahmad Zia</t>
        </is>
      </c>
    </row>
    <row r="16">
      <c r="A16" s="52" t="inlineStr">
        <is>
          <t>Other</t>
        </is>
      </c>
      <c r="B16" s="117" t="n"/>
      <c r="C16" s="117" t="n"/>
      <c r="D16" s="117" t="n"/>
      <c r="E16" s="117" t="n"/>
      <c r="F16" s="52" t="inlineStr">
        <is>
          <t>Panjshir</t>
        </is>
      </c>
      <c r="G16" s="52" t="inlineStr">
        <is>
          <t>Farsi</t>
        </is>
      </c>
      <c r="H16" s="117" t="n"/>
      <c r="I16" s="117" t="n"/>
      <c r="J16" s="52" t="inlineStr">
        <is>
          <t>Akhtar Mohammad</t>
        </is>
      </c>
    </row>
    <row r="17">
      <c r="A17" s="117" t="n"/>
      <c r="B17" s="117" t="n"/>
      <c r="C17" s="117" t="n"/>
      <c r="D17" s="117" t="n"/>
      <c r="E17" s="117" t="n"/>
      <c r="F17" s="52" t="inlineStr">
        <is>
          <t>Bamyan</t>
        </is>
      </c>
      <c r="G17" s="52" t="inlineStr">
        <is>
          <t>Qala-e-Naw</t>
        </is>
      </c>
      <c r="I17" s="117" t="n"/>
      <c r="J17" s="52" t="inlineStr">
        <is>
          <t>Alberoni University</t>
        </is>
      </c>
    </row>
    <row r="18">
      <c r="A18" s="117" t="n"/>
      <c r="B18" s="117" t="n"/>
      <c r="D18" s="117" t="n"/>
      <c r="E18" s="117" t="n"/>
      <c r="F18" s="52" t="inlineStr">
        <is>
          <t>Daykundi</t>
        </is>
      </c>
      <c r="G18" s="52" t="inlineStr">
        <is>
          <t>Qadis</t>
        </is>
      </c>
      <c r="I18" s="117" t="n"/>
      <c r="J18" s="52" t="inlineStr">
        <is>
          <t>Ali Dost</t>
        </is>
      </c>
    </row>
    <row r="19">
      <c r="A19" s="117" t="n"/>
      <c r="B19" s="117" t="n"/>
      <c r="D19" s="117" t="n"/>
      <c r="E19" s="117" t="n"/>
      <c r="F19" s="52" t="inlineStr">
        <is>
          <t>Paktya</t>
        </is>
      </c>
      <c r="G19" s="52" t="inlineStr">
        <is>
          <t>Muqur</t>
        </is>
      </c>
      <c r="I19" s="117" t="n"/>
      <c r="J19" s="52" t="inlineStr">
        <is>
          <t>ALTIN CONSTRUCTION AND ROAD BUILDING COMPANY (ACC)</t>
        </is>
      </c>
    </row>
    <row r="20">
      <c r="A20" s="117" t="n"/>
      <c r="B20" s="117" t="n"/>
      <c r="D20" s="117" t="n"/>
      <c r="E20" s="117" t="n"/>
      <c r="F20" s="52" t="inlineStr">
        <is>
          <t>Paktika</t>
        </is>
      </c>
      <c r="G20" s="52" t="inlineStr">
        <is>
          <t>Bala Murghab</t>
        </is>
      </c>
      <c r="J20" s="52" t="inlineStr">
        <is>
          <t>Arman Millad Construction Company (AMCC)</t>
        </is>
      </c>
    </row>
    <row r="21">
      <c r="A21" s="117" t="n"/>
      <c r="B21" s="117" t="n"/>
      <c r="D21" s="117" t="n"/>
      <c r="E21" s="117" t="n"/>
      <c r="F21" s="52" t="inlineStr">
        <is>
          <t>Khost</t>
        </is>
      </c>
      <c r="G21" s="52" t="inlineStr">
        <is>
          <t>Jawand</t>
        </is>
      </c>
      <c r="J21" s="52" t="inlineStr">
        <is>
          <t>Arman Sharq Construction Company ASCC)</t>
        </is>
      </c>
    </row>
    <row r="22">
      <c r="A22" s="117" t="n"/>
      <c r="B22" s="117" t="n"/>
      <c r="D22" s="117" t="n"/>
      <c r="E22" s="117" t="n"/>
      <c r="F22" s="52" t="inlineStr">
        <is>
          <t>Ghazni</t>
        </is>
      </c>
      <c r="G22" s="52" t="inlineStr">
        <is>
          <t>Ab Kamari</t>
        </is>
      </c>
      <c r="J22" s="52" t="inlineStr">
        <is>
          <t>Awrish builder construction company (ABCC)</t>
        </is>
      </c>
    </row>
    <row r="23">
      <c r="A23" s="117" t="n"/>
      <c r="E23" s="117" t="n"/>
      <c r="F23" s="52" t="inlineStr">
        <is>
          <t>Kandahar</t>
        </is>
      </c>
      <c r="G23" s="52" t="inlineStr">
        <is>
          <t>Ghormach</t>
        </is>
      </c>
      <c r="J23" s="52" t="inlineStr">
        <is>
          <t>Bahartamadun Construction Company (BCC)</t>
        </is>
      </c>
    </row>
    <row r="24">
      <c r="A24" s="117" t="n"/>
      <c r="E24" s="117" t="n"/>
      <c r="F24" s="52" t="inlineStr">
        <is>
          <t>Helmand</t>
        </is>
      </c>
      <c r="G24" s="52" t="inlineStr">
        <is>
          <t>Farah</t>
        </is>
      </c>
      <c r="J24" s="52" t="inlineStr">
        <is>
          <t>Bakhter Pairoz Construction Company (BPCC)</t>
        </is>
      </c>
    </row>
    <row r="25">
      <c r="A25" s="117" t="n"/>
      <c r="E25" s="117" t="n"/>
      <c r="F25" s="52" t="inlineStr">
        <is>
          <t>Zabul</t>
        </is>
      </c>
      <c r="G25" s="52" t="inlineStr">
        <is>
          <t>Pusht Rod</t>
        </is>
      </c>
      <c r="J25" s="52" t="inlineStr">
        <is>
          <t>Da Maidan Zawahnono Construction Company (DMZCC)</t>
        </is>
      </c>
    </row>
    <row r="26">
      <c r="A26" s="117" t="n"/>
      <c r="E26" s="117" t="n"/>
      <c r="F26" s="52" t="inlineStr">
        <is>
          <t>Uruzgan</t>
        </is>
      </c>
      <c r="G26" s="52" t="inlineStr">
        <is>
          <t>Khaki Safed</t>
        </is>
      </c>
      <c r="J26" s="52" t="inlineStr">
        <is>
          <t>Edi Mohammad</t>
        </is>
      </c>
    </row>
    <row r="27">
      <c r="A27" s="117" t="n"/>
      <c r="E27" s="117" t="n"/>
      <c r="F27" s="52" t="inlineStr">
        <is>
          <t>Nimroz</t>
        </is>
      </c>
      <c r="G27" s="52" t="inlineStr">
        <is>
          <t>Qala-e-Kah</t>
        </is>
      </c>
      <c r="J27" s="52" t="inlineStr">
        <is>
          <t>Ehsanullah</t>
        </is>
      </c>
    </row>
    <row r="28">
      <c r="A28" s="117" t="n"/>
      <c r="F28" s="52" t="inlineStr">
        <is>
          <t>Balkh</t>
        </is>
      </c>
      <c r="G28" s="52" t="inlineStr">
        <is>
          <t>Shib Koh</t>
        </is>
      </c>
      <c r="J28" s="52" t="inlineStr">
        <is>
          <t>Estehkam Baba Construction and Road Construction Company (EBCC)</t>
        </is>
      </c>
    </row>
    <row r="29">
      <c r="F29" s="52" t="inlineStr">
        <is>
          <t>Samangan</t>
        </is>
      </c>
      <c r="G29" s="52" t="inlineStr">
        <is>
          <t>Bala Buluk</t>
        </is>
      </c>
      <c r="J29" s="52" t="inlineStr">
        <is>
          <t>Estehkam Baba Construction Company JV Tamadon Bamik Construction Company (EBCC)</t>
        </is>
      </c>
    </row>
    <row r="30">
      <c r="F30" s="52" t="inlineStr">
        <is>
          <t>Jawzjan</t>
        </is>
      </c>
      <c r="G30" s="52" t="inlineStr">
        <is>
          <t>Gulistan</t>
        </is>
      </c>
      <c r="J30" s="52" t="inlineStr">
        <is>
          <t>Faiz Qurbani Construction Company (FQCC)</t>
        </is>
      </c>
    </row>
    <row r="31">
      <c r="F31" s="52" t="inlineStr">
        <is>
          <t>Sar-e-Pul</t>
        </is>
      </c>
      <c r="G31" s="52" t="inlineStr">
        <is>
          <t>Pur Chaman</t>
        </is>
      </c>
      <c r="J31" s="52" t="inlineStr">
        <is>
          <t>Farhad Matoonyar Construction Company (FMCC)</t>
        </is>
      </c>
    </row>
    <row r="32">
      <c r="F32" s="52" t="inlineStr">
        <is>
          <t>Faryab</t>
        </is>
      </c>
      <c r="G32" s="52" t="inlineStr">
        <is>
          <t>Bakwa</t>
        </is>
      </c>
      <c r="J32" s="52" t="inlineStr">
        <is>
          <t>Fazal Din</t>
        </is>
      </c>
    </row>
    <row r="33">
      <c r="F33" s="52" t="inlineStr">
        <is>
          <t>Kunduz</t>
        </is>
      </c>
      <c r="G33" s="52" t="inlineStr">
        <is>
          <t>Lash wa Juwayn</t>
        </is>
      </c>
      <c r="J33" s="52" t="inlineStr">
        <is>
          <t>Fazel Rahman</t>
        </is>
      </c>
    </row>
    <row r="34">
      <c r="F34" s="52" t="inlineStr">
        <is>
          <t>Baghlan</t>
        </is>
      </c>
      <c r="G34" s="52" t="inlineStr">
        <is>
          <t>Anar Dara</t>
        </is>
      </c>
      <c r="J34" s="52" t="inlineStr">
        <is>
          <t>Fazl Ahmad</t>
        </is>
      </c>
    </row>
    <row r="35">
      <c r="F35" s="52" t="inlineStr">
        <is>
          <t>Takhar</t>
        </is>
      </c>
      <c r="G35" s="52" t="inlineStr">
        <is>
          <t>Firozkoh</t>
        </is>
      </c>
      <c r="J35" s="52" t="inlineStr">
        <is>
          <t>Fida Mohammad</t>
        </is>
      </c>
    </row>
    <row r="36">
      <c r="F36" s="52" t="inlineStr">
        <is>
          <t>Badakhshan</t>
        </is>
      </c>
      <c r="G36" s="52" t="inlineStr">
        <is>
          <t>Lal wa Sarjangal</t>
        </is>
      </c>
      <c r="J36" s="52" t="inlineStr">
        <is>
          <t>Gafoor Jan</t>
        </is>
      </c>
    </row>
    <row r="37">
      <c r="F37" s="117" t="n"/>
      <c r="G37" s="52" t="inlineStr">
        <is>
          <t>Tulak</t>
        </is>
      </c>
      <c r="J37" s="52" t="inlineStr">
        <is>
          <t>Ghazi Khan</t>
        </is>
      </c>
    </row>
    <row r="38">
      <c r="F38" s="117" t="n"/>
      <c r="G38" s="52" t="inlineStr">
        <is>
          <t>Shahrak</t>
        </is>
      </c>
      <c r="J38" s="52" t="inlineStr">
        <is>
          <t>Ghulam</t>
        </is>
      </c>
    </row>
    <row r="39">
      <c r="F39" s="117" t="n"/>
      <c r="G39" s="52" t="inlineStr">
        <is>
          <t>Dawlat Yar</t>
        </is>
      </c>
      <c r="J39" s="52" t="inlineStr">
        <is>
          <t>Ghulam Haider Shah</t>
        </is>
      </c>
    </row>
    <row r="40">
      <c r="F40" s="117" t="n"/>
      <c r="G40" s="52" t="inlineStr">
        <is>
          <t>Charsada</t>
        </is>
      </c>
      <c r="J40" s="52" t="inlineStr">
        <is>
          <t>Ghulam Hussain</t>
        </is>
      </c>
    </row>
    <row r="41">
      <c r="F41" s="117" t="n"/>
      <c r="G41" s="52" t="inlineStr">
        <is>
          <t>Pasaband</t>
        </is>
      </c>
      <c r="J41" s="52" t="inlineStr">
        <is>
          <t>Ghulam Mahboob</t>
        </is>
      </c>
    </row>
    <row r="42">
      <c r="F42" s="117" t="n"/>
      <c r="G42" s="52" t="inlineStr">
        <is>
          <t>Saghar</t>
        </is>
      </c>
      <c r="J42" s="52" t="inlineStr">
        <is>
          <t>Green Bentley construction Company (GBCC)</t>
        </is>
      </c>
    </row>
    <row r="43">
      <c r="F43" s="117" t="n"/>
      <c r="G43" s="52" t="inlineStr">
        <is>
          <t>Taywara</t>
        </is>
      </c>
      <c r="J43" s="52" t="inlineStr">
        <is>
          <t>Habibullah</t>
        </is>
      </c>
    </row>
    <row r="44">
      <c r="F44" s="117" t="n"/>
      <c r="G44" s="52" t="inlineStr">
        <is>
          <t>Du Layna</t>
        </is>
      </c>
      <c r="J44" s="52" t="inlineStr">
        <is>
          <t>Habiburahman</t>
        </is>
      </c>
    </row>
    <row r="45">
      <c r="F45" s="117" t="n"/>
      <c r="G45" s="52" t="inlineStr">
        <is>
          <t>Jalalabad</t>
        </is>
      </c>
      <c r="J45" s="52" t="inlineStr">
        <is>
          <t>Haji Abdul Qaiyom</t>
        </is>
      </c>
    </row>
    <row r="46">
      <c r="F46" s="117" t="n"/>
      <c r="G46" s="52" t="inlineStr">
        <is>
          <t>Behsud</t>
        </is>
      </c>
      <c r="J46" s="52" t="inlineStr">
        <is>
          <t>Haji Amir Gul</t>
        </is>
      </c>
    </row>
    <row r="47">
      <c r="F47" s="117" t="n"/>
      <c r="G47" s="52" t="inlineStr">
        <is>
          <t>Surkh Rod</t>
        </is>
      </c>
      <c r="J47" s="52" t="inlineStr">
        <is>
          <t>Haji Hamayoon Salimi</t>
        </is>
      </c>
    </row>
    <row r="48">
      <c r="F48" s="117" t="n"/>
      <c r="G48" s="52" t="inlineStr">
        <is>
          <t>Kama</t>
        </is>
      </c>
      <c r="J48" s="52" t="inlineStr">
        <is>
          <t>Haji Jamal</t>
        </is>
      </c>
    </row>
    <row r="49">
      <c r="G49" s="52" t="inlineStr">
        <is>
          <t>Kuz Kunar</t>
        </is>
      </c>
      <c r="J49" s="52" t="inlineStr">
        <is>
          <t>Haji Nazar Gul</t>
        </is>
      </c>
    </row>
    <row r="50">
      <c r="G50" s="52" t="inlineStr">
        <is>
          <t>Rodat</t>
        </is>
      </c>
      <c r="J50" s="52" t="inlineStr">
        <is>
          <t>Haji Yaqoub</t>
        </is>
      </c>
    </row>
    <row r="51">
      <c r="G51" s="52" t="inlineStr">
        <is>
          <t>Bati Kot</t>
        </is>
      </c>
      <c r="J51" s="52" t="inlineStr">
        <is>
          <t>Hakim Khan</t>
        </is>
      </c>
    </row>
    <row r="52">
      <c r="G52" s="52" t="inlineStr">
        <is>
          <t>Shinwar</t>
        </is>
      </c>
      <c r="J52" s="52" t="inlineStr">
        <is>
          <t>Hasan Khil</t>
        </is>
      </c>
    </row>
    <row r="53">
      <c r="G53" s="52" t="inlineStr">
        <is>
          <t>Achin</t>
        </is>
      </c>
      <c r="J53" s="52" t="inlineStr">
        <is>
          <t>Hayatullah</t>
        </is>
      </c>
    </row>
    <row r="54">
      <c r="G54" s="52" t="inlineStr">
        <is>
          <t>Nazyan</t>
        </is>
      </c>
      <c r="J54" s="52" t="inlineStr">
        <is>
          <t>Hazrat Wali</t>
        </is>
      </c>
    </row>
    <row r="55">
      <c r="G55" s="52" t="inlineStr">
        <is>
          <t>Dur Baba</t>
        </is>
      </c>
      <c r="J55" s="52" t="inlineStr">
        <is>
          <t>Hemat Ghorzang Construction &amp; Logistic Service Company (HGCC)</t>
        </is>
      </c>
    </row>
    <row r="56">
      <c r="G56" s="52" t="inlineStr">
        <is>
          <t>Mohmand Dara</t>
        </is>
      </c>
      <c r="J56" s="52" t="inlineStr">
        <is>
          <t>Hemat safi construction company (HSCC)</t>
        </is>
      </c>
    </row>
    <row r="57">
      <c r="G57" s="52" t="inlineStr">
        <is>
          <t>Lal Pur</t>
        </is>
      </c>
      <c r="J57" s="52" t="inlineStr">
        <is>
          <t>Islam Gul</t>
        </is>
      </c>
    </row>
    <row r="58">
      <c r="G58" s="52" t="inlineStr">
        <is>
          <t>Goshta</t>
        </is>
      </c>
      <c r="J58" s="52" t="inlineStr">
        <is>
          <t>Jalal</t>
        </is>
      </c>
    </row>
    <row r="59">
      <c r="G59" s="52" t="inlineStr">
        <is>
          <t>Chaparhar</t>
        </is>
      </c>
      <c r="J59" s="52" t="inlineStr">
        <is>
          <t>Kapisa Kohna Dah Construction Company (KKCC)</t>
        </is>
      </c>
    </row>
    <row r="60">
      <c r="G60" s="52" t="inlineStr">
        <is>
          <t>Khogyani</t>
        </is>
      </c>
      <c r="J60" s="52" t="inlineStr">
        <is>
          <t>Khairullah Zia</t>
        </is>
      </c>
    </row>
    <row r="61">
      <c r="G61" s="52" t="inlineStr">
        <is>
          <t>Pachir wa Agam</t>
        </is>
      </c>
      <c r="J61" s="52" t="inlineStr">
        <is>
          <t>Khaliqi Building &amp; Road Construction Company (KBRCC)</t>
        </is>
      </c>
    </row>
    <row r="62">
      <c r="G62" s="52" t="inlineStr">
        <is>
          <t>Sherzad</t>
        </is>
      </c>
      <c r="J62" s="52" t="inlineStr">
        <is>
          <t>Kunar University</t>
        </is>
      </c>
    </row>
    <row r="63">
      <c r="G63" s="52" t="inlineStr">
        <is>
          <t>Hesarak</t>
        </is>
      </c>
      <c r="J63" s="52" t="inlineStr">
        <is>
          <t>M. Afzal</t>
        </is>
      </c>
    </row>
    <row r="64">
      <c r="G64" s="52" t="inlineStr">
        <is>
          <t>Darah-i-Nur</t>
        </is>
      </c>
      <c r="J64" s="52" t="inlineStr">
        <is>
          <t>M. Nabi</t>
        </is>
      </c>
    </row>
    <row r="65">
      <c r="G65" s="52" t="inlineStr">
        <is>
          <t>Asadabad</t>
        </is>
      </c>
      <c r="J65" s="52" t="inlineStr">
        <is>
          <t>Mahmood Raqi Nawin Construction &amp; Road Building Company (MRCC)</t>
        </is>
      </c>
    </row>
    <row r="66">
      <c r="G66" s="52" t="inlineStr">
        <is>
          <t>Narang</t>
        </is>
      </c>
      <c r="J66" s="52" t="inlineStr">
        <is>
          <t>Malik Hajdar Construction and Road Company (MHCC)</t>
        </is>
      </c>
    </row>
    <row r="67">
      <c r="G67" s="52" t="inlineStr">
        <is>
          <t>Sawkai</t>
        </is>
      </c>
      <c r="J67" s="52" t="inlineStr">
        <is>
          <t>Malik Rostam</t>
        </is>
      </c>
    </row>
    <row r="68">
      <c r="G68" s="52" t="inlineStr">
        <is>
          <t>Khas Kunar</t>
        </is>
      </c>
      <c r="J68" s="52" t="inlineStr">
        <is>
          <t>Mateeullah</t>
        </is>
      </c>
    </row>
    <row r="69">
      <c r="G69" s="52" t="inlineStr">
        <is>
          <t>Nurgal</t>
        </is>
      </c>
      <c r="J69" s="52" t="inlineStr">
        <is>
          <t>Mohammad Akbar</t>
        </is>
      </c>
    </row>
    <row r="70">
      <c r="G70" s="52" t="inlineStr">
        <is>
          <t>Chawkay</t>
        </is>
      </c>
      <c r="J70" s="52" t="inlineStr">
        <is>
          <t>Mohammad Ali</t>
        </is>
      </c>
    </row>
    <row r="71">
      <c r="G71" s="52" t="inlineStr">
        <is>
          <t>Dangam</t>
        </is>
      </c>
      <c r="J71" s="52" t="inlineStr">
        <is>
          <t>Mohammad Arif</t>
        </is>
      </c>
    </row>
    <row r="72">
      <c r="G72" s="52" t="inlineStr">
        <is>
          <t>Ghaziabad</t>
        </is>
      </c>
      <c r="J72" s="52" t="inlineStr">
        <is>
          <t>Mohammad Hashim</t>
        </is>
      </c>
    </row>
    <row r="73">
      <c r="G73" s="52" t="inlineStr">
        <is>
          <t>Marawara</t>
        </is>
      </c>
      <c r="J73" s="52" t="inlineStr">
        <is>
          <t>Mohammad Ibrahim</t>
        </is>
      </c>
    </row>
    <row r="74">
      <c r="G74" s="52" t="inlineStr">
        <is>
          <t>Shigal</t>
        </is>
      </c>
      <c r="J74" s="52" t="inlineStr">
        <is>
          <t>Mohammad Naim</t>
        </is>
      </c>
    </row>
    <row r="75">
      <c r="G75" s="52" t="inlineStr">
        <is>
          <t>Wata Pur</t>
        </is>
      </c>
      <c r="J75" s="52" t="inlineStr">
        <is>
          <t>Mohammad Qasim</t>
        </is>
      </c>
    </row>
    <row r="76">
      <c r="G76" s="52" t="inlineStr">
        <is>
          <t>Naray</t>
        </is>
      </c>
      <c r="J76" s="52" t="inlineStr">
        <is>
          <t>Mohammad Rasool Gharani</t>
        </is>
      </c>
    </row>
    <row r="77">
      <c r="G77" s="52" t="inlineStr">
        <is>
          <t>Dara-i-Pech</t>
        </is>
      </c>
      <c r="J77" s="52" t="inlineStr">
        <is>
          <t>Mohammad Waseem</t>
        </is>
      </c>
    </row>
    <row r="78">
      <c r="G78" s="52" t="inlineStr">
        <is>
          <t>Mihtarlam</t>
        </is>
      </c>
      <c r="J78" s="52" t="inlineStr">
        <is>
          <t>Mohammad Yousaf</t>
        </is>
      </c>
    </row>
    <row r="79">
      <c r="G79" s="52" t="inlineStr">
        <is>
          <t>Qarghayi</t>
        </is>
      </c>
      <c r="J79" s="52" t="inlineStr">
        <is>
          <t>Mudeser Bigmurad Construction Company (MBCC)</t>
        </is>
      </c>
    </row>
    <row r="80">
      <c r="G80" s="52" t="inlineStr">
        <is>
          <t>Alishing</t>
        </is>
      </c>
      <c r="J80" s="52" t="inlineStr">
        <is>
          <t>Naeemi Safi Construction &amp; Construction Material Company (NSCC)</t>
        </is>
      </c>
    </row>
    <row r="81">
      <c r="G81" s="52" t="inlineStr">
        <is>
          <t>Alingar</t>
        </is>
      </c>
      <c r="J81" s="52" t="inlineStr">
        <is>
          <t>Najeebullah</t>
        </is>
      </c>
    </row>
    <row r="82">
      <c r="G82" s="52" t="inlineStr">
        <is>
          <t>Dawlat Shah</t>
        </is>
      </c>
      <c r="J82" s="52" t="inlineStr">
        <is>
          <t>Naser Khan</t>
        </is>
      </c>
    </row>
    <row r="83">
      <c r="G83" s="52" t="inlineStr">
        <is>
          <t>Parun</t>
        </is>
      </c>
      <c r="J83" s="52" t="inlineStr">
        <is>
          <t>Nasratullah</t>
        </is>
      </c>
    </row>
    <row r="84">
      <c r="G84" s="52" t="inlineStr">
        <is>
          <t>Wama</t>
        </is>
      </c>
      <c r="J84" s="52" t="inlineStr">
        <is>
          <t>Nazar Khan</t>
        </is>
      </c>
    </row>
    <row r="85">
      <c r="G85" s="52" t="inlineStr">
        <is>
          <t>Kamdesh</t>
        </is>
      </c>
      <c r="J85" s="52" t="inlineStr">
        <is>
          <t>Nesar Ahmad, Koklam</t>
        </is>
      </c>
    </row>
    <row r="86">
      <c r="G86" s="52" t="inlineStr">
        <is>
          <t>Barg-i-Matal</t>
        </is>
      </c>
      <c r="J86" s="52" t="inlineStr">
        <is>
          <t>New Safi Zada Construction &amp; Road Building Company JV with Elyas Aryoubi Constructin Road building and Logistic Company (NSZ&amp;EACC)</t>
        </is>
      </c>
    </row>
    <row r="87">
      <c r="G87" s="52" t="inlineStr">
        <is>
          <t>Mandol</t>
        </is>
      </c>
      <c r="J87" s="52" t="inlineStr">
        <is>
          <t>Nomae Shahr Construction Company (NSCC)</t>
        </is>
      </c>
    </row>
    <row r="88">
      <c r="G88" s="52" t="inlineStr">
        <is>
          <t>Du Ab</t>
        </is>
      </c>
      <c r="J88" s="52" t="inlineStr">
        <is>
          <t>Omar Mortaza Construction &amp; Road Building JV Karwan Seraji Construction and Road Building Company (OMCC&amp;KSCC)</t>
        </is>
      </c>
    </row>
    <row r="89">
      <c r="G89" s="52" t="inlineStr">
        <is>
          <t>Nurgaram</t>
        </is>
      </c>
      <c r="J89" s="52" t="inlineStr">
        <is>
          <t>Ramin</t>
        </is>
      </c>
    </row>
    <row r="90">
      <c r="G90" s="52" t="inlineStr">
        <is>
          <t>Waygal</t>
        </is>
      </c>
      <c r="J90" s="52" t="inlineStr">
        <is>
          <t>Reg-e-Rawa park</t>
        </is>
      </c>
    </row>
    <row r="91">
      <c r="G91" s="52" t="inlineStr">
        <is>
          <t>PD#13 Kabul</t>
        </is>
      </c>
      <c r="J91" s="52" t="inlineStr">
        <is>
          <t>Reza</t>
        </is>
      </c>
    </row>
    <row r="92">
      <c r="G92" s="52" t="inlineStr">
        <is>
          <t>Deh Sabz</t>
        </is>
      </c>
      <c r="J92" s="52" t="inlineStr">
        <is>
          <t>Sadullah</t>
        </is>
      </c>
    </row>
    <row r="93">
      <c r="G93" s="52" t="inlineStr">
        <is>
          <t>Bagrami</t>
        </is>
      </c>
      <c r="J93" s="52" t="inlineStr">
        <is>
          <t>Saifuddin</t>
        </is>
      </c>
    </row>
    <row r="94">
      <c r="G94" s="52" t="inlineStr">
        <is>
          <t>Paghman</t>
        </is>
      </c>
      <c r="J94" s="52" t="inlineStr">
        <is>
          <t>Saifullah</t>
        </is>
      </c>
    </row>
    <row r="95">
      <c r="G95" s="52" t="inlineStr">
        <is>
          <t>Char Asiab</t>
        </is>
      </c>
      <c r="J95" s="52" t="inlineStr">
        <is>
          <t>Sakht shamal construction and road building company (SSCC)</t>
        </is>
      </c>
    </row>
    <row r="96">
      <c r="G96" s="52" t="inlineStr">
        <is>
          <t>Shakardara</t>
        </is>
      </c>
      <c r="J96" s="52" t="inlineStr">
        <is>
          <t>Salam Jan</t>
        </is>
      </c>
    </row>
    <row r="97">
      <c r="G97" s="52" t="inlineStr">
        <is>
          <t>Musayi</t>
        </is>
      </c>
      <c r="J97" s="52" t="inlineStr">
        <is>
          <t>Sayed Abad Construction Company (SACC)</t>
        </is>
      </c>
    </row>
    <row r="98">
      <c r="G98" s="52" t="inlineStr">
        <is>
          <t>Kalakan</t>
        </is>
      </c>
      <c r="J98" s="52" t="inlineStr">
        <is>
          <t>Sayed Hassan</t>
        </is>
      </c>
    </row>
    <row r="99">
      <c r="G99" s="52" t="inlineStr">
        <is>
          <t>Qarabagh</t>
        </is>
      </c>
      <c r="J99" s="52" t="inlineStr">
        <is>
          <t>Sayed Mohammad</t>
        </is>
      </c>
    </row>
    <row r="100">
      <c r="G100" s="52" t="inlineStr">
        <is>
          <t>Istalif</t>
        </is>
      </c>
      <c r="J100" s="52" t="inlineStr">
        <is>
          <t>Sayed Shirazi Construction and Road Building Company (SCRC)</t>
        </is>
      </c>
    </row>
    <row r="101">
      <c r="G101" s="52" t="inlineStr">
        <is>
          <t>Farza</t>
        </is>
      </c>
      <c r="J101" s="52" t="inlineStr">
        <is>
          <t>Seddiq Amini Construction and Logistic Services (SACC)</t>
        </is>
      </c>
    </row>
    <row r="102">
      <c r="G102" s="52" t="inlineStr">
        <is>
          <t>Guldara</t>
        </is>
      </c>
      <c r="J102" s="52" t="inlineStr">
        <is>
          <t>Shafiqullah Wahidi Construction Company (SWCC)</t>
        </is>
      </c>
    </row>
    <row r="103">
      <c r="G103" s="52" t="inlineStr">
        <is>
          <t>Khak-e-Jabbar</t>
        </is>
      </c>
      <c r="J103" s="52" t="inlineStr">
        <is>
          <t>SHAMAL KARDAN ROAD CONSTRUCTION AND LOGISTIC SERVICES COMPANY LTD (SKRCC)</t>
        </is>
      </c>
    </row>
    <row r="104">
      <c r="G104" s="52" t="inlineStr">
        <is>
          <t>Surobi</t>
        </is>
      </c>
      <c r="J104" s="52" t="inlineStr">
        <is>
          <t>Shams Afghan Vision Construction and Logistic Services (SAVCC)</t>
        </is>
      </c>
    </row>
    <row r="105">
      <c r="G105" s="52" t="inlineStr">
        <is>
          <t>Charikar</t>
        </is>
      </c>
      <c r="J105" s="52" t="inlineStr">
        <is>
          <t>Shamsurahman</t>
        </is>
      </c>
    </row>
    <row r="106">
      <c r="G106" s="52" t="inlineStr">
        <is>
          <t>Bagram</t>
        </is>
      </c>
      <c r="J106" s="52" t="inlineStr">
        <is>
          <t>Shirali Khan Barakatzai Construction Company (SBCC)</t>
        </is>
      </c>
    </row>
    <row r="107">
      <c r="G107" s="52" t="inlineStr">
        <is>
          <t>Jabal Saraj</t>
        </is>
      </c>
      <c r="J107" s="52" t="inlineStr">
        <is>
          <t>Sobhan</t>
        </is>
      </c>
    </row>
    <row r="108">
      <c r="G108" s="52" t="inlineStr">
        <is>
          <t>Salang</t>
        </is>
      </c>
      <c r="J108" s="52" t="inlineStr">
        <is>
          <t>Trust Grow Construction and Engineering Company (TGCC)</t>
        </is>
      </c>
    </row>
    <row r="109">
      <c r="G109" s="52" t="inlineStr">
        <is>
          <t>Shinwari</t>
        </is>
      </c>
      <c r="J109" s="52" t="inlineStr">
        <is>
          <t>Unique Wahaj Construction Company (UWCC)</t>
        </is>
      </c>
    </row>
    <row r="110">
      <c r="G110" s="52" t="inlineStr">
        <is>
          <t>Sayed Khel</t>
        </is>
      </c>
      <c r="J110" s="52" t="inlineStr">
        <is>
          <t>Waheed Wahaj Construction Company (WWCC)</t>
        </is>
      </c>
    </row>
    <row r="111">
      <c r="G111" s="52" t="inlineStr">
        <is>
          <t>Koh-i-Safi</t>
        </is>
      </c>
      <c r="J111" s="52" t="inlineStr">
        <is>
          <t>Wardak University</t>
        </is>
      </c>
    </row>
    <row r="112">
      <c r="G112" s="52" t="inlineStr">
        <is>
          <t>Surkhi Parsa</t>
        </is>
      </c>
      <c r="J112" s="52" t="inlineStr">
        <is>
          <t>Wasif Construction Company</t>
        </is>
      </c>
    </row>
    <row r="113">
      <c r="G113" s="52" t="inlineStr">
        <is>
          <t>Shekh Ali</t>
        </is>
      </c>
      <c r="J113" s="52" t="inlineStr">
        <is>
          <t>Zabihullah</t>
        </is>
      </c>
    </row>
    <row r="114">
      <c r="G114" s="52" t="inlineStr">
        <is>
          <t>Ghorband</t>
        </is>
      </c>
      <c r="J114" s="52" t="inlineStr">
        <is>
          <t>Zahid Saeed Engineering and Construction Company (ZSCC)</t>
        </is>
      </c>
    </row>
    <row r="115">
      <c r="G115" s="52" t="inlineStr">
        <is>
          <t>Mahmud Raqi</t>
        </is>
      </c>
      <c r="J115" s="52" t="inlineStr">
        <is>
          <t>Ziaurrahman Mohammadi</t>
        </is>
      </c>
    </row>
    <row r="116">
      <c r="G116" s="52" t="inlineStr">
        <is>
          <t>Hisa-i-Awal Kohistan</t>
        </is>
      </c>
      <c r="J116" s="117" t="n"/>
    </row>
    <row r="117">
      <c r="G117" s="52" t="inlineStr">
        <is>
          <t>Hisa-i-Duwum Kohistan</t>
        </is>
      </c>
      <c r="J117" s="117" t="n"/>
    </row>
    <row r="118">
      <c r="G118" s="52" t="inlineStr">
        <is>
          <t>Koh Band</t>
        </is>
      </c>
      <c r="J118" s="117" t="n"/>
    </row>
    <row r="119">
      <c r="G119" s="52" t="inlineStr">
        <is>
          <t>Nijrab</t>
        </is>
      </c>
      <c r="J119" s="117" t="n"/>
    </row>
    <row r="120">
      <c r="G120" s="52" t="inlineStr">
        <is>
          <t>Tagab</t>
        </is>
      </c>
      <c r="J120" s="117" t="n"/>
    </row>
    <row r="121">
      <c r="G121" s="52" t="inlineStr">
        <is>
          <t>Alasay</t>
        </is>
      </c>
      <c r="J121" s="117" t="n"/>
    </row>
    <row r="122">
      <c r="G122" s="52" t="inlineStr">
        <is>
          <t>Puli Alam</t>
        </is>
      </c>
      <c r="J122" s="117" t="n"/>
    </row>
    <row r="123">
      <c r="G123" s="52" t="inlineStr">
        <is>
          <t>Muhammad Agha</t>
        </is>
      </c>
      <c r="J123" s="117" t="n"/>
    </row>
    <row r="124">
      <c r="G124" s="52" t="inlineStr">
        <is>
          <t>Kharwar</t>
        </is>
      </c>
      <c r="J124" s="117" t="n"/>
    </row>
    <row r="125">
      <c r="G125" s="52" t="inlineStr">
        <is>
          <t>Khoshi</t>
        </is>
      </c>
      <c r="J125" s="117" t="n"/>
    </row>
    <row r="126">
      <c r="G126" s="52" t="inlineStr">
        <is>
          <t>Baraki Barak</t>
        </is>
      </c>
      <c r="J126" s="117" t="n"/>
    </row>
    <row r="127">
      <c r="G127" s="52" t="inlineStr">
        <is>
          <t>Azra</t>
        </is>
      </c>
      <c r="J127" s="117" t="n"/>
    </row>
    <row r="128">
      <c r="G128" s="52" t="inlineStr">
        <is>
          <t>Charkh</t>
        </is>
      </c>
    </row>
    <row r="129">
      <c r="G129" s="52" t="inlineStr">
        <is>
          <t>Maidan Shahr</t>
        </is>
      </c>
    </row>
    <row r="130">
      <c r="G130" s="52" t="inlineStr">
        <is>
          <t>Nirkh</t>
        </is>
      </c>
    </row>
    <row r="131">
      <c r="G131" s="52" t="inlineStr">
        <is>
          <t>Jalrez</t>
        </is>
      </c>
    </row>
    <row r="132">
      <c r="G132" s="52" t="inlineStr">
        <is>
          <t>Hisa-i-Awal Behsud</t>
        </is>
      </c>
    </row>
    <row r="133">
      <c r="G133" s="52" t="inlineStr">
        <is>
          <t>Markazi Behsud</t>
        </is>
      </c>
    </row>
    <row r="134">
      <c r="G134" s="52" t="inlineStr">
        <is>
          <t>Day Mirdad</t>
        </is>
      </c>
    </row>
    <row r="135">
      <c r="G135" s="52" t="inlineStr">
        <is>
          <t>Chaki Wardak</t>
        </is>
      </c>
    </row>
    <row r="136">
      <c r="G136" s="52" t="inlineStr">
        <is>
          <t>Saydabad</t>
        </is>
      </c>
    </row>
    <row r="137">
      <c r="G137" s="52" t="inlineStr">
        <is>
          <t>Jaghatu</t>
        </is>
      </c>
    </row>
    <row r="138">
      <c r="G138" s="52" t="inlineStr">
        <is>
          <t>Bazarak</t>
        </is>
      </c>
    </row>
    <row r="139">
      <c r="G139" s="52" t="inlineStr">
        <is>
          <t>Rokha</t>
        </is>
      </c>
    </row>
    <row r="140">
      <c r="G140" s="52" t="inlineStr">
        <is>
          <t>Shotul</t>
        </is>
      </c>
    </row>
    <row r="141">
      <c r="G141" s="52" t="inlineStr">
        <is>
          <t>Darah</t>
        </is>
      </c>
    </row>
    <row r="142">
      <c r="G142" s="52" t="inlineStr">
        <is>
          <t>Hisa-i-Awal</t>
        </is>
      </c>
    </row>
    <row r="143">
      <c r="G143" s="52" t="inlineStr">
        <is>
          <t>Hisa-i-Duwum</t>
        </is>
      </c>
    </row>
    <row r="144">
      <c r="G144" s="52" t="inlineStr">
        <is>
          <t>Paryan</t>
        </is>
      </c>
    </row>
    <row r="145">
      <c r="G145" s="52" t="inlineStr">
        <is>
          <t>Bamyan</t>
        </is>
      </c>
    </row>
    <row r="146">
      <c r="G146" s="52" t="inlineStr">
        <is>
          <t>Shibar</t>
        </is>
      </c>
    </row>
    <row r="147">
      <c r="G147" s="52" t="inlineStr">
        <is>
          <t>Kahmard</t>
        </is>
      </c>
    </row>
    <row r="148">
      <c r="G148" s="52" t="inlineStr">
        <is>
          <t>Yakawlang</t>
        </is>
      </c>
    </row>
    <row r="149">
      <c r="G149" s="52" t="inlineStr">
        <is>
          <t>Panjab</t>
        </is>
      </c>
    </row>
    <row r="150">
      <c r="G150" s="52" t="inlineStr">
        <is>
          <t>Waras</t>
        </is>
      </c>
    </row>
    <row r="151">
      <c r="G151" s="52" t="inlineStr">
        <is>
          <t>Saighan</t>
        </is>
      </c>
    </row>
    <row r="152">
      <c r="G152" s="52" t="inlineStr">
        <is>
          <t>Nili</t>
        </is>
      </c>
    </row>
    <row r="153">
      <c r="G153" s="52" t="inlineStr">
        <is>
          <t>Ashtarlay</t>
        </is>
      </c>
    </row>
    <row r="154">
      <c r="G154" s="52" t="inlineStr">
        <is>
          <t>Sang Takht wa Bandar</t>
        </is>
      </c>
    </row>
    <row r="155">
      <c r="G155" s="52" t="inlineStr">
        <is>
          <t>Khadir</t>
        </is>
      </c>
    </row>
    <row r="156">
      <c r="G156" s="52" t="inlineStr">
        <is>
          <t>Kiti</t>
        </is>
      </c>
    </row>
    <row r="157">
      <c r="G157" s="52" t="inlineStr">
        <is>
          <t>Miramor</t>
        </is>
      </c>
    </row>
    <row r="158">
      <c r="G158" s="52" t="inlineStr">
        <is>
          <t>Shahristan</t>
        </is>
      </c>
    </row>
    <row r="159">
      <c r="G159" s="52" t="inlineStr">
        <is>
          <t>Gizab</t>
        </is>
      </c>
    </row>
    <row r="160">
      <c r="G160" s="52" t="inlineStr">
        <is>
          <t>Gardez</t>
        </is>
      </c>
    </row>
    <row r="161">
      <c r="G161" s="52" t="inlineStr">
        <is>
          <t>Sayed Karam</t>
        </is>
      </c>
    </row>
    <row r="162">
      <c r="G162" s="52" t="inlineStr">
        <is>
          <t>Ahmadabad</t>
        </is>
      </c>
    </row>
    <row r="163">
      <c r="G163" s="52" t="inlineStr">
        <is>
          <t>Jaji</t>
        </is>
      </c>
    </row>
    <row r="164">
      <c r="G164" s="52" t="inlineStr">
        <is>
          <t>Zurmat</t>
        </is>
      </c>
    </row>
    <row r="165">
      <c r="G165" s="52" t="inlineStr">
        <is>
          <t>Dand wa Patan</t>
        </is>
      </c>
    </row>
    <row r="166">
      <c r="G166" s="52" t="inlineStr">
        <is>
          <t>Gerda Serai</t>
        </is>
      </c>
    </row>
    <row r="167">
      <c r="G167" s="52" t="inlineStr">
        <is>
          <t>Laja Ahmad Khel</t>
        </is>
      </c>
    </row>
    <row r="168">
      <c r="G168" s="52" t="inlineStr">
        <is>
          <t>Mirzaka</t>
        </is>
      </c>
    </row>
    <row r="169">
      <c r="G169" s="52" t="inlineStr">
        <is>
          <t>Shwak</t>
        </is>
      </c>
    </row>
    <row r="170">
      <c r="G170" s="52" t="inlineStr">
        <is>
          <t>Sharana</t>
        </is>
      </c>
    </row>
    <row r="171">
      <c r="G171" s="52" t="inlineStr">
        <is>
          <t>Sarubi</t>
        </is>
      </c>
    </row>
    <row r="172">
      <c r="G172" s="52" t="inlineStr">
        <is>
          <t>Urgun</t>
        </is>
      </c>
    </row>
    <row r="173">
      <c r="G173" s="52" t="inlineStr">
        <is>
          <t>Barmal</t>
        </is>
      </c>
    </row>
    <row r="174">
      <c r="G174" s="52" t="inlineStr">
        <is>
          <t>Gomal</t>
        </is>
      </c>
    </row>
    <row r="175">
      <c r="G175" s="52" t="inlineStr">
        <is>
          <t>Mata Khan</t>
        </is>
      </c>
    </row>
    <row r="176">
      <c r="G176" s="52" t="inlineStr">
        <is>
          <t>Omna</t>
        </is>
      </c>
    </row>
    <row r="177">
      <c r="G177" s="52" t="inlineStr">
        <is>
          <t>Sar Hawza</t>
        </is>
      </c>
    </row>
    <row r="178">
      <c r="G178" s="52" t="inlineStr">
        <is>
          <t>Terwa</t>
        </is>
      </c>
    </row>
    <row r="179">
      <c r="G179" s="52" t="inlineStr">
        <is>
          <t>Waza Khwa</t>
        </is>
      </c>
    </row>
    <row r="180">
      <c r="G180" s="52" t="inlineStr">
        <is>
          <t>Yosuf Khel</t>
        </is>
      </c>
    </row>
    <row r="181">
      <c r="G181" s="52" t="inlineStr">
        <is>
          <t>Ziruk</t>
        </is>
      </c>
    </row>
    <row r="182">
      <c r="G182" s="52" t="inlineStr">
        <is>
          <t>Gayan</t>
        </is>
      </c>
    </row>
    <row r="183">
      <c r="G183" s="52" t="inlineStr">
        <is>
          <t>Dila</t>
        </is>
      </c>
    </row>
    <row r="184">
      <c r="G184" s="52" t="inlineStr">
        <is>
          <t>Nika</t>
        </is>
      </c>
    </row>
    <row r="185">
      <c r="G185" s="52" t="inlineStr">
        <is>
          <t>Khost</t>
        </is>
      </c>
    </row>
    <row r="186">
      <c r="G186" s="52" t="inlineStr">
        <is>
          <t>Zazai Maidan</t>
        </is>
      </c>
    </row>
    <row r="187">
      <c r="G187" s="52" t="inlineStr">
        <is>
          <t>Mandozai</t>
        </is>
      </c>
    </row>
    <row r="188">
      <c r="G188" s="52" t="inlineStr">
        <is>
          <t>Tani</t>
        </is>
      </c>
    </row>
    <row r="189">
      <c r="G189" s="52" t="inlineStr">
        <is>
          <t>Spera</t>
        </is>
      </c>
    </row>
    <row r="190">
      <c r="G190" s="52" t="inlineStr">
        <is>
          <t>Nadir Shah Kot</t>
        </is>
      </c>
    </row>
    <row r="191">
      <c r="G191" s="52" t="inlineStr">
        <is>
          <t>Musa Khel</t>
        </is>
      </c>
    </row>
    <row r="192">
      <c r="G192" s="52" t="inlineStr">
        <is>
          <t>Qalandar</t>
        </is>
      </c>
    </row>
    <row r="193">
      <c r="G193" s="52" t="inlineStr">
        <is>
          <t>Sabari</t>
        </is>
      </c>
    </row>
    <row r="194">
      <c r="G194" s="52" t="inlineStr">
        <is>
          <t>Bak</t>
        </is>
      </c>
    </row>
    <row r="195">
      <c r="G195" s="52" t="inlineStr">
        <is>
          <t>Jaji Maidan</t>
        </is>
      </c>
    </row>
    <row r="196">
      <c r="G196" s="52" t="inlineStr">
        <is>
          <t>Gurbuz</t>
        </is>
      </c>
    </row>
    <row r="197">
      <c r="G197" s="52" t="inlineStr">
        <is>
          <t>Shamul</t>
        </is>
      </c>
    </row>
    <row r="198">
      <c r="G198" s="52" t="inlineStr">
        <is>
          <t>Ghazni</t>
        </is>
      </c>
    </row>
    <row r="199">
      <c r="G199" s="52" t="inlineStr">
        <is>
          <t>Andar</t>
        </is>
      </c>
    </row>
    <row r="200">
      <c r="G200" s="52" t="inlineStr">
        <is>
          <t>Deh Yak</t>
        </is>
      </c>
    </row>
    <row r="201">
      <c r="G201" s="52" t="inlineStr">
        <is>
          <t>Gelan</t>
        </is>
      </c>
    </row>
    <row r="202">
      <c r="G202" s="52" t="inlineStr">
        <is>
          <t>Giro</t>
        </is>
      </c>
    </row>
    <row r="203">
      <c r="G203" s="52" t="inlineStr">
        <is>
          <t>Jaghori</t>
        </is>
      </c>
    </row>
    <row r="204">
      <c r="G204" s="52" t="inlineStr">
        <is>
          <t>Malistan</t>
        </is>
      </c>
    </row>
    <row r="205">
      <c r="G205" s="52" t="inlineStr">
        <is>
          <t>Nawa</t>
        </is>
      </c>
    </row>
    <row r="206">
      <c r="G206" s="52" t="inlineStr">
        <is>
          <t>Nawur</t>
        </is>
      </c>
    </row>
    <row r="207">
      <c r="G207" s="52" t="inlineStr">
        <is>
          <t>Rashidan</t>
        </is>
      </c>
    </row>
    <row r="208">
      <c r="G208" s="52" t="inlineStr">
        <is>
          <t>Waghaz</t>
        </is>
      </c>
    </row>
    <row r="209">
      <c r="G209" s="52" t="inlineStr">
        <is>
          <t>Zana Khan</t>
        </is>
      </c>
    </row>
    <row r="210">
      <c r="G210" s="52" t="inlineStr">
        <is>
          <t>Kandahar</t>
        </is>
      </c>
    </row>
    <row r="211">
      <c r="G211" s="52" t="inlineStr">
        <is>
          <t>Ghorak</t>
        </is>
      </c>
    </row>
    <row r="212">
      <c r="G212" s="52" t="inlineStr">
        <is>
          <t>Nesh</t>
        </is>
      </c>
    </row>
    <row r="213">
      <c r="G213" s="52" t="inlineStr">
        <is>
          <t>Arghandab</t>
        </is>
      </c>
    </row>
    <row r="214">
      <c r="G214" s="52" t="inlineStr">
        <is>
          <t>Daman</t>
        </is>
      </c>
    </row>
    <row r="215">
      <c r="G215" s="52" t="inlineStr">
        <is>
          <t>Panjwayi</t>
        </is>
      </c>
    </row>
    <row r="216">
      <c r="G216" s="52" t="inlineStr">
        <is>
          <t>Spin Boldak</t>
        </is>
      </c>
    </row>
    <row r="217">
      <c r="G217" s="52" t="inlineStr">
        <is>
          <t>Khakrez</t>
        </is>
      </c>
    </row>
    <row r="218">
      <c r="G218" s="52" t="inlineStr">
        <is>
          <t>Shah Wali Kot</t>
        </is>
      </c>
    </row>
    <row r="219">
      <c r="G219" s="52" t="inlineStr">
        <is>
          <t>Maiwand</t>
        </is>
      </c>
    </row>
    <row r="220">
      <c r="G220" s="52" t="inlineStr">
        <is>
          <t>Zhari</t>
        </is>
      </c>
    </row>
    <row r="221">
      <c r="G221" s="52" t="inlineStr">
        <is>
          <t>Arghistan</t>
        </is>
      </c>
    </row>
    <row r="222">
      <c r="G222" s="52" t="inlineStr">
        <is>
          <t>Maruf</t>
        </is>
      </c>
    </row>
    <row r="223">
      <c r="G223" s="52" t="inlineStr">
        <is>
          <t>Reg</t>
        </is>
      </c>
    </row>
    <row r="224">
      <c r="G224" s="52" t="inlineStr">
        <is>
          <t>Shorabak</t>
        </is>
      </c>
    </row>
    <row r="225">
      <c r="G225" s="52" t="inlineStr">
        <is>
          <t>Lashkar Gah</t>
        </is>
      </c>
    </row>
    <row r="226">
      <c r="G226" s="52" t="inlineStr">
        <is>
          <t>Nawzad</t>
        </is>
      </c>
    </row>
    <row r="227">
      <c r="G227" s="52" t="inlineStr">
        <is>
          <t>Washer</t>
        </is>
      </c>
    </row>
    <row r="228">
      <c r="G228" s="52" t="inlineStr">
        <is>
          <t>Nad Ali</t>
        </is>
      </c>
    </row>
    <row r="229">
      <c r="G229" s="52" t="inlineStr">
        <is>
          <t>Nahr-e-Saraj</t>
        </is>
      </c>
    </row>
    <row r="230">
      <c r="G230" s="52" t="inlineStr">
        <is>
          <t>Sangin</t>
        </is>
      </c>
    </row>
    <row r="231">
      <c r="G231" s="52" t="inlineStr">
        <is>
          <t>Musa Qala</t>
        </is>
      </c>
    </row>
    <row r="232">
      <c r="G232" s="52" t="inlineStr">
        <is>
          <t>Kajaki</t>
        </is>
      </c>
    </row>
    <row r="233">
      <c r="G233" s="52" t="inlineStr">
        <is>
          <t>Garmser</t>
        </is>
      </c>
    </row>
    <row r="234">
      <c r="G234" s="52" t="inlineStr">
        <is>
          <t>Dishu</t>
        </is>
      </c>
    </row>
    <row r="235">
      <c r="G235" s="52" t="inlineStr">
        <is>
          <t>Khanashin</t>
        </is>
      </c>
    </row>
    <row r="236">
      <c r="G236" s="52" t="inlineStr">
        <is>
          <t>Baghran</t>
        </is>
      </c>
    </row>
    <row r="237">
      <c r="G237" s="52" t="inlineStr">
        <is>
          <t>Nawa-i-Barakzayi</t>
        </is>
      </c>
    </row>
    <row r="238">
      <c r="G238" s="52" t="inlineStr">
        <is>
          <t>Qalat</t>
        </is>
      </c>
    </row>
    <row r="239">
      <c r="G239" s="52" t="inlineStr">
        <is>
          <t>Mizana</t>
        </is>
      </c>
    </row>
    <row r="240">
      <c r="G240" s="52" t="inlineStr">
        <is>
          <t>Shahjoy</t>
        </is>
      </c>
    </row>
    <row r="241">
      <c r="G241" s="52" t="inlineStr">
        <is>
          <t>Shamulzayi</t>
        </is>
      </c>
    </row>
    <row r="242">
      <c r="G242" s="52" t="inlineStr">
        <is>
          <t>Atghar</t>
        </is>
      </c>
    </row>
    <row r="243">
      <c r="G243" s="52" t="inlineStr">
        <is>
          <t>Daychopan</t>
        </is>
      </c>
    </row>
    <row r="244">
      <c r="G244" s="52" t="inlineStr">
        <is>
          <t>Kakar</t>
        </is>
      </c>
    </row>
    <row r="245">
      <c r="G245" s="52" t="inlineStr">
        <is>
          <t>Naw Bahar</t>
        </is>
      </c>
    </row>
    <row r="246">
      <c r="G246" s="52" t="inlineStr">
        <is>
          <t>Shinkay</t>
        </is>
      </c>
    </row>
    <row r="247">
      <c r="G247" s="52" t="inlineStr">
        <is>
          <t>Tarnak wa Jaldak</t>
        </is>
      </c>
    </row>
    <row r="248">
      <c r="G248" s="52" t="inlineStr">
        <is>
          <t>Tarin Kot</t>
        </is>
      </c>
    </row>
    <row r="249">
      <c r="G249" s="52" t="inlineStr">
        <is>
          <t>Deh Rawud</t>
        </is>
      </c>
    </row>
    <row r="250">
      <c r="G250" s="52" t="inlineStr">
        <is>
          <t>Chora</t>
        </is>
      </c>
    </row>
    <row r="251">
      <c r="G251" s="52" t="inlineStr">
        <is>
          <t>Shahidi Hassas</t>
        </is>
      </c>
    </row>
    <row r="252">
      <c r="G252" s="52" t="inlineStr">
        <is>
          <t>Khas Uruzgan</t>
        </is>
      </c>
    </row>
    <row r="253">
      <c r="G253" s="52" t="inlineStr">
        <is>
          <t>Zaranj</t>
        </is>
      </c>
    </row>
    <row r="254">
      <c r="G254" s="52" t="inlineStr">
        <is>
          <t>Kang</t>
        </is>
      </c>
    </row>
    <row r="255">
      <c r="G255" s="52" t="inlineStr">
        <is>
          <t>Chakhansur</t>
        </is>
      </c>
    </row>
    <row r="256">
      <c r="G256" s="52" t="inlineStr">
        <is>
          <t>Chahar Burjak</t>
        </is>
      </c>
    </row>
    <row r="257">
      <c r="G257" s="52" t="inlineStr">
        <is>
          <t>Khash Rod</t>
        </is>
      </c>
    </row>
    <row r="258">
      <c r="G258" s="52" t="inlineStr">
        <is>
          <t>Mazar-e-Sharif</t>
        </is>
      </c>
    </row>
    <row r="259">
      <c r="G259" s="52" t="inlineStr">
        <is>
          <t>Alburz</t>
        </is>
      </c>
    </row>
    <row r="260">
      <c r="G260" s="52" t="inlineStr">
        <is>
          <t>Dehdadi</t>
        </is>
      </c>
    </row>
    <row r="261">
      <c r="G261" s="52" t="inlineStr">
        <is>
          <t>Nahr-e-Shahi</t>
        </is>
      </c>
    </row>
    <row r="262">
      <c r="G262" s="52" t="inlineStr">
        <is>
          <t>Chimtal</t>
        </is>
      </c>
    </row>
    <row r="263">
      <c r="G263" s="52" t="inlineStr">
        <is>
          <t>Dawlatabad</t>
        </is>
      </c>
    </row>
    <row r="264">
      <c r="G264" s="52" t="inlineStr">
        <is>
          <t>Sholgara</t>
        </is>
      </c>
    </row>
    <row r="265">
      <c r="G265" s="52" t="inlineStr">
        <is>
          <t>Kishindih</t>
        </is>
      </c>
    </row>
    <row r="266">
      <c r="G266" s="52" t="inlineStr">
        <is>
          <t>Zari</t>
        </is>
      </c>
    </row>
    <row r="267">
      <c r="G267" s="52" t="inlineStr">
        <is>
          <t>Shortepa</t>
        </is>
      </c>
    </row>
    <row r="268">
      <c r="G268" s="52" t="inlineStr">
        <is>
          <t>Kaldar</t>
        </is>
      </c>
    </row>
    <row r="269">
      <c r="G269" s="52" t="inlineStr">
        <is>
          <t>Khulm</t>
        </is>
      </c>
    </row>
    <row r="270">
      <c r="G270" s="52" t="inlineStr">
        <is>
          <t>Marmul</t>
        </is>
      </c>
    </row>
    <row r="271">
      <c r="G271" s="52" t="inlineStr">
        <is>
          <t>Aybak</t>
        </is>
      </c>
    </row>
    <row r="272">
      <c r="G272" s="52" t="inlineStr">
        <is>
          <t>Hazrati Sultan</t>
        </is>
      </c>
    </row>
    <row r="273">
      <c r="G273" s="52" t="inlineStr">
        <is>
          <t>Khuram wa Sarbagh</t>
        </is>
      </c>
    </row>
    <row r="274">
      <c r="G274" s="52" t="inlineStr">
        <is>
          <t>Ruyi Du Ab</t>
        </is>
      </c>
    </row>
    <row r="275">
      <c r="G275" s="52" t="inlineStr">
        <is>
          <t>Dara-i-Sufi Payin</t>
        </is>
      </c>
    </row>
    <row r="276">
      <c r="G276" s="52" t="inlineStr">
        <is>
          <t>Dara-i-Sufi Bala</t>
        </is>
      </c>
    </row>
    <row r="277">
      <c r="G277" s="52" t="inlineStr">
        <is>
          <t>Feroz Nakhchir</t>
        </is>
      </c>
    </row>
    <row r="278">
      <c r="G278" s="52" t="inlineStr">
        <is>
          <t>Sheberghan</t>
        </is>
      </c>
    </row>
    <row r="279">
      <c r="G279" s="52" t="inlineStr">
        <is>
          <t>Aqcha</t>
        </is>
      </c>
    </row>
    <row r="280">
      <c r="G280" s="52" t="inlineStr">
        <is>
          <t>Faizabad</t>
        </is>
      </c>
    </row>
    <row r="281">
      <c r="G281" s="52" t="inlineStr">
        <is>
          <t>Khamyab</t>
        </is>
      </c>
    </row>
    <row r="282">
      <c r="G282" s="52" t="inlineStr">
        <is>
          <t>Khwaja Du Koh</t>
        </is>
      </c>
    </row>
    <row r="283">
      <c r="G283" s="52" t="inlineStr">
        <is>
          <t>Mardyan</t>
        </is>
      </c>
    </row>
    <row r="284">
      <c r="G284" s="52" t="inlineStr">
        <is>
          <t>Mingajik</t>
        </is>
      </c>
    </row>
    <row r="285">
      <c r="G285" s="52" t="inlineStr">
        <is>
          <t>Qarqin</t>
        </is>
      </c>
    </row>
    <row r="286">
      <c r="G286" s="52" t="inlineStr">
        <is>
          <t>Qush Tepa</t>
        </is>
      </c>
    </row>
    <row r="287">
      <c r="G287" s="52" t="inlineStr">
        <is>
          <t>Darzab</t>
        </is>
      </c>
    </row>
    <row r="288">
      <c r="G288" s="52" t="inlineStr">
        <is>
          <t>Shibirghan</t>
        </is>
      </c>
    </row>
    <row r="289">
      <c r="G289" s="52" t="inlineStr">
        <is>
          <t>Sar-e-Pul</t>
        </is>
      </c>
    </row>
    <row r="290">
      <c r="G290" s="52" t="inlineStr">
        <is>
          <t>Balkhab</t>
        </is>
      </c>
    </row>
    <row r="291">
      <c r="G291" s="52" t="inlineStr">
        <is>
          <t>Gosfandi</t>
        </is>
      </c>
    </row>
    <row r="292">
      <c r="G292" s="52" t="inlineStr">
        <is>
          <t>Kohistanat</t>
        </is>
      </c>
    </row>
    <row r="293">
      <c r="G293" s="52" t="inlineStr">
        <is>
          <t>Sangcharak</t>
        </is>
      </c>
    </row>
    <row r="294">
      <c r="G294" s="52" t="inlineStr">
        <is>
          <t>Sayyad</t>
        </is>
      </c>
    </row>
    <row r="295">
      <c r="G295" s="52" t="inlineStr">
        <is>
          <t>Sozma Qala</t>
        </is>
      </c>
    </row>
    <row r="296">
      <c r="G296" s="52" t="inlineStr">
        <is>
          <t>Maymana</t>
        </is>
      </c>
    </row>
    <row r="297">
      <c r="G297" s="52" t="inlineStr">
        <is>
          <t>Andkhoy</t>
        </is>
      </c>
    </row>
    <row r="298">
      <c r="G298" s="52" t="inlineStr">
        <is>
          <t>Almar</t>
        </is>
      </c>
    </row>
    <row r="299">
      <c r="G299" s="52" t="inlineStr">
        <is>
          <t>Bilchiragh</t>
        </is>
      </c>
    </row>
    <row r="300">
      <c r="G300" s="52" t="inlineStr">
        <is>
          <t>Gurziwan</t>
        </is>
      </c>
    </row>
    <row r="301">
      <c r="G301" s="52" t="inlineStr">
        <is>
          <t>Khwaja Sabz Posh</t>
        </is>
      </c>
    </row>
    <row r="302">
      <c r="G302" s="52" t="inlineStr">
        <is>
          <t>Kohistan</t>
        </is>
      </c>
    </row>
    <row r="303">
      <c r="G303" s="52" t="inlineStr">
        <is>
          <t>Pashtun Kot</t>
        </is>
      </c>
    </row>
    <row r="304">
      <c r="G304" s="52" t="inlineStr">
        <is>
          <t>Qaramqol</t>
        </is>
      </c>
    </row>
    <row r="305">
      <c r="G305" s="52" t="inlineStr">
        <is>
          <t>Qaysar</t>
        </is>
      </c>
    </row>
    <row r="306">
      <c r="G306" s="52" t="inlineStr">
        <is>
          <t>Shirin Tagab</t>
        </is>
      </c>
    </row>
    <row r="307">
      <c r="G307" s="52" t="inlineStr">
        <is>
          <t>Kunduz</t>
        </is>
      </c>
    </row>
    <row r="308">
      <c r="G308" s="52" t="inlineStr">
        <is>
          <t>Ali Abad</t>
        </is>
      </c>
    </row>
    <row r="309">
      <c r="G309" s="52" t="inlineStr">
        <is>
          <t>Kalbad</t>
        </is>
      </c>
    </row>
    <row r="310">
      <c r="G310" s="52" t="inlineStr">
        <is>
          <t>Qala-e-Zal</t>
        </is>
      </c>
    </row>
    <row r="311">
      <c r="G311" s="52" t="inlineStr">
        <is>
          <t>Imam Sahib</t>
        </is>
      </c>
    </row>
    <row r="312">
      <c r="G312" s="52" t="inlineStr">
        <is>
          <t>Khanabad</t>
        </is>
      </c>
    </row>
    <row r="313">
      <c r="G313" s="52" t="inlineStr">
        <is>
          <t>Chahar Dara</t>
        </is>
      </c>
    </row>
    <row r="314">
      <c r="G314" s="52" t="inlineStr">
        <is>
          <t>Dasht-e-Archi</t>
        </is>
      </c>
    </row>
    <row r="315">
      <c r="G315" s="52" t="inlineStr">
        <is>
          <t>Puli Khumri</t>
        </is>
      </c>
    </row>
    <row r="316">
      <c r="G316" s="52" t="inlineStr">
        <is>
          <t>Baghlan</t>
        </is>
      </c>
    </row>
    <row r="317">
      <c r="G317" s="52" t="inlineStr">
        <is>
          <t>Dahana-i-Ghori</t>
        </is>
      </c>
    </row>
    <row r="318">
      <c r="G318" s="52" t="inlineStr">
        <is>
          <t>Dushi</t>
        </is>
      </c>
    </row>
    <row r="319">
      <c r="G319" s="52" t="inlineStr">
        <is>
          <t>Khinjan</t>
        </is>
      </c>
    </row>
    <row r="320">
      <c r="G320" s="52" t="inlineStr">
        <is>
          <t>Khost wa Firing</t>
        </is>
      </c>
    </row>
    <row r="321">
      <c r="G321" s="52" t="inlineStr">
        <is>
          <t>Nahrin</t>
        </is>
      </c>
    </row>
    <row r="322">
      <c r="G322" s="52" t="inlineStr">
        <is>
          <t>Andarab</t>
        </is>
      </c>
    </row>
    <row r="323">
      <c r="G323" s="52" t="inlineStr">
        <is>
          <t>Tala wa Barfak</t>
        </is>
      </c>
    </row>
    <row r="324">
      <c r="G324" s="52" t="inlineStr">
        <is>
          <t>Burka</t>
        </is>
      </c>
    </row>
    <row r="325">
      <c r="G325" s="52" t="inlineStr">
        <is>
          <t>Taloqan</t>
        </is>
      </c>
    </row>
    <row r="326">
      <c r="G326" s="52" t="inlineStr">
        <is>
          <t>Baharak</t>
        </is>
      </c>
    </row>
    <row r="327">
      <c r="G327" s="52" t="inlineStr">
        <is>
          <t>Bangi</t>
        </is>
      </c>
    </row>
    <row r="328">
      <c r="G328" s="52" t="inlineStr">
        <is>
          <t>Chah Ab</t>
        </is>
      </c>
    </row>
    <row r="329">
      <c r="G329" s="52" t="inlineStr">
        <is>
          <t>Chal</t>
        </is>
      </c>
    </row>
    <row r="330">
      <c r="G330" s="52" t="inlineStr">
        <is>
          <t>Darqad</t>
        </is>
      </c>
    </row>
    <row r="331">
      <c r="G331" s="52" t="inlineStr">
        <is>
          <t>Dashti Qala</t>
        </is>
      </c>
    </row>
    <row r="332">
      <c r="G332" s="52" t="inlineStr">
        <is>
          <t>Farkhar</t>
        </is>
      </c>
    </row>
    <row r="333">
      <c r="G333" s="52" t="inlineStr">
        <is>
          <t>Ishkamish</t>
        </is>
      </c>
    </row>
    <row r="334">
      <c r="G334" s="52" t="inlineStr">
        <is>
          <t>Kalafgan</t>
        </is>
      </c>
    </row>
    <row r="335">
      <c r="G335" s="52" t="inlineStr">
        <is>
          <t>Khwaja Ghar</t>
        </is>
      </c>
    </row>
    <row r="336">
      <c r="G336" s="52" t="inlineStr">
        <is>
          <t>Rustaq</t>
        </is>
      </c>
    </row>
    <row r="337">
      <c r="G337" s="52" t="inlineStr">
        <is>
          <t>Warsaj</t>
        </is>
      </c>
    </row>
    <row r="338">
      <c r="G338" s="52" t="inlineStr">
        <is>
          <t>Yangi Qala</t>
        </is>
      </c>
    </row>
    <row r="339">
      <c r="G339" s="52" t="inlineStr">
        <is>
          <t>Fayzabad</t>
        </is>
      </c>
    </row>
    <row r="340">
      <c r="G340" s="52" t="inlineStr">
        <is>
          <t>Jurm</t>
        </is>
      </c>
    </row>
    <row r="341">
      <c r="G341" s="52" t="inlineStr">
        <is>
          <t>Kishim</t>
        </is>
      </c>
    </row>
    <row r="342">
      <c r="G342" s="52" t="inlineStr">
        <is>
          <t>Yaftal</t>
        </is>
      </c>
    </row>
    <row r="343">
      <c r="G343" s="52" t="inlineStr">
        <is>
          <t>Arghanj Khwa</t>
        </is>
      </c>
    </row>
    <row r="344">
      <c r="G344" s="52" t="inlineStr">
        <is>
          <t>Darwaz</t>
        </is>
      </c>
    </row>
    <row r="345">
      <c r="G345" s="52" t="inlineStr">
        <is>
          <t>Ishkashim</t>
        </is>
      </c>
    </row>
    <row r="346">
      <c r="G346" s="52" t="inlineStr">
        <is>
          <t>Kuf Ab</t>
        </is>
      </c>
    </row>
    <row r="347">
      <c r="G347" s="52" t="inlineStr">
        <is>
          <t>Raghistan</t>
        </is>
      </c>
    </row>
    <row r="348">
      <c r="G348" s="52" t="inlineStr">
        <is>
          <t>Shighnan</t>
        </is>
      </c>
    </row>
    <row r="349">
      <c r="G349" s="52" t="inlineStr">
        <is>
          <t>Wakhan</t>
        </is>
      </c>
    </row>
    <row r="350">
      <c r="G350" s="52" t="inlineStr">
        <is>
          <t>Zebak</t>
        </is>
      </c>
    </row>
    <row r="351">
      <c r="G351" s="117" t="n"/>
    </row>
    <row r="352">
      <c r="G352" s="117" t="n"/>
    </row>
    <row r="353">
      <c r="G353" s="117" t="n"/>
    </row>
    <row r="354">
      <c r="G354" s="117" t="n"/>
    </row>
    <row r="355">
      <c r="G355" s="117" t="n"/>
    </row>
    <row r="356">
      <c r="G356" s="117" t="n"/>
    </row>
    <row r="357">
      <c r="G357" s="117" t="n"/>
    </row>
    <row r="358">
      <c r="G358" s="117" t="n"/>
    </row>
    <row r="359">
      <c r="G359" s="117" t="n"/>
    </row>
    <row r="360">
      <c r="G360" s="117" t="n"/>
    </row>
    <row r="361">
      <c r="G361" s="117" t="n"/>
    </row>
    <row r="362">
      <c r="G362" s="117" t="n"/>
    </row>
  </sheetData>
  <autoFilter ref="A2:J2"/>
  <mergeCells count="1">
    <mergeCell ref="A1:H1"/>
  </mergeCells>
  <pageMargins left="0.75" right="0.75" top="1" bottom="1" header="0.5" footer="0.5"/>
</worksheet>
</file>

<file path=xl/worksheets/sheet11.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1" t="inlineStr">
        <is>
          <t>Geography lists — add a province under its region code, or a district under its province column. Do not leave blank cells in the middle of a list.</t>
        </is>
      </c>
      <c r="B1" s="22" t="n"/>
      <c r="C1" s="22" t="n"/>
      <c r="D1" s="22" t="n"/>
      <c r="E1" s="22" t="n"/>
      <c r="F1" s="22" t="n"/>
      <c r="G1" s="22" t="n"/>
      <c r="H1" s="22" t="n"/>
      <c r="I1" s="22" t="n"/>
      <c r="J1" s="22" t="n"/>
      <c r="K1" s="22" t="n"/>
      <c r="L1" s="22" t="n"/>
      <c r="M1" s="22" t="n"/>
      <c r="N1" s="22" t="n"/>
      <c r="O1" s="22" t="n"/>
      <c r="P1" s="22" t="n"/>
    </row>
    <row r="3">
      <c r="A3" s="118" t="inlineStr">
        <is>
          <t>PROVINCES BY REGION (column header is the region code used in named ranges)</t>
        </is>
      </c>
    </row>
    <row r="4">
      <c r="A4" s="24" t="inlineStr">
        <is>
          <t>West_Herat</t>
        </is>
      </c>
      <c r="B4" s="24" t="inlineStr">
        <is>
          <t>East_Jalalabad</t>
        </is>
      </c>
      <c r="C4" s="24" t="inlineStr">
        <is>
          <t>Central_Kabul</t>
        </is>
      </c>
      <c r="D4" s="24" t="inlineStr">
        <is>
          <t>Central_Highland_Bamyan</t>
        </is>
      </c>
      <c r="E4" s="24" t="inlineStr">
        <is>
          <t>Southeast_Gardez</t>
        </is>
      </c>
      <c r="F4" s="24" t="inlineStr">
        <is>
          <t>South_Kandahar</t>
        </is>
      </c>
      <c r="G4" s="24" t="inlineStr">
        <is>
          <t>North_Mazar</t>
        </is>
      </c>
      <c r="H4" s="24"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117" t="n"/>
      <c r="E7" s="5" t="inlineStr">
        <is>
          <t>Khost</t>
        </is>
      </c>
      <c r="F7" s="5" t="inlineStr">
        <is>
          <t>Zabul</t>
        </is>
      </c>
      <c r="G7" s="5" t="inlineStr">
        <is>
          <t>Jawzjan</t>
        </is>
      </c>
      <c r="H7" s="5" t="inlineStr">
        <is>
          <t>Takhar</t>
        </is>
      </c>
    </row>
    <row r="8">
      <c r="A8" s="5" t="inlineStr">
        <is>
          <t>Ghor</t>
        </is>
      </c>
      <c r="B8" s="5" t="inlineStr">
        <is>
          <t>Nuristan</t>
        </is>
      </c>
      <c r="C8" s="5" t="inlineStr">
        <is>
          <t>Logar</t>
        </is>
      </c>
      <c r="D8" s="117" t="n"/>
      <c r="E8" s="5" t="inlineStr">
        <is>
          <t>Ghazni</t>
        </is>
      </c>
      <c r="F8" s="5" t="inlineStr">
        <is>
          <t>Uruzgan</t>
        </is>
      </c>
      <c r="G8" s="5" t="inlineStr">
        <is>
          <t>Sar-e-Pul</t>
        </is>
      </c>
      <c r="H8" s="5" t="inlineStr">
        <is>
          <t>Badakhshan</t>
        </is>
      </c>
    </row>
    <row r="9">
      <c r="A9" s="117" t="n"/>
      <c r="B9" s="117" t="n"/>
      <c r="C9" s="5" t="inlineStr">
        <is>
          <t>Maidan Wardak</t>
        </is>
      </c>
      <c r="D9" s="117" t="n"/>
      <c r="E9" s="117" t="n"/>
      <c r="F9" s="5" t="inlineStr">
        <is>
          <t>Nimroz</t>
        </is>
      </c>
      <c r="G9" s="5" t="inlineStr">
        <is>
          <t>Faryab</t>
        </is>
      </c>
      <c r="H9" s="117" t="n"/>
    </row>
    <row r="10">
      <c r="A10" s="117" t="n"/>
      <c r="B10" s="117" t="n"/>
      <c r="C10" s="5" t="inlineStr">
        <is>
          <t>Panjshir</t>
        </is>
      </c>
      <c r="D10" s="117" t="n"/>
      <c r="E10" s="117" t="n"/>
      <c r="F10" s="117" t="n"/>
      <c r="G10" s="117" t="n"/>
      <c r="H10" s="117" t="n"/>
    </row>
    <row r="11">
      <c r="A11" s="117" t="n"/>
      <c r="B11" s="117" t="n"/>
      <c r="C11" s="117" t="n"/>
      <c r="D11" s="117" t="n"/>
      <c r="E11" s="117" t="n"/>
      <c r="F11" s="117" t="n"/>
      <c r="G11" s="117" t="n"/>
      <c r="H11" s="117" t="n"/>
    </row>
    <row r="12">
      <c r="A12" s="117" t="n"/>
      <c r="B12" s="117" t="n"/>
      <c r="C12" s="117" t="n"/>
      <c r="D12" s="117" t="n"/>
      <c r="E12" s="117" t="n"/>
      <c r="F12" s="117" t="n"/>
      <c r="G12" s="117" t="n"/>
      <c r="H12" s="117" t="n"/>
    </row>
    <row r="13">
      <c r="A13" s="117" t="n"/>
      <c r="B13" s="117" t="n"/>
      <c r="C13" s="117" t="n"/>
      <c r="D13" s="117" t="n"/>
      <c r="E13" s="117" t="n"/>
      <c r="F13" s="117" t="n"/>
      <c r="G13" s="117" t="n"/>
      <c r="H13" s="117" t="n"/>
    </row>
    <row r="14">
      <c r="A14" s="117" t="n"/>
      <c r="B14" s="117" t="n"/>
      <c r="C14" s="117" t="n"/>
      <c r="D14" s="117" t="n"/>
      <c r="E14" s="117" t="n"/>
      <c r="F14" s="117" t="n"/>
      <c r="G14" s="117" t="n"/>
      <c r="H14" s="117" t="n"/>
    </row>
    <row r="15">
      <c r="A15" s="117" t="n"/>
      <c r="B15" s="117" t="n"/>
      <c r="C15" s="117" t="n"/>
      <c r="E15" s="117" t="n"/>
      <c r="F15" s="117" t="n"/>
      <c r="G15" s="117" t="n"/>
      <c r="H15" s="117" t="n"/>
    </row>
    <row r="16">
      <c r="A16" s="117" t="n"/>
      <c r="B16" s="117" t="n"/>
      <c r="C16" s="117" t="n"/>
      <c r="E16" s="117" t="n"/>
      <c r="F16" s="117" t="n"/>
      <c r="G16" s="117" t="n"/>
      <c r="H16" s="117" t="n"/>
    </row>
    <row r="17">
      <c r="C17" s="117" t="n"/>
      <c r="F17" s="117" t="n"/>
      <c r="G17" s="117" t="n"/>
    </row>
    <row r="18">
      <c r="C18" s="117" t="n"/>
    </row>
    <row r="21">
      <c r="A21" s="119" t="inlineStr">
        <is>
          <t>DISTRICTS BY PROVINCE (column header is the province; add districts below)</t>
        </is>
      </c>
    </row>
    <row r="22">
      <c r="A22" s="26" t="inlineStr">
        <is>
          <t>Herat</t>
        </is>
      </c>
      <c r="B22" s="26" t="inlineStr">
        <is>
          <t>Badghis</t>
        </is>
      </c>
      <c r="C22" s="26" t="inlineStr">
        <is>
          <t>Farah</t>
        </is>
      </c>
      <c r="D22" s="26" t="inlineStr">
        <is>
          <t>Ghor</t>
        </is>
      </c>
      <c r="E22" s="26" t="inlineStr">
        <is>
          <t>Nangarhar</t>
        </is>
      </c>
      <c r="F22" s="26" t="inlineStr">
        <is>
          <t>Kunar</t>
        </is>
      </c>
      <c r="G22" s="26" t="inlineStr">
        <is>
          <t>Laghman</t>
        </is>
      </c>
      <c r="H22" s="26" t="inlineStr">
        <is>
          <t>Nuristan</t>
        </is>
      </c>
      <c r="I22" s="26" t="inlineStr">
        <is>
          <t>Kabul</t>
        </is>
      </c>
      <c r="J22" s="26" t="inlineStr">
        <is>
          <t>Parwan</t>
        </is>
      </c>
      <c r="K22" s="26" t="inlineStr">
        <is>
          <t>Kapisa</t>
        </is>
      </c>
      <c r="L22" s="26" t="inlineStr">
        <is>
          <t>Logar</t>
        </is>
      </c>
      <c r="M22" s="26" t="inlineStr">
        <is>
          <t>Maidan Wardak</t>
        </is>
      </c>
      <c r="N22" s="26" t="inlineStr">
        <is>
          <t>Panjshir</t>
        </is>
      </c>
      <c r="O22" s="26" t="inlineStr">
        <is>
          <t>Bamyan</t>
        </is>
      </c>
      <c r="P22" s="26" t="inlineStr">
        <is>
          <t>Daykundi</t>
        </is>
      </c>
      <c r="Q22" s="26" t="inlineStr">
        <is>
          <t>Paktya</t>
        </is>
      </c>
      <c r="R22" s="26" t="inlineStr">
        <is>
          <t>Paktika</t>
        </is>
      </c>
      <c r="S22" s="26" t="inlineStr">
        <is>
          <t>Khost</t>
        </is>
      </c>
      <c r="T22" s="26" t="inlineStr">
        <is>
          <t>Ghazni</t>
        </is>
      </c>
      <c r="U22" s="26" t="inlineStr">
        <is>
          <t>Kandahar</t>
        </is>
      </c>
      <c r="V22" s="26" t="inlineStr">
        <is>
          <t>Helmand</t>
        </is>
      </c>
      <c r="W22" s="26" t="inlineStr">
        <is>
          <t>Zabul</t>
        </is>
      </c>
      <c r="X22" s="26" t="inlineStr">
        <is>
          <t>Uruzgan</t>
        </is>
      </c>
      <c r="Y22" s="26" t="inlineStr">
        <is>
          <t>Nimroz</t>
        </is>
      </c>
      <c r="Z22" s="26" t="inlineStr">
        <is>
          <t>Balkh</t>
        </is>
      </c>
      <c r="AA22" s="26" t="inlineStr">
        <is>
          <t>Samangan</t>
        </is>
      </c>
      <c r="AB22" s="26" t="inlineStr">
        <is>
          <t>Jawzjan</t>
        </is>
      </c>
      <c r="AC22" s="26" t="inlineStr">
        <is>
          <t>Sar-e-Pul</t>
        </is>
      </c>
      <c r="AD22" s="26" t="inlineStr">
        <is>
          <t>Faryab</t>
        </is>
      </c>
      <c r="AE22" s="26" t="inlineStr">
        <is>
          <t>Kunduz</t>
        </is>
      </c>
      <c r="AF22" s="26" t="inlineStr">
        <is>
          <t>Baghlan</t>
        </is>
      </c>
      <c r="AG22" s="26" t="inlineStr">
        <is>
          <t>Takhar</t>
        </is>
      </c>
      <c r="AH22" s="26"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117"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117"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117"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117" t="n"/>
      <c r="Y29" s="117"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117" t="n"/>
      <c r="C30" s="5" t="inlineStr">
        <is>
          <t>Pur Chaman</t>
        </is>
      </c>
      <c r="D30" s="5" t="inlineStr">
        <is>
          <t>Saghar</t>
        </is>
      </c>
      <c r="E30" s="5" t="inlineStr">
        <is>
          <t>Shinwar</t>
        </is>
      </c>
      <c r="F30" s="5" t="inlineStr">
        <is>
          <t>Ghaziabad</t>
        </is>
      </c>
      <c r="G30" s="117" t="n"/>
      <c r="H30" s="5" t="inlineStr">
        <is>
          <t>Waygal</t>
        </is>
      </c>
      <c r="I30" s="5" t="inlineStr">
        <is>
          <t>Kalakan</t>
        </is>
      </c>
      <c r="J30" s="5" t="inlineStr">
        <is>
          <t>Surkhi Parsa</t>
        </is>
      </c>
      <c r="K30" s="117" t="n"/>
      <c r="L30" s="117" t="n"/>
      <c r="M30" s="5" t="inlineStr">
        <is>
          <t>Saydabad</t>
        </is>
      </c>
      <c r="N30" s="117" t="n"/>
      <c r="O30" s="117"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117" t="n"/>
      <c r="Y30" s="117" t="n"/>
      <c r="Z30" s="5" t="inlineStr">
        <is>
          <t>Kishindih</t>
        </is>
      </c>
      <c r="AA30" s="117" t="n"/>
      <c r="AB30" s="5" t="inlineStr">
        <is>
          <t>Qarqin</t>
        </is>
      </c>
      <c r="AC30" s="117" t="n"/>
      <c r="AD30" s="5" t="inlineStr">
        <is>
          <t>Kohistan</t>
        </is>
      </c>
      <c r="AE30" s="5" t="inlineStr">
        <is>
          <t>Dasht-e-Archi</t>
        </is>
      </c>
      <c r="AF30" s="5" t="inlineStr">
        <is>
          <t>Andarab</t>
        </is>
      </c>
      <c r="AG30" s="5" t="inlineStr">
        <is>
          <t>Farkhar</t>
        </is>
      </c>
      <c r="AH30" s="5" t="inlineStr">
        <is>
          <t>Ishkashim</t>
        </is>
      </c>
    </row>
    <row r="31">
      <c r="A31" s="5" t="inlineStr">
        <is>
          <t>Ghoryan</t>
        </is>
      </c>
      <c r="B31" s="117" t="n"/>
      <c r="C31" s="5" t="inlineStr">
        <is>
          <t>Bakwa</t>
        </is>
      </c>
      <c r="D31" s="5" t="inlineStr">
        <is>
          <t>Taywara</t>
        </is>
      </c>
      <c r="E31" s="5" t="inlineStr">
        <is>
          <t>Achin</t>
        </is>
      </c>
      <c r="F31" s="5" t="inlineStr">
        <is>
          <t>Marawara</t>
        </is>
      </c>
      <c r="G31" s="117" t="n"/>
      <c r="H31" s="117" t="n"/>
      <c r="I31" s="5" t="inlineStr">
        <is>
          <t>Qarabagh</t>
        </is>
      </c>
      <c r="J31" s="5" t="inlineStr">
        <is>
          <t>Shekh Ali</t>
        </is>
      </c>
      <c r="K31" s="117" t="n"/>
      <c r="L31" s="117" t="n"/>
      <c r="M31" s="5" t="inlineStr">
        <is>
          <t>Jaghatu</t>
        </is>
      </c>
      <c r="N31" s="117" t="n"/>
      <c r="O31" s="117" t="n"/>
      <c r="P31" s="117"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117" t="n"/>
      <c r="Y31" s="117" t="n"/>
      <c r="Z31" s="5" t="inlineStr">
        <is>
          <t>Zari</t>
        </is>
      </c>
      <c r="AA31" s="117" t="n"/>
      <c r="AB31" s="5" t="inlineStr">
        <is>
          <t>Qush Tepa</t>
        </is>
      </c>
      <c r="AC31" s="117" t="n"/>
      <c r="AD31" s="5" t="inlineStr">
        <is>
          <t>Pashtun Kot</t>
        </is>
      </c>
      <c r="AE31" s="117" t="n"/>
      <c r="AF31" s="5" t="inlineStr">
        <is>
          <t>Tala wa Barfak</t>
        </is>
      </c>
      <c r="AG31" s="5" t="inlineStr">
        <is>
          <t>Ishkamish</t>
        </is>
      </c>
      <c r="AH31" s="5" t="inlineStr">
        <is>
          <t>Kuf Ab</t>
        </is>
      </c>
    </row>
    <row r="32">
      <c r="A32" s="5" t="inlineStr">
        <is>
          <t>Obe</t>
        </is>
      </c>
      <c r="B32" s="117" t="n"/>
      <c r="C32" s="5" t="inlineStr">
        <is>
          <t>Lash wa Juwayn</t>
        </is>
      </c>
      <c r="D32" s="5" t="inlineStr">
        <is>
          <t>Du Layna</t>
        </is>
      </c>
      <c r="E32" s="5" t="inlineStr">
        <is>
          <t>Nazyan</t>
        </is>
      </c>
      <c r="F32" s="5" t="inlineStr">
        <is>
          <t>Shigal</t>
        </is>
      </c>
      <c r="G32" s="117" t="n"/>
      <c r="H32" s="117" t="n"/>
      <c r="I32" s="5" t="inlineStr">
        <is>
          <t>Istalif</t>
        </is>
      </c>
      <c r="J32" s="5" t="inlineStr">
        <is>
          <t>Ghorband</t>
        </is>
      </c>
      <c r="K32" s="117" t="n"/>
      <c r="L32" s="117" t="n"/>
      <c r="M32" s="117" t="n"/>
      <c r="N32" s="117" t="n"/>
      <c r="O32" s="117" t="n"/>
      <c r="P32" s="117" t="n"/>
      <c r="Q32" s="5" t="inlineStr">
        <is>
          <t>Shwak</t>
        </is>
      </c>
      <c r="R32" s="5" t="inlineStr">
        <is>
          <t>Waza Khwa</t>
        </is>
      </c>
      <c r="S32" s="5" t="inlineStr">
        <is>
          <t>Bak</t>
        </is>
      </c>
      <c r="T32" s="5" t="inlineStr">
        <is>
          <t>Nawa</t>
        </is>
      </c>
      <c r="U32" s="5" t="inlineStr">
        <is>
          <t>Maiwand</t>
        </is>
      </c>
      <c r="V32" s="5" t="inlineStr">
        <is>
          <t>Dishu</t>
        </is>
      </c>
      <c r="W32" s="5" t="inlineStr">
        <is>
          <t>Shinkay</t>
        </is>
      </c>
      <c r="X32" s="117" t="n"/>
      <c r="Y32" s="117" t="n"/>
      <c r="Z32" s="5" t="inlineStr">
        <is>
          <t>Shortepa</t>
        </is>
      </c>
      <c r="AA32" s="117" t="n"/>
      <c r="AB32" s="5" t="inlineStr">
        <is>
          <t>Darzab</t>
        </is>
      </c>
      <c r="AC32" s="117" t="n"/>
      <c r="AD32" s="5" t="inlineStr">
        <is>
          <t>Qaramqol</t>
        </is>
      </c>
      <c r="AE32" s="117" t="n"/>
      <c r="AF32" s="5" t="inlineStr">
        <is>
          <t>Burka</t>
        </is>
      </c>
      <c r="AG32" s="5" t="inlineStr">
        <is>
          <t>Kalafgan</t>
        </is>
      </c>
      <c r="AH32" s="5" t="inlineStr">
        <is>
          <t>Raghistan</t>
        </is>
      </c>
    </row>
    <row r="33">
      <c r="A33" s="5" t="inlineStr">
        <is>
          <t>Chishti Sharif</t>
        </is>
      </c>
      <c r="B33" s="117" t="n"/>
      <c r="C33" s="5" t="inlineStr">
        <is>
          <t>Anar Dara</t>
        </is>
      </c>
      <c r="D33" s="117" t="n"/>
      <c r="E33" s="5" t="inlineStr">
        <is>
          <t>Dur Baba</t>
        </is>
      </c>
      <c r="F33" s="5" t="inlineStr">
        <is>
          <t>Wata Pur</t>
        </is>
      </c>
      <c r="G33" s="117" t="n"/>
      <c r="H33" s="117" t="n"/>
      <c r="I33" s="5" t="inlineStr">
        <is>
          <t>Farza</t>
        </is>
      </c>
      <c r="J33" s="117" t="n"/>
      <c r="K33" s="117" t="n"/>
      <c r="L33" s="117" t="n"/>
      <c r="M33" s="117" t="n"/>
      <c r="N33" s="117" t="n"/>
      <c r="O33" s="117" t="n"/>
      <c r="P33" s="117" t="n"/>
      <c r="Q33" s="117" t="n"/>
      <c r="R33" s="5" t="inlineStr">
        <is>
          <t>Yosuf Khel</t>
        </is>
      </c>
      <c r="S33" s="5" t="inlineStr">
        <is>
          <t>Jaji Maidan</t>
        </is>
      </c>
      <c r="T33" s="5" t="inlineStr">
        <is>
          <t>Nawur</t>
        </is>
      </c>
      <c r="U33" s="5" t="inlineStr">
        <is>
          <t>Zhari</t>
        </is>
      </c>
      <c r="V33" s="5" t="inlineStr">
        <is>
          <t>Khanashin</t>
        </is>
      </c>
      <c r="W33" s="5" t="inlineStr">
        <is>
          <t>Tarnak wa Jaldak</t>
        </is>
      </c>
      <c r="X33" s="117" t="n"/>
      <c r="Y33" s="117" t="n"/>
      <c r="Z33" s="5" t="inlineStr">
        <is>
          <t>Kaldar</t>
        </is>
      </c>
      <c r="AA33" s="117" t="n"/>
      <c r="AB33" s="5" t="inlineStr">
        <is>
          <t>Shibirghan</t>
        </is>
      </c>
      <c r="AC33" s="117" t="n"/>
      <c r="AD33" s="5" t="inlineStr">
        <is>
          <t>Qaysar</t>
        </is>
      </c>
      <c r="AE33" s="117" t="n"/>
      <c r="AF33" s="117" t="n"/>
      <c r="AG33" s="5" t="inlineStr">
        <is>
          <t>Khwaja Ghar</t>
        </is>
      </c>
      <c r="AH33" s="5" t="inlineStr">
        <is>
          <t>Shighnan</t>
        </is>
      </c>
    </row>
    <row r="34">
      <c r="A34" s="5" t="inlineStr">
        <is>
          <t>Shindand</t>
        </is>
      </c>
      <c r="B34" s="117" t="n"/>
      <c r="C34" s="117" t="n"/>
      <c r="D34" s="117" t="n"/>
      <c r="E34" s="5" t="inlineStr">
        <is>
          <t>Mohmand Dara</t>
        </is>
      </c>
      <c r="F34" s="5" t="inlineStr">
        <is>
          <t>Naray</t>
        </is>
      </c>
      <c r="G34" s="117" t="n"/>
      <c r="H34" s="117" t="n"/>
      <c r="I34" s="5" t="inlineStr">
        <is>
          <t>Guldara</t>
        </is>
      </c>
      <c r="J34" s="117" t="n"/>
      <c r="K34" s="117" t="n"/>
      <c r="L34" s="117" t="n"/>
      <c r="M34" s="117" t="n"/>
      <c r="N34" s="117" t="n"/>
      <c r="O34" s="117" t="n"/>
      <c r="P34" s="117" t="n"/>
      <c r="Q34" s="117" t="n"/>
      <c r="R34" s="5" t="inlineStr">
        <is>
          <t>Ziruk</t>
        </is>
      </c>
      <c r="S34" s="5" t="inlineStr">
        <is>
          <t>Gurbuz</t>
        </is>
      </c>
      <c r="T34" s="5" t="inlineStr">
        <is>
          <t>Qarabagh</t>
        </is>
      </c>
      <c r="U34" s="5" t="inlineStr">
        <is>
          <t>Arghistan</t>
        </is>
      </c>
      <c r="V34" s="5" t="inlineStr">
        <is>
          <t>Baghran</t>
        </is>
      </c>
      <c r="W34" s="117" t="n"/>
      <c r="X34" s="117" t="n"/>
      <c r="Y34" s="117" t="n"/>
      <c r="Z34" s="5" t="inlineStr">
        <is>
          <t>Khulm</t>
        </is>
      </c>
      <c r="AA34" s="117" t="n"/>
      <c r="AB34" s="117" t="n"/>
      <c r="AC34" s="117" t="n"/>
      <c r="AD34" s="5" t="inlineStr">
        <is>
          <t>Shirin Tagab</t>
        </is>
      </c>
      <c r="AE34" s="117" t="n"/>
      <c r="AF34" s="117" t="n"/>
      <c r="AG34" s="5" t="inlineStr">
        <is>
          <t>Rustaq</t>
        </is>
      </c>
      <c r="AH34" s="5" t="inlineStr">
        <is>
          <t>Wakhan</t>
        </is>
      </c>
    </row>
    <row r="35">
      <c r="A35" s="5" t="inlineStr">
        <is>
          <t>Adraskan</t>
        </is>
      </c>
      <c r="B35" s="117" t="n"/>
      <c r="C35" s="117" t="n"/>
      <c r="D35" s="117" t="n"/>
      <c r="E35" s="5" t="inlineStr">
        <is>
          <t>Lal Pur</t>
        </is>
      </c>
      <c r="F35" s="5" t="inlineStr">
        <is>
          <t>Dara-i-Pech</t>
        </is>
      </c>
      <c r="G35" s="117" t="n"/>
      <c r="H35" s="117" t="n"/>
      <c r="I35" s="5" t="inlineStr">
        <is>
          <t>Khak-e-Jabbar</t>
        </is>
      </c>
      <c r="J35" s="117" t="n"/>
      <c r="K35" s="117" t="n"/>
      <c r="L35" s="117" t="n"/>
      <c r="M35" s="117" t="n"/>
      <c r="N35" s="117" t="n"/>
      <c r="O35" s="117" t="n"/>
      <c r="P35" s="117" t="n"/>
      <c r="Q35" s="117" t="n"/>
      <c r="R35" s="5" t="inlineStr">
        <is>
          <t>Gayan</t>
        </is>
      </c>
      <c r="S35" s="5" t="inlineStr">
        <is>
          <t>Shamul</t>
        </is>
      </c>
      <c r="T35" s="5" t="inlineStr">
        <is>
          <t>Rashidan</t>
        </is>
      </c>
      <c r="U35" s="5" t="inlineStr">
        <is>
          <t>Maruf</t>
        </is>
      </c>
      <c r="V35" s="5" t="inlineStr">
        <is>
          <t>Nawa-i-Barakzayi</t>
        </is>
      </c>
      <c r="W35" s="117" t="n"/>
      <c r="X35" s="117" t="n"/>
      <c r="Y35" s="117" t="n"/>
      <c r="Z35" s="5" t="inlineStr">
        <is>
          <t>Marmul</t>
        </is>
      </c>
      <c r="AA35" s="117" t="n"/>
      <c r="AB35" s="117" t="n"/>
      <c r="AC35" s="117" t="n"/>
      <c r="AD35" s="117" t="n"/>
      <c r="AE35" s="117" t="n"/>
      <c r="AF35" s="117" t="n"/>
      <c r="AG35" s="5" t="inlineStr">
        <is>
          <t>Warsaj</t>
        </is>
      </c>
      <c r="AH35" s="5" t="inlineStr">
        <is>
          <t>Zebak</t>
        </is>
      </c>
    </row>
    <row r="36">
      <c r="A36" s="5" t="inlineStr">
        <is>
          <t>Farsi</t>
        </is>
      </c>
      <c r="B36" s="117" t="n"/>
      <c r="C36" s="117" t="n"/>
      <c r="D36" s="117" t="n"/>
      <c r="E36" s="5" t="inlineStr">
        <is>
          <t>Goshta</t>
        </is>
      </c>
      <c r="F36" s="117" t="n"/>
      <c r="H36" s="117" t="n"/>
      <c r="I36" s="5" t="inlineStr">
        <is>
          <t>Surobi</t>
        </is>
      </c>
      <c r="J36" s="117" t="n"/>
      <c r="K36" s="117" t="n"/>
      <c r="L36" s="117" t="n"/>
      <c r="M36" s="117" t="n"/>
      <c r="N36" s="117" t="n"/>
      <c r="O36" s="117" t="n"/>
      <c r="P36" s="117" t="n"/>
      <c r="Q36" s="117" t="n"/>
      <c r="R36" s="5" t="inlineStr">
        <is>
          <t>Dila</t>
        </is>
      </c>
      <c r="S36" s="117" t="n"/>
      <c r="T36" s="5" t="inlineStr">
        <is>
          <t>Waghaz</t>
        </is>
      </c>
      <c r="U36" s="5" t="inlineStr">
        <is>
          <t>Reg</t>
        </is>
      </c>
      <c r="V36" s="117" t="n"/>
      <c r="W36" s="117" t="n"/>
      <c r="X36" s="117" t="n"/>
      <c r="Z36" s="117" t="n"/>
      <c r="AA36" s="117" t="n"/>
      <c r="AB36" s="117" t="n"/>
      <c r="AC36" s="117" t="n"/>
      <c r="AD36" s="117" t="n"/>
      <c r="AE36" s="117" t="n"/>
      <c r="AF36" s="117" t="n"/>
      <c r="AG36" s="5" t="inlineStr">
        <is>
          <t>Yangi Qala</t>
        </is>
      </c>
      <c r="AH36" s="117" t="n"/>
    </row>
    <row r="37">
      <c r="A37" s="117" t="n"/>
      <c r="B37" s="117" t="n"/>
      <c r="C37" s="117" t="n"/>
      <c r="D37" s="117" t="n"/>
      <c r="E37" s="5" t="inlineStr">
        <is>
          <t>Chaparhar</t>
        </is>
      </c>
      <c r="F37" s="117" t="n"/>
      <c r="H37" s="117" t="n"/>
      <c r="I37" s="117" t="n"/>
      <c r="J37" s="117" t="n"/>
      <c r="K37" s="117" t="n"/>
      <c r="L37" s="117" t="n"/>
      <c r="M37" s="117" t="n"/>
      <c r="N37" s="117" t="n"/>
      <c r="O37" s="117" t="n"/>
      <c r="P37" s="117" t="n"/>
      <c r="Q37" s="117" t="n"/>
      <c r="R37" s="5" t="inlineStr">
        <is>
          <t>Nika</t>
        </is>
      </c>
      <c r="S37" s="117" t="n"/>
      <c r="T37" s="5" t="inlineStr">
        <is>
          <t>Zana Khan</t>
        </is>
      </c>
      <c r="U37" s="5" t="inlineStr">
        <is>
          <t>Shorabak</t>
        </is>
      </c>
      <c r="V37" s="117" t="n"/>
      <c r="W37" s="117" t="n"/>
      <c r="Z37" s="117" t="n"/>
      <c r="AA37" s="117" t="n"/>
      <c r="AB37" s="117" t="n"/>
      <c r="AC37" s="117" t="n"/>
      <c r="AD37" s="117" t="n"/>
      <c r="AE37" s="117" t="n"/>
      <c r="AF37" s="117" t="n"/>
      <c r="AG37" s="117" t="n"/>
      <c r="AH37" s="117" t="n"/>
    </row>
    <row r="38">
      <c r="A38" s="117" t="n"/>
      <c r="C38" s="117" t="n"/>
      <c r="D38" s="117" t="n"/>
      <c r="E38" s="5" t="inlineStr">
        <is>
          <t>Khogyani</t>
        </is>
      </c>
      <c r="F38" s="117" t="n"/>
      <c r="H38" s="117" t="n"/>
      <c r="I38" s="117" t="n"/>
      <c r="J38" s="117" t="n"/>
      <c r="M38" s="117" t="n"/>
      <c r="P38" s="117" t="n"/>
      <c r="Q38" s="117" t="n"/>
      <c r="R38" s="117" t="n"/>
      <c r="S38" s="117" t="n"/>
      <c r="T38" s="117" t="n"/>
      <c r="U38" s="117" t="n"/>
      <c r="V38" s="117" t="n"/>
      <c r="W38" s="117" t="n"/>
      <c r="Z38" s="117" t="n"/>
      <c r="AB38" s="117" t="n"/>
      <c r="AD38" s="117" t="n"/>
      <c r="AE38" s="117" t="n"/>
      <c r="AF38" s="117" t="n"/>
      <c r="AG38" s="117" t="n"/>
      <c r="AH38" s="117" t="n"/>
    </row>
    <row r="39">
      <c r="A39" s="117" t="n"/>
      <c r="C39" s="117" t="n"/>
      <c r="D39" s="117" t="n"/>
      <c r="E39" s="5" t="inlineStr">
        <is>
          <t>Pachir wa Agam</t>
        </is>
      </c>
      <c r="F39" s="117" t="n"/>
      <c r="I39" s="117" t="n"/>
      <c r="J39" s="117" t="n"/>
      <c r="M39" s="117" t="n"/>
      <c r="Q39" s="117" t="n"/>
      <c r="R39" s="117" t="n"/>
      <c r="S39" s="117" t="n"/>
      <c r="T39" s="117" t="n"/>
      <c r="U39" s="117" t="n"/>
      <c r="V39" s="117" t="n"/>
      <c r="W39" s="117" t="n"/>
      <c r="Z39" s="117" t="n"/>
      <c r="AB39" s="117" t="n"/>
      <c r="AD39" s="117" t="n"/>
      <c r="AF39" s="117" t="n"/>
      <c r="AG39" s="117" t="n"/>
      <c r="AH39" s="117" t="n"/>
    </row>
    <row r="40">
      <c r="A40" s="117" t="n"/>
      <c r="C40" s="117" t="n"/>
      <c r="D40" s="117" t="n"/>
      <c r="E40" s="5" t="inlineStr">
        <is>
          <t>Sherzad</t>
        </is>
      </c>
      <c r="F40" s="117" t="n"/>
      <c r="I40" s="117" t="n"/>
      <c r="J40" s="117" t="n"/>
      <c r="Q40" s="117" t="n"/>
      <c r="R40" s="117" t="n"/>
      <c r="S40" s="117" t="n"/>
      <c r="T40" s="117" t="n"/>
      <c r="U40" s="117" t="n"/>
      <c r="V40" s="117" t="n"/>
      <c r="W40" s="117" t="n"/>
      <c r="Z40" s="117" t="n"/>
      <c r="AB40" s="117" t="n"/>
      <c r="AD40" s="117" t="n"/>
      <c r="AF40" s="117" t="n"/>
      <c r="AG40" s="117" t="n"/>
      <c r="AH40" s="117" t="n"/>
    </row>
    <row r="41">
      <c r="A41" s="117" t="n"/>
      <c r="C41" s="117" t="n"/>
      <c r="E41" s="5" t="inlineStr">
        <is>
          <t>Hesarak</t>
        </is>
      </c>
      <c r="F41" s="117" t="n"/>
      <c r="I41" s="117" t="n"/>
      <c r="R41" s="117" t="n"/>
      <c r="S41" s="117" t="n"/>
      <c r="T41" s="117" t="n"/>
      <c r="U41" s="117" t="n"/>
      <c r="V41" s="117" t="n"/>
      <c r="W41" s="117" t="n"/>
      <c r="Z41" s="117" t="n"/>
      <c r="AB41" s="117" t="n"/>
      <c r="AD41" s="117" t="n"/>
      <c r="AG41" s="117" t="n"/>
      <c r="AH41" s="117" t="n"/>
    </row>
    <row r="42">
      <c r="A42" s="117" t="n"/>
      <c r="E42" s="5" t="inlineStr">
        <is>
          <t>Darah-i-Nur</t>
        </is>
      </c>
      <c r="F42" s="117" t="n"/>
      <c r="I42" s="117" t="n"/>
      <c r="R42" s="117" t="n"/>
      <c r="S42" s="117" t="n"/>
      <c r="T42" s="117" t="n"/>
      <c r="U42" s="117" t="n"/>
      <c r="V42" s="117" t="n"/>
      <c r="Z42" s="117" t="n"/>
      <c r="AD42" s="117" t="n"/>
      <c r="AG42" s="117" t="n"/>
      <c r="AH42" s="117" t="n"/>
    </row>
    <row r="43">
      <c r="A43" s="117" t="n"/>
      <c r="E43" s="117" t="n"/>
      <c r="F43" s="117" t="n"/>
      <c r="I43" s="117" t="n"/>
      <c r="R43" s="117" t="n"/>
      <c r="S43" s="117" t="n"/>
      <c r="T43" s="117" t="n"/>
      <c r="U43" s="117" t="n"/>
      <c r="V43" s="117" t="n"/>
      <c r="Z43" s="117" t="n"/>
      <c r="AG43" s="117" t="n"/>
      <c r="AH43" s="117" t="n"/>
    </row>
    <row r="44">
      <c r="A44" s="117" t="n"/>
      <c r="E44" s="117" t="n"/>
      <c r="I44" s="117" t="n"/>
      <c r="R44" s="117" t="n"/>
      <c r="T44" s="117" t="n"/>
      <c r="U44" s="117" t="n"/>
      <c r="AG44" s="117" t="n"/>
    </row>
    <row r="45">
      <c r="E45" s="117" t="n"/>
      <c r="R45" s="117" t="n"/>
      <c r="T45" s="117" t="n"/>
      <c r="U45" s="117" t="n"/>
    </row>
    <row r="46">
      <c r="E46" s="117" t="n"/>
    </row>
    <row r="47">
      <c r="E47" s="117" t="n"/>
    </row>
    <row r="48">
      <c r="E48" s="117" t="n"/>
    </row>
    <row r="49">
      <c r="E49" s="117" t="n"/>
    </row>
    <row r="50">
      <c r="E50" s="117" t="n"/>
    </row>
  </sheetData>
  <mergeCells count="3">
    <mergeCell ref="A1:P1"/>
    <mergeCell ref="A3:H3"/>
    <mergeCell ref="A21:H21"/>
  </mergeCells>
  <pageMargins left="0.75" right="0.75" top="1" bottom="1" header="0.5" footer="0.5"/>
</worksheet>
</file>

<file path=xl/worksheets/sheet12.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1" t="inlineStr">
        <is>
          <t>Lookups used by cascading dropdowns — add a row when you add a region or province</t>
        </is>
      </c>
      <c r="B1" s="22" t="n"/>
      <c r="C1" s="22" t="n"/>
      <c r="D1" s="22" t="n"/>
    </row>
    <row r="3">
      <c r="A3" s="9" t="inlineStr">
        <is>
          <t>Region display name</t>
        </is>
      </c>
      <c r="B3" s="9" t="inlineStr">
        <is>
          <t>Province named range</t>
        </is>
      </c>
      <c r="C3" s="9" t="inlineStr">
        <is>
          <t>Region code</t>
        </is>
      </c>
      <c r="E3" s="24" t="inlineStr">
        <is>
          <t>Province</t>
        </is>
      </c>
      <c r="F3" s="24"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package grouping, major/sub-type interventions, status dates, duration between steps, and editable domains.</dc:description>
  <dc:subject>Emergency Food Security Project (EFSP) · Component 2: Water and Resilience Services · WBK/AF-2</dc:subject>
  <dcterms:created xsi:type="dcterms:W3CDTF">2026-10-18T06:19:17Z</dcterms:created>
  <dcterms:modified xsi:type="dcterms:W3CDTF">2026-10-18T06:19:20Z</dcterms:modified>
</cp:coreProperties>
</file>